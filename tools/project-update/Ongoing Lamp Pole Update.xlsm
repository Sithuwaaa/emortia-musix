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F:\Tooway Engineers\Projects\Lamp Poles\"/>
    </mc:Choice>
  </mc:AlternateContent>
  <xr:revisionPtr revIDLastSave="0" documentId="13_ncr:1_{352F8D91-C050-47D1-8DEB-ED6606BB6612}" xr6:coauthVersionLast="47" xr6:coauthVersionMax="47" xr10:uidLastSave="{00000000-0000-0000-0000-000000000000}"/>
  <bookViews>
    <workbookView xWindow="-108" yWindow="-108" windowWidth="23256" windowHeight="12456" tabRatio="616" activeTab="1" xr2:uid="{00000000-000D-0000-FFFF-FFFF00000000}"/>
  </bookViews>
  <sheets>
    <sheet name="Dashboard" sheetId="29" r:id="rId1"/>
    <sheet name="Full Plan" sheetId="6" r:id="rId2"/>
    <sheet name="MW Update" sheetId="67" r:id="rId3"/>
    <sheet name="Temp Sheet" sheetId="41" r:id="rId4"/>
    <sheet name="Tx Design" sheetId="71" r:id="rId5"/>
    <sheet name="Dependancy" sheetId="65" r:id="rId6"/>
    <sheet name="MW Removal &amp; Update" sheetId="8" r:id="rId7"/>
    <sheet name="New Site Locations" sheetId="7" r:id="rId8"/>
    <sheet name="AP Data" sheetId="49" r:id="rId9"/>
    <sheet name="Material Summary" sheetId="68" r:id="rId10"/>
  </sheets>
  <externalReferences>
    <externalReference r:id="rId11"/>
    <externalReference r:id="rId12"/>
  </externalReferences>
  <definedNames>
    <definedName name="_xlnm._FilterDatabase" localSheetId="8" hidden="1">'AP Data'!$A$3:$AB$16</definedName>
    <definedName name="_xlnm._FilterDatabase" localSheetId="0" hidden="1">Dashboard!#REF!</definedName>
    <definedName name="_xlnm._FilterDatabase" localSheetId="5" hidden="1">Dependancy!$A$2:$U$84</definedName>
    <definedName name="_xlnm._FilterDatabase" localSheetId="1" hidden="1">'Full Plan'!$A$2:$AU$35</definedName>
    <definedName name="_xlnm._FilterDatabase" localSheetId="6" hidden="1">'MW Removal &amp; Update'!$A$2:$S$27</definedName>
    <definedName name="_xlnm._FilterDatabase" localSheetId="2" hidden="1">'MW Update'!$A$2:$I$21</definedName>
    <definedName name="_xlnm._FilterDatabase" localSheetId="7" hidden="1">'New Site Locations'!$A$2:$I$2</definedName>
    <definedName name="_xlnm._FilterDatabase" localSheetId="3" hidden="1">'Temp Sheet'!#REF!</definedName>
    <definedName name="_xlnm._FilterDatabase" localSheetId="4" hidden="1">'Tx Design'!$A$2:$AS$34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34" i="71" l="1"/>
  <c r="AR34" i="71"/>
  <c r="AQ34" i="71"/>
  <c r="AS33" i="71"/>
  <c r="AR33" i="71"/>
  <c r="AQ33" i="71"/>
  <c r="AS32" i="71"/>
  <c r="AR32" i="71"/>
  <c r="AQ32" i="71"/>
  <c r="AS31" i="71"/>
  <c r="AR31" i="71"/>
  <c r="AQ31" i="71"/>
  <c r="AS30" i="71"/>
  <c r="AR30" i="71"/>
  <c r="AQ30" i="71"/>
  <c r="AS29" i="71"/>
  <c r="AR29" i="71"/>
  <c r="AQ29" i="71"/>
  <c r="AS28" i="71"/>
  <c r="AR28" i="71"/>
  <c r="AQ28" i="71"/>
  <c r="AS27" i="71"/>
  <c r="AR27" i="71"/>
  <c r="AQ27" i="71"/>
  <c r="AS26" i="71"/>
  <c r="AR26" i="71"/>
  <c r="AQ26" i="71"/>
  <c r="AS25" i="71"/>
  <c r="AR25" i="71"/>
  <c r="AQ25" i="71"/>
  <c r="AS24" i="71"/>
  <c r="AR24" i="71"/>
  <c r="AQ24" i="71"/>
  <c r="AQ2" i="71" s="1"/>
  <c r="AS23" i="71"/>
  <c r="AS2" i="71" s="1"/>
  <c r="AR23" i="71"/>
  <c r="AR2" i="71" s="1"/>
  <c r="AQ23" i="71"/>
  <c r="AS22" i="71"/>
  <c r="AR22" i="71"/>
  <c r="AQ22" i="71"/>
  <c r="AS21" i="71"/>
  <c r="AR21" i="71"/>
  <c r="AQ21" i="71"/>
  <c r="AS20" i="71"/>
  <c r="AR20" i="71"/>
  <c r="AQ20" i="71"/>
  <c r="AS19" i="71"/>
  <c r="AR19" i="71"/>
  <c r="AQ19" i="71"/>
  <c r="AS18" i="71"/>
  <c r="AR18" i="71"/>
  <c r="AQ18" i="71"/>
  <c r="AS17" i="71"/>
  <c r="AR17" i="71"/>
  <c r="AQ17" i="71"/>
  <c r="AS16" i="71"/>
  <c r="AR16" i="71"/>
  <c r="AQ16" i="71"/>
  <c r="AS15" i="71"/>
  <c r="AR15" i="71"/>
  <c r="AQ15" i="71"/>
  <c r="AS14" i="71"/>
  <c r="AR14" i="71"/>
  <c r="AQ14" i="71"/>
  <c r="AS13" i="71"/>
  <c r="AR13" i="71"/>
  <c r="AQ13" i="71"/>
  <c r="AS12" i="71"/>
  <c r="AR12" i="71"/>
  <c r="AQ12" i="71"/>
  <c r="AS11" i="71"/>
  <c r="AR11" i="71"/>
  <c r="AQ11" i="71"/>
  <c r="AS10" i="71"/>
  <c r="AR10" i="71"/>
  <c r="AQ10" i="71"/>
  <c r="AS9" i="71"/>
  <c r="AR9" i="71"/>
  <c r="AQ9" i="71"/>
  <c r="AS8" i="71"/>
  <c r="AR8" i="71"/>
  <c r="AQ8" i="71"/>
  <c r="AS7" i="71"/>
  <c r="AR7" i="71"/>
  <c r="AQ7" i="71"/>
  <c r="AS6" i="71"/>
  <c r="AR6" i="71"/>
  <c r="AQ6" i="71"/>
  <c r="AS5" i="71"/>
  <c r="AR5" i="71"/>
  <c r="AQ5" i="71"/>
  <c r="AS4" i="71"/>
  <c r="AR4" i="71"/>
  <c r="AQ4" i="71"/>
  <c r="AS3" i="71"/>
  <c r="AR3" i="71"/>
  <c r="AQ3" i="71"/>
  <c r="AP2" i="71"/>
  <c r="AO2" i="71"/>
  <c r="AN2" i="71"/>
  <c r="AM2" i="71"/>
  <c r="AL2" i="71"/>
  <c r="AK2" i="71"/>
  <c r="AJ2" i="71"/>
  <c r="AI2" i="71"/>
  <c r="AH2" i="71"/>
  <c r="AG2" i="71"/>
  <c r="AF2" i="71"/>
  <c r="AE2" i="71"/>
  <c r="AD2" i="71"/>
  <c r="AC2" i="71"/>
  <c r="AB2" i="71"/>
  <c r="AA2" i="71"/>
  <c r="Z2" i="71"/>
  <c r="Y2" i="71"/>
  <c r="X2" i="71"/>
  <c r="W2" i="71"/>
  <c r="V2" i="71"/>
  <c r="U2" i="71"/>
  <c r="T2" i="71"/>
  <c r="S2" i="71"/>
  <c r="R2" i="71"/>
  <c r="Q2" i="71"/>
  <c r="P2" i="71"/>
  <c r="O2" i="71"/>
  <c r="N2" i="71"/>
  <c r="M2" i="71"/>
  <c r="L2" i="71"/>
  <c r="K2" i="71"/>
  <c r="J2" i="71"/>
  <c r="I2" i="71"/>
  <c r="H2" i="71"/>
  <c r="G2" i="71"/>
  <c r="F2" i="71"/>
  <c r="E2" i="71"/>
  <c r="C2" i="71"/>
  <c r="B2" i="71"/>
  <c r="A2" i="71"/>
  <c r="B63" i="68" l="1"/>
  <c r="B62" i="68"/>
  <c r="B61" i="68"/>
  <c r="B60" i="68"/>
  <c r="B59" i="68"/>
  <c r="B58" i="68"/>
  <c r="B57" i="68"/>
  <c r="B56" i="68"/>
  <c r="B55" i="68"/>
  <c r="B54" i="68"/>
  <c r="B53" i="68"/>
  <c r="B49" i="68"/>
  <c r="B44" i="68"/>
  <c r="B41" i="68"/>
  <c r="N37" i="68"/>
  <c r="L37" i="68"/>
  <c r="K37" i="68"/>
  <c r="I36" i="68"/>
  <c r="H36" i="68"/>
  <c r="G36" i="68"/>
  <c r="F36" i="68"/>
  <c r="E36" i="68"/>
  <c r="I35" i="68"/>
  <c r="H35" i="68"/>
  <c r="G35" i="68"/>
  <c r="F35" i="68"/>
  <c r="E35" i="68"/>
  <c r="I34" i="68"/>
  <c r="H34" i="68"/>
  <c r="G34" i="68"/>
  <c r="F34" i="68"/>
  <c r="E34" i="68"/>
  <c r="I33" i="68"/>
  <c r="H33" i="68"/>
  <c r="G33" i="68"/>
  <c r="F33" i="68"/>
  <c r="E33" i="68"/>
  <c r="I32" i="68"/>
  <c r="H32" i="68"/>
  <c r="G32" i="68"/>
  <c r="F32" i="68"/>
  <c r="E32" i="68"/>
  <c r="I31" i="68"/>
  <c r="H31" i="68"/>
  <c r="G31" i="68"/>
  <c r="F31" i="68"/>
  <c r="E31" i="68"/>
  <c r="I30" i="68"/>
  <c r="H30" i="68"/>
  <c r="G30" i="68"/>
  <c r="F30" i="68"/>
  <c r="E30" i="68"/>
  <c r="I29" i="68"/>
  <c r="H29" i="68"/>
  <c r="G29" i="68"/>
  <c r="F29" i="68"/>
  <c r="E29" i="68"/>
  <c r="I28" i="68"/>
  <c r="H28" i="68"/>
  <c r="G28" i="68"/>
  <c r="F28" i="68"/>
  <c r="E28" i="68"/>
  <c r="I27" i="68"/>
  <c r="H27" i="68"/>
  <c r="G27" i="68"/>
  <c r="F27" i="68"/>
  <c r="E27" i="68"/>
  <c r="I26" i="68"/>
  <c r="H26" i="68"/>
  <c r="G26" i="68"/>
  <c r="F26" i="68"/>
  <c r="E26" i="68"/>
  <c r="I25" i="68"/>
  <c r="H25" i="68"/>
  <c r="G25" i="68"/>
  <c r="F25" i="68"/>
  <c r="E25" i="68"/>
  <c r="I24" i="68"/>
  <c r="H24" i="68"/>
  <c r="G24" i="68"/>
  <c r="F24" i="68"/>
  <c r="E24" i="68"/>
  <c r="I23" i="68"/>
  <c r="H23" i="68"/>
  <c r="G23" i="68"/>
  <c r="F23" i="68"/>
  <c r="E23" i="68"/>
  <c r="I22" i="68"/>
  <c r="H22" i="68"/>
  <c r="G22" i="68"/>
  <c r="F22" i="68"/>
  <c r="E22" i="68"/>
  <c r="I21" i="68"/>
  <c r="H21" i="68"/>
  <c r="G21" i="68"/>
  <c r="F21" i="68"/>
  <c r="E21" i="68"/>
  <c r="I20" i="68"/>
  <c r="H20" i="68"/>
  <c r="G20" i="68"/>
  <c r="F20" i="68"/>
  <c r="E20" i="68"/>
  <c r="I19" i="68"/>
  <c r="H19" i="68"/>
  <c r="G19" i="68"/>
  <c r="F19" i="68"/>
  <c r="E19" i="68"/>
  <c r="I18" i="68"/>
  <c r="H18" i="68"/>
  <c r="G18" i="68"/>
  <c r="F18" i="68"/>
  <c r="E18" i="68"/>
  <c r="I17" i="68"/>
  <c r="H17" i="68"/>
  <c r="G17" i="68"/>
  <c r="F17" i="68"/>
  <c r="E17" i="68"/>
  <c r="I16" i="68"/>
  <c r="H16" i="68"/>
  <c r="G16" i="68"/>
  <c r="F16" i="68"/>
  <c r="E16" i="68"/>
  <c r="I15" i="68"/>
  <c r="H15" i="68"/>
  <c r="G15" i="68"/>
  <c r="F15" i="68"/>
  <c r="E15" i="68"/>
  <c r="I14" i="68"/>
  <c r="H14" i="68"/>
  <c r="G14" i="68"/>
  <c r="F14" i="68"/>
  <c r="E14" i="68"/>
  <c r="I13" i="68"/>
  <c r="H13" i="68"/>
  <c r="G13" i="68"/>
  <c r="F13" i="68"/>
  <c r="E13" i="68"/>
  <c r="I12" i="68"/>
  <c r="H12" i="68"/>
  <c r="G12" i="68"/>
  <c r="F12" i="68"/>
  <c r="E12" i="68"/>
  <c r="I11" i="68"/>
  <c r="H11" i="68"/>
  <c r="G11" i="68"/>
  <c r="F11" i="68"/>
  <c r="E11" i="68"/>
  <c r="I10" i="68"/>
  <c r="H10" i="68"/>
  <c r="G10" i="68"/>
  <c r="F10" i="68"/>
  <c r="E10" i="68"/>
  <c r="I9" i="68"/>
  <c r="H9" i="68"/>
  <c r="B48" i="68" s="1"/>
  <c r="G9" i="68"/>
  <c r="F9" i="68"/>
  <c r="E9" i="68"/>
  <c r="I8" i="68"/>
  <c r="H8" i="68"/>
  <c r="G8" i="68"/>
  <c r="F8" i="68"/>
  <c r="E8" i="68"/>
  <c r="B42" i="68" s="1"/>
  <c r="I7" i="68"/>
  <c r="H7" i="68"/>
  <c r="G7" i="68"/>
  <c r="F7" i="68"/>
  <c r="E7" i="68"/>
  <c r="I6" i="68"/>
  <c r="H6" i="68"/>
  <c r="G6" i="68"/>
  <c r="B50" i="68" s="1"/>
  <c r="F6" i="68"/>
  <c r="E6" i="68"/>
  <c r="I5" i="68"/>
  <c r="I37" i="68" s="1"/>
  <c r="H5" i="68"/>
  <c r="H37" i="68" s="1"/>
  <c r="G5" i="68"/>
  <c r="B51" i="68" s="1"/>
  <c r="F5" i="68"/>
  <c r="B47" i="68" s="1"/>
  <c r="E5" i="68"/>
  <c r="B43" i="68" s="1"/>
  <c r="E37" i="68" l="1"/>
  <c r="F37" i="68"/>
  <c r="G37" i="68"/>
  <c r="B52" i="68"/>
  <c r="B45" i="68"/>
  <c r="B46" i="68"/>
  <c r="A2" i="67"/>
  <c r="B2" i="67"/>
  <c r="C2" i="67"/>
  <c r="E2" i="67"/>
  <c r="F2" i="67"/>
  <c r="G2" i="67"/>
  <c r="H2" i="67"/>
  <c r="I2" i="67"/>
  <c r="J2" i="67"/>
  <c r="A84" i="65" l="1"/>
  <c r="S84" i="65" s="1"/>
  <c r="A83" i="65"/>
  <c r="S83" i="65" s="1"/>
  <c r="A82" i="65"/>
  <c r="A81" i="65"/>
  <c r="S81" i="65" s="1"/>
  <c r="A80" i="65"/>
  <c r="A79" i="65"/>
  <c r="S79" i="65" s="1"/>
  <c r="A78" i="65"/>
  <c r="A77" i="65"/>
  <c r="A76" i="65"/>
  <c r="S76" i="65" s="1"/>
  <c r="A75" i="65"/>
  <c r="A74" i="65"/>
  <c r="A73" i="65"/>
  <c r="S73" i="65" s="1"/>
  <c r="A72" i="65"/>
  <c r="S72" i="65" s="1"/>
  <c r="A71" i="65"/>
  <c r="S71" i="65" s="1"/>
  <c r="A70" i="65"/>
  <c r="S70" i="65" s="1"/>
  <c r="A69" i="65"/>
  <c r="S69" i="65" s="1"/>
  <c r="A68" i="65"/>
  <c r="S68" i="65" s="1"/>
  <c r="A67" i="65"/>
  <c r="S67" i="65" s="1"/>
  <c r="A66" i="65"/>
  <c r="A65" i="65"/>
  <c r="A64" i="65"/>
  <c r="A63" i="65"/>
  <c r="A62" i="65"/>
  <c r="S62" i="65" s="1"/>
  <c r="A61" i="65"/>
  <c r="A60" i="65"/>
  <c r="S60" i="65" s="1"/>
  <c r="A59" i="65"/>
  <c r="S59" i="65" s="1"/>
  <c r="A58" i="65"/>
  <c r="A57" i="65"/>
  <c r="S57" i="65" s="1"/>
  <c r="A56" i="65"/>
  <c r="A55" i="65"/>
  <c r="S55" i="65" s="1"/>
  <c r="A54" i="65"/>
  <c r="S54" i="65" s="1"/>
  <c r="A53" i="65"/>
  <c r="S53" i="65" s="1"/>
  <c r="A52" i="65"/>
  <c r="A51" i="65"/>
  <c r="A50" i="65"/>
  <c r="A49" i="65"/>
  <c r="A48" i="65"/>
  <c r="A47" i="65"/>
  <c r="A46" i="65"/>
  <c r="S46" i="65" s="1"/>
  <c r="A45" i="65"/>
  <c r="S45" i="65" s="1"/>
  <c r="A44" i="65"/>
  <c r="S44" i="65" s="1"/>
  <c r="A43" i="65"/>
  <c r="A42" i="65"/>
  <c r="A41" i="65"/>
  <c r="A40" i="65"/>
  <c r="A39" i="65"/>
  <c r="S39" i="65" s="1"/>
  <c r="A38" i="65"/>
  <c r="S38" i="65" s="1"/>
  <c r="A37" i="65"/>
  <c r="A36" i="65"/>
  <c r="A35" i="65"/>
  <c r="A25" i="65"/>
  <c r="A24" i="65"/>
  <c r="A23" i="65"/>
  <c r="A22" i="65"/>
  <c r="A34" i="65"/>
  <c r="A21" i="65"/>
  <c r="A20" i="65"/>
  <c r="A19" i="65"/>
  <c r="A18" i="65"/>
  <c r="A17" i="65"/>
  <c r="A33" i="65"/>
  <c r="A16" i="65"/>
  <c r="A15" i="65"/>
  <c r="A14" i="65"/>
  <c r="A13" i="65"/>
  <c r="A32" i="65"/>
  <c r="A31" i="65"/>
  <c r="A30" i="65"/>
  <c r="A29" i="65"/>
  <c r="A28" i="65"/>
  <c r="A27" i="65"/>
  <c r="A26" i="65"/>
  <c r="A12" i="65"/>
  <c r="A11" i="65"/>
  <c r="A10" i="65"/>
  <c r="A9" i="65"/>
  <c r="A8" i="65"/>
  <c r="A7" i="65"/>
  <c r="A6" i="65"/>
  <c r="A5" i="65"/>
  <c r="A4" i="65"/>
  <c r="A3" i="65"/>
  <c r="U20" i="65" l="1"/>
  <c r="T20" i="65"/>
  <c r="U26" i="65"/>
  <c r="T26" i="65"/>
  <c r="U7" i="65"/>
  <c r="T7" i="65"/>
  <c r="U28" i="65"/>
  <c r="T28" i="65"/>
  <c r="U16" i="65"/>
  <c r="T16" i="65"/>
  <c r="U22" i="65"/>
  <c r="T22" i="65"/>
  <c r="U4" i="65"/>
  <c r="T4" i="65"/>
  <c r="T5" i="65"/>
  <c r="U5" i="65"/>
  <c r="U15" i="65"/>
  <c r="T15" i="65"/>
  <c r="U8" i="65"/>
  <c r="T8" i="65"/>
  <c r="U29" i="65"/>
  <c r="T29" i="65"/>
  <c r="U33" i="65"/>
  <c r="T33" i="65"/>
  <c r="U23" i="65"/>
  <c r="T23" i="65"/>
  <c r="T13" i="65"/>
  <c r="U13" i="65"/>
  <c r="U21" i="65"/>
  <c r="T21" i="65"/>
  <c r="U34" i="65"/>
  <c r="T34" i="65"/>
  <c r="U9" i="65"/>
  <c r="T9" i="65"/>
  <c r="U30" i="65"/>
  <c r="T30" i="65"/>
  <c r="U17" i="65"/>
  <c r="T17" i="65"/>
  <c r="U24" i="65"/>
  <c r="T24" i="65"/>
  <c r="U12" i="65"/>
  <c r="T12" i="65"/>
  <c r="U27" i="65"/>
  <c r="T27" i="65"/>
  <c r="U31" i="65"/>
  <c r="T31" i="65"/>
  <c r="U18" i="65"/>
  <c r="T18" i="65"/>
  <c r="U25" i="65"/>
  <c r="T25" i="65"/>
  <c r="U14" i="65"/>
  <c r="T14" i="65"/>
  <c r="U6" i="65"/>
  <c r="T6" i="65"/>
  <c r="U10" i="65"/>
  <c r="T10" i="65"/>
  <c r="U3" i="65"/>
  <c r="T3" i="65"/>
  <c r="U11" i="65"/>
  <c r="T11" i="65"/>
  <c r="U32" i="65"/>
  <c r="T32" i="65"/>
  <c r="U19" i="65"/>
  <c r="T19" i="65"/>
  <c r="S37" i="65"/>
  <c r="S52" i="65"/>
  <c r="S56" i="65"/>
  <c r="S63" i="65"/>
  <c r="S80" i="65"/>
  <c r="S78" i="65"/>
  <c r="S42" i="65"/>
  <c r="S58" i="65"/>
  <c r="S61" i="65"/>
  <c r="S64" i="65"/>
  <c r="S66" i="65"/>
  <c r="S40" i="65"/>
  <c r="S65" i="65"/>
  <c r="S49" i="65"/>
  <c r="S36" i="65"/>
  <c r="S47" i="65"/>
  <c r="S43" i="65"/>
  <c r="S50" i="65"/>
  <c r="S51" i="65"/>
  <c r="S41" i="65"/>
  <c r="S48" i="65"/>
  <c r="S75" i="65"/>
  <c r="S74" i="65"/>
  <c r="S77" i="65"/>
  <c r="S82" i="65"/>
  <c r="B2" i="41" l="1"/>
  <c r="A2" i="41"/>
  <c r="C2" i="7" l="1"/>
  <c r="W2" i="6" l="1"/>
  <c r="V2" i="6"/>
  <c r="AD2" i="6"/>
  <c r="S3" i="49" l="1"/>
  <c r="AC3" i="49"/>
  <c r="AD3" i="49"/>
  <c r="AE3" i="49"/>
  <c r="Z3" i="49"/>
  <c r="AA3" i="49"/>
  <c r="AB3" i="49"/>
  <c r="W3" i="49"/>
  <c r="X3" i="49"/>
  <c r="Y3" i="49"/>
  <c r="C3" i="49"/>
  <c r="D3" i="49"/>
  <c r="E3" i="49"/>
  <c r="F3" i="49"/>
  <c r="G3" i="49"/>
  <c r="H3" i="49"/>
  <c r="I3" i="49"/>
  <c r="J3" i="49"/>
  <c r="K3" i="49"/>
  <c r="L3" i="49"/>
  <c r="M3" i="49"/>
  <c r="N3" i="49"/>
  <c r="O3" i="49"/>
  <c r="P3" i="49"/>
  <c r="Q3" i="49"/>
  <c r="R3" i="49"/>
  <c r="T3" i="49"/>
  <c r="U3" i="49"/>
  <c r="V3" i="49"/>
  <c r="B3" i="49" l="1"/>
  <c r="A3" i="49"/>
  <c r="I2" i="7"/>
  <c r="H2" i="7"/>
  <c r="G2" i="7"/>
  <c r="D2" i="7"/>
  <c r="B2" i="7"/>
  <c r="A2" i="7"/>
  <c r="S2" i="8"/>
  <c r="R2" i="8"/>
  <c r="Q2" i="8"/>
  <c r="P2" i="8"/>
  <c r="O2" i="8"/>
  <c r="N2" i="8"/>
  <c r="M2" i="8"/>
  <c r="K2" i="8"/>
  <c r="J2" i="8"/>
  <c r="I2" i="8"/>
  <c r="H2" i="8"/>
  <c r="G2" i="8"/>
  <c r="F2" i="8"/>
  <c r="D2" i="8"/>
  <c r="C2" i="8"/>
  <c r="B2" i="8"/>
  <c r="A2" i="8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C2" i="6"/>
  <c r="AB2" i="6"/>
  <c r="AA2" i="6"/>
  <c r="Z2" i="6"/>
  <c r="Y2" i="6"/>
  <c r="X2" i="6"/>
  <c r="U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2" i="6"/>
  <c r="D21" i="67" l="1"/>
  <c r="D14" i="71"/>
  <c r="D7" i="71"/>
  <c r="D13" i="71"/>
  <c r="D2" i="71" s="1"/>
  <c r="D11" i="71"/>
  <c r="D9" i="71"/>
  <c r="D12" i="71"/>
  <c r="D16" i="67"/>
  <c r="D10" i="71"/>
  <c r="D8" i="71"/>
  <c r="D6" i="71"/>
  <c r="D4" i="71"/>
  <c r="D5" i="71"/>
  <c r="D3" i="71"/>
  <c r="E21" i="8"/>
  <c r="E12" i="8"/>
  <c r="E13" i="8"/>
  <c r="F34" i="65"/>
  <c r="H35" i="65"/>
  <c r="G26" i="65"/>
  <c r="D15" i="65"/>
  <c r="H22" i="65"/>
  <c r="G33" i="65"/>
  <c r="H12" i="65"/>
  <c r="G9" i="65"/>
  <c r="D24" i="65"/>
  <c r="G13" i="65"/>
  <c r="H7" i="65"/>
  <c r="G18" i="65"/>
  <c r="F17" i="65"/>
  <c r="H4" i="65"/>
  <c r="H26" i="65"/>
  <c r="G37" i="65"/>
  <c r="H15" i="65"/>
  <c r="H8" i="65"/>
  <c r="D23" i="65"/>
  <c r="G12" i="65"/>
  <c r="H9" i="65"/>
  <c r="D27" i="65"/>
  <c r="G8" i="65"/>
  <c r="H24" i="65"/>
  <c r="G24" i="65"/>
  <c r="F22" i="65"/>
  <c r="F33" i="65"/>
  <c r="H36" i="65"/>
  <c r="H14" i="65"/>
  <c r="H19" i="65"/>
  <c r="D16" i="65"/>
  <c r="D29" i="65"/>
  <c r="H23" i="65"/>
  <c r="G6" i="65"/>
  <c r="G30" i="65"/>
  <c r="D32" i="65"/>
  <c r="G27" i="65"/>
  <c r="H10" i="65"/>
  <c r="G25" i="65"/>
  <c r="H11" i="65"/>
  <c r="G32" i="65"/>
  <c r="H33" i="65"/>
  <c r="G7" i="65"/>
  <c r="G4" i="65"/>
  <c r="H6" i="65"/>
  <c r="D25" i="65"/>
  <c r="F13" i="65"/>
  <c r="G36" i="65"/>
  <c r="G14" i="65"/>
  <c r="G19" i="65"/>
  <c r="G16" i="65"/>
  <c r="G29" i="65"/>
  <c r="D11" i="65"/>
  <c r="D28" i="65"/>
  <c r="H30" i="65"/>
  <c r="H32" i="65"/>
  <c r="D34" i="65"/>
  <c r="D31" i="65"/>
  <c r="H25" i="65"/>
  <c r="H29" i="65"/>
  <c r="D17" i="65"/>
  <c r="H31" i="65"/>
  <c r="D9" i="65"/>
  <c r="D18" i="65"/>
  <c r="D10" i="65"/>
  <c r="D19" i="65"/>
  <c r="D30" i="65"/>
  <c r="H3" i="65"/>
  <c r="H5" i="65"/>
  <c r="D21" i="65"/>
  <c r="D20" i="65"/>
  <c r="H16" i="65"/>
  <c r="H28" i="65"/>
  <c r="H34" i="65"/>
  <c r="H17" i="65"/>
  <c r="H18" i="65"/>
  <c r="G15" i="65"/>
  <c r="H27" i="65"/>
  <c r="G3" i="65"/>
  <c r="G5" i="65"/>
  <c r="H21" i="65"/>
  <c r="G20" i="65"/>
  <c r="D22" i="65"/>
  <c r="D33" i="65"/>
  <c r="G11" i="65"/>
  <c r="G28" i="65"/>
  <c r="G17" i="65"/>
  <c r="D13" i="65"/>
  <c r="G34" i="65"/>
  <c r="G31" i="65"/>
  <c r="G35" i="65"/>
  <c r="D26" i="65"/>
  <c r="G21" i="65"/>
  <c r="H20" i="65"/>
  <c r="G22" i="65"/>
  <c r="D12" i="65"/>
  <c r="H13" i="65"/>
  <c r="D14" i="65"/>
  <c r="G23" i="65"/>
  <c r="G10" i="65"/>
  <c r="Q43" i="65"/>
  <c r="Q46" i="65"/>
  <c r="Q72" i="65"/>
  <c r="Q68" i="65"/>
  <c r="Q50" i="65"/>
  <c r="Q47" i="65"/>
  <c r="Q63" i="65"/>
  <c r="Q73" i="65"/>
  <c r="Q34" i="65"/>
  <c r="Q44" i="65"/>
  <c r="Q14" i="65"/>
  <c r="Q11" i="65"/>
  <c r="Q27" i="65"/>
  <c r="Q42" i="65"/>
  <c r="Q18" i="65"/>
  <c r="Q30" i="65"/>
  <c r="Q52" i="65"/>
  <c r="Q56" i="65"/>
  <c r="Q3" i="65"/>
  <c r="Q32" i="65"/>
  <c r="Q8" i="65"/>
  <c r="Q45" i="65"/>
  <c r="Q64" i="65"/>
  <c r="Q49" i="65"/>
  <c r="Q75" i="65"/>
  <c r="Q77" i="65"/>
  <c r="Q82" i="65"/>
  <c r="Q83" i="65"/>
  <c r="Q29" i="65"/>
  <c r="Q22" i="65"/>
  <c r="Q58" i="65"/>
  <c r="Q26" i="65"/>
  <c r="Q62" i="65"/>
  <c r="Q31" i="65"/>
  <c r="Q60" i="65"/>
  <c r="Q84" i="65"/>
  <c r="Q6" i="65"/>
  <c r="Q13" i="65"/>
  <c r="Q41" i="65"/>
  <c r="Q71" i="65"/>
  <c r="Q25" i="65"/>
  <c r="Q76" i="65"/>
  <c r="Q51" i="65"/>
  <c r="Q48" i="65"/>
  <c r="Q40" i="65"/>
  <c r="Q70" i="65"/>
  <c r="Q15" i="65"/>
  <c r="Q38" i="65"/>
  <c r="Q55" i="65"/>
  <c r="Q81" i="65"/>
  <c r="Q23" i="65"/>
  <c r="Q24" i="65"/>
  <c r="Q57" i="65"/>
  <c r="Q53" i="65"/>
  <c r="Q21" i="65"/>
  <c r="Q54" i="65"/>
  <c r="Q5" i="65"/>
  <c r="Q36" i="65"/>
  <c r="Q35" i="65"/>
  <c r="Q39" i="65"/>
  <c r="Q65" i="65"/>
  <c r="Q12" i="65"/>
  <c r="Q20" i="65"/>
  <c r="Q61" i="65"/>
  <c r="Q7" i="65"/>
  <c r="Q67" i="65"/>
  <c r="Q37" i="65"/>
  <c r="Q74" i="65"/>
  <c r="Q16" i="65"/>
  <c r="Q66" i="65"/>
  <c r="Q78" i="65"/>
  <c r="Q9" i="65"/>
  <c r="Q80" i="65"/>
  <c r="Q17" i="65"/>
  <c r="Q59" i="65"/>
  <c r="Q69" i="65"/>
  <c r="Q33" i="65"/>
  <c r="Q4" i="65"/>
  <c r="Q10" i="65"/>
  <c r="Q79" i="65"/>
  <c r="Q19" i="65"/>
  <c r="Q28" i="65"/>
  <c r="D3" i="67"/>
  <c r="D14" i="67"/>
  <c r="D20" i="67"/>
  <c r="D18" i="67"/>
  <c r="D4" i="67"/>
  <c r="D15" i="67"/>
  <c r="D10" i="67"/>
  <c r="D19" i="67"/>
  <c r="D5" i="67"/>
  <c r="D12" i="67"/>
  <c r="D6" i="67"/>
  <c r="D11" i="67"/>
  <c r="D7" i="67"/>
  <c r="D9" i="67"/>
  <c r="D8" i="67"/>
  <c r="D17" i="67"/>
  <c r="D13" i="67"/>
  <c r="P84" i="65"/>
  <c r="M83" i="65"/>
  <c r="P82" i="65"/>
  <c r="H81" i="65"/>
  <c r="H80" i="65"/>
  <c r="P79" i="65"/>
  <c r="O78" i="65"/>
  <c r="F78" i="65"/>
  <c r="I76" i="65"/>
  <c r="E73" i="65"/>
  <c r="P72" i="65"/>
  <c r="E72" i="65"/>
  <c r="K71" i="65"/>
  <c r="R70" i="65"/>
  <c r="K70" i="65"/>
  <c r="B70" i="65"/>
  <c r="M69" i="65"/>
  <c r="C69" i="65"/>
  <c r="H68" i="65"/>
  <c r="N67" i="65"/>
  <c r="B67" i="65"/>
  <c r="I65" i="65"/>
  <c r="P64" i="65"/>
  <c r="P63" i="65"/>
  <c r="E63" i="65"/>
  <c r="P62" i="65"/>
  <c r="G62" i="65"/>
  <c r="F59" i="65"/>
  <c r="H58" i="65"/>
  <c r="I57" i="65"/>
  <c r="P56" i="65"/>
  <c r="E56" i="65"/>
  <c r="J55" i="65"/>
  <c r="P54" i="65"/>
  <c r="G54" i="65"/>
  <c r="R53" i="65"/>
  <c r="I53" i="65"/>
  <c r="I52" i="65"/>
  <c r="E51" i="65"/>
  <c r="I50" i="65"/>
  <c r="R48" i="65"/>
  <c r="I48" i="65"/>
  <c r="F47" i="65"/>
  <c r="M44" i="65"/>
  <c r="D44" i="65"/>
  <c r="G41" i="65"/>
  <c r="I40" i="65"/>
  <c r="P38" i="65"/>
  <c r="M37" i="65"/>
  <c r="D37" i="65"/>
  <c r="N34" i="65"/>
  <c r="N84" i="65"/>
  <c r="K83" i="65"/>
  <c r="N82" i="65"/>
  <c r="G81" i="65"/>
  <c r="F80" i="65"/>
  <c r="I79" i="65"/>
  <c r="N78" i="65"/>
  <c r="E78" i="65"/>
  <c r="G76" i="65"/>
  <c r="D73" i="65"/>
  <c r="N72" i="65"/>
  <c r="D72" i="65"/>
  <c r="J71" i="65"/>
  <c r="J70" i="65"/>
  <c r="L69" i="65"/>
  <c r="B69" i="65"/>
  <c r="G68" i="65"/>
  <c r="M67" i="65"/>
  <c r="H65" i="65"/>
  <c r="I64" i="65"/>
  <c r="O63" i="65"/>
  <c r="C63" i="65"/>
  <c r="O62" i="65"/>
  <c r="F62" i="65"/>
  <c r="R60" i="65"/>
  <c r="G58" i="65"/>
  <c r="H57" i="65"/>
  <c r="N56" i="65"/>
  <c r="D56" i="65"/>
  <c r="I55" i="65"/>
  <c r="O54" i="65"/>
  <c r="F54" i="65"/>
  <c r="H53" i="65"/>
  <c r="R52" i="65"/>
  <c r="H52" i="65"/>
  <c r="D51" i="65"/>
  <c r="H50" i="65"/>
  <c r="H48" i="65"/>
  <c r="E47" i="65"/>
  <c r="L44" i="65"/>
  <c r="C44" i="65"/>
  <c r="F41" i="65"/>
  <c r="H40" i="65"/>
  <c r="O38" i="65"/>
  <c r="L37" i="65"/>
  <c r="C37" i="65"/>
  <c r="M34" i="65"/>
  <c r="C34" i="65"/>
  <c r="M20" i="65"/>
  <c r="J19" i="65"/>
  <c r="N17" i="65"/>
  <c r="E17" i="65"/>
  <c r="M15" i="65"/>
  <c r="I29" i="65"/>
  <c r="H84" i="65"/>
  <c r="F83" i="65"/>
  <c r="K82" i="65"/>
  <c r="F81" i="65"/>
  <c r="P80" i="65"/>
  <c r="E80" i="65"/>
  <c r="E79" i="65"/>
  <c r="M78" i="65"/>
  <c r="D78" i="65"/>
  <c r="F76" i="65"/>
  <c r="O74" i="65"/>
  <c r="O73" i="65"/>
  <c r="C73" i="65"/>
  <c r="M72" i="65"/>
  <c r="C72" i="65"/>
  <c r="I71" i="65"/>
  <c r="H70" i="65"/>
  <c r="K69" i="65"/>
  <c r="E68" i="65"/>
  <c r="K67" i="65"/>
  <c r="L66" i="65"/>
  <c r="G65" i="65"/>
  <c r="F64" i="65"/>
  <c r="N63" i="65"/>
  <c r="B63" i="65"/>
  <c r="N62" i="65"/>
  <c r="E62" i="65"/>
  <c r="R58" i="65"/>
  <c r="F57" i="65"/>
  <c r="M56" i="65"/>
  <c r="C56" i="65"/>
  <c r="H55" i="65"/>
  <c r="N54" i="65"/>
  <c r="E54" i="65"/>
  <c r="G53" i="65"/>
  <c r="G52" i="65"/>
  <c r="C51" i="65"/>
  <c r="G50" i="65"/>
  <c r="G48" i="65"/>
  <c r="P47" i="65"/>
  <c r="R44" i="65"/>
  <c r="K44" i="65"/>
  <c r="B44" i="65"/>
  <c r="E41" i="65"/>
  <c r="G40" i="65"/>
  <c r="N38" i="65"/>
  <c r="R37" i="65"/>
  <c r="K37" i="65"/>
  <c r="B37" i="65"/>
  <c r="R35" i="65"/>
  <c r="F35" i="65"/>
  <c r="P23" i="65"/>
  <c r="E22" i="65"/>
  <c r="L34" i="65"/>
  <c r="B34" i="65"/>
  <c r="L20" i="65"/>
  <c r="I19" i="65"/>
  <c r="M17" i="65"/>
  <c r="J15" i="65"/>
  <c r="F84" i="65"/>
  <c r="E83" i="65"/>
  <c r="J82" i="65"/>
  <c r="P81" i="65"/>
  <c r="E81" i="65"/>
  <c r="N80" i="65"/>
  <c r="D80" i="65"/>
  <c r="L78" i="65"/>
  <c r="C78" i="65"/>
  <c r="P76" i="65"/>
  <c r="E76" i="65"/>
  <c r="L74" i="65"/>
  <c r="N73" i="65"/>
  <c r="L72" i="65"/>
  <c r="B72" i="65"/>
  <c r="H71" i="65"/>
  <c r="P70" i="65"/>
  <c r="G70" i="65"/>
  <c r="R69" i="65"/>
  <c r="I69" i="65"/>
  <c r="J67" i="65"/>
  <c r="D65" i="65"/>
  <c r="D64" i="65"/>
  <c r="M63" i="65"/>
  <c r="M62" i="65"/>
  <c r="D62" i="65"/>
  <c r="J61" i="65"/>
  <c r="P60" i="65"/>
  <c r="L56" i="65"/>
  <c r="B56" i="65"/>
  <c r="M54" i="65"/>
  <c r="D54" i="65"/>
  <c r="P53" i="65"/>
  <c r="E53" i="65"/>
  <c r="F52" i="65"/>
  <c r="N51" i="65"/>
  <c r="F50" i="65"/>
  <c r="P48" i="65"/>
  <c r="F48" i="65"/>
  <c r="O47" i="65"/>
  <c r="J44" i="65"/>
  <c r="D41" i="65"/>
  <c r="M38" i="65"/>
  <c r="J37" i="65"/>
  <c r="P35" i="65"/>
  <c r="E35" i="65"/>
  <c r="C83" i="65"/>
  <c r="H82" i="65"/>
  <c r="O81" i="65"/>
  <c r="C81" i="65"/>
  <c r="M80" i="65"/>
  <c r="C80" i="65"/>
  <c r="K78" i="65"/>
  <c r="B78" i="65"/>
  <c r="O76" i="65"/>
  <c r="D76" i="65"/>
  <c r="I74" i="65"/>
  <c r="M73" i="65"/>
  <c r="K72" i="65"/>
  <c r="E71" i="65"/>
  <c r="O70" i="65"/>
  <c r="F70" i="65"/>
  <c r="H69" i="65"/>
  <c r="R68" i="65"/>
  <c r="G67" i="65"/>
  <c r="R65" i="65"/>
  <c r="C64" i="65"/>
  <c r="K63" i="65"/>
  <c r="L62" i="65"/>
  <c r="C62" i="65"/>
  <c r="I61" i="65"/>
  <c r="J60" i="65"/>
  <c r="R57" i="65"/>
  <c r="K56" i="65"/>
  <c r="L54" i="65"/>
  <c r="C54" i="65"/>
  <c r="O53" i="65"/>
  <c r="D53" i="65"/>
  <c r="P52" i="65"/>
  <c r="E52" i="65"/>
  <c r="M51" i="65"/>
  <c r="O48" i="65"/>
  <c r="D48" i="65"/>
  <c r="N47" i="65"/>
  <c r="H44" i="65"/>
  <c r="O41" i="65"/>
  <c r="H38" i="65"/>
  <c r="H37" i="65"/>
  <c r="P36" i="65"/>
  <c r="O35" i="65"/>
  <c r="D35" i="65"/>
  <c r="F82" i="65"/>
  <c r="N81" i="65"/>
  <c r="L80" i="65"/>
  <c r="B80" i="65"/>
  <c r="R78" i="65"/>
  <c r="J78" i="65"/>
  <c r="N76" i="65"/>
  <c r="B76" i="65"/>
  <c r="F74" i="65"/>
  <c r="L73" i="65"/>
  <c r="R72" i="65"/>
  <c r="I72" i="65"/>
  <c r="B71" i="65"/>
  <c r="N70" i="65"/>
  <c r="E70" i="65"/>
  <c r="G69" i="65"/>
  <c r="R67" i="65"/>
  <c r="E67" i="65"/>
  <c r="R64" i="65"/>
  <c r="I63" i="65"/>
  <c r="R62" i="65"/>
  <c r="K62" i="65"/>
  <c r="B62" i="65"/>
  <c r="H61" i="65"/>
  <c r="I60" i="65"/>
  <c r="J59" i="65"/>
  <c r="R56" i="65"/>
  <c r="I56" i="65"/>
  <c r="R54" i="65"/>
  <c r="K54" i="65"/>
  <c r="B54" i="65"/>
  <c r="M53" i="65"/>
  <c r="C53" i="65"/>
  <c r="O52" i="65"/>
  <c r="B52" i="65"/>
  <c r="J51" i="65"/>
  <c r="N48" i="65"/>
  <c r="C48" i="65"/>
  <c r="I47" i="65"/>
  <c r="I46" i="65"/>
  <c r="P44" i="65"/>
  <c r="G44" i="65"/>
  <c r="N41" i="65"/>
  <c r="I39" i="65"/>
  <c r="G38" i="65"/>
  <c r="P37" i="65"/>
  <c r="O36" i="65"/>
  <c r="N35" i="65"/>
  <c r="O22" i="65"/>
  <c r="F20" i="65"/>
  <c r="C82" i="65"/>
  <c r="M81" i="65"/>
  <c r="K80" i="65"/>
  <c r="H78" i="65"/>
  <c r="M77" i="65"/>
  <c r="M76" i="65"/>
  <c r="C74" i="65"/>
  <c r="H73" i="65"/>
  <c r="H72" i="65"/>
  <c r="M70" i="65"/>
  <c r="D70" i="65"/>
  <c r="P69" i="65"/>
  <c r="E69" i="65"/>
  <c r="D67" i="65"/>
  <c r="P65" i="65"/>
  <c r="G63" i="65"/>
  <c r="J62" i="65"/>
  <c r="G61" i="65"/>
  <c r="G60" i="65"/>
  <c r="I59" i="65"/>
  <c r="J58" i="65"/>
  <c r="H56" i="65"/>
  <c r="J54" i="65"/>
  <c r="L53" i="65"/>
  <c r="B53" i="65"/>
  <c r="N52" i="65"/>
  <c r="I51" i="65"/>
  <c r="P50" i="65"/>
  <c r="I49" i="65"/>
  <c r="L48" i="65"/>
  <c r="B48" i="65"/>
  <c r="H47" i="65"/>
  <c r="H46" i="65"/>
  <c r="O44" i="65"/>
  <c r="F44" i="65"/>
  <c r="I43" i="65"/>
  <c r="M41" i="65"/>
  <c r="F38" i="65"/>
  <c r="O37" i="65"/>
  <c r="F37" i="65"/>
  <c r="M35" i="65"/>
  <c r="G78" i="65"/>
  <c r="J75" i="65"/>
  <c r="I68" i="65"/>
  <c r="F63" i="65"/>
  <c r="R51" i="65"/>
  <c r="O50" i="65"/>
  <c r="H43" i="65"/>
  <c r="M22" i="65"/>
  <c r="L17" i="65"/>
  <c r="C33" i="65"/>
  <c r="F15" i="65"/>
  <c r="F14" i="65"/>
  <c r="P30" i="65"/>
  <c r="C30" i="65"/>
  <c r="M28" i="65"/>
  <c r="M27" i="65"/>
  <c r="I26" i="65"/>
  <c r="C12" i="65"/>
  <c r="F10" i="65"/>
  <c r="M9" i="65"/>
  <c r="C8" i="65"/>
  <c r="P9" i="65"/>
  <c r="M3" i="65"/>
  <c r="F11" i="65"/>
  <c r="I8" i="65"/>
  <c r="K5" i="65"/>
  <c r="F30" i="65"/>
  <c r="R28" i="65"/>
  <c r="N27" i="65"/>
  <c r="P26" i="65"/>
  <c r="I12" i="65"/>
  <c r="E11" i="65"/>
  <c r="N9" i="65"/>
  <c r="C9" i="65"/>
  <c r="D8" i="65"/>
  <c r="I7" i="65"/>
  <c r="I5" i="65"/>
  <c r="P4" i="65"/>
  <c r="R3" i="65"/>
  <c r="J3" i="65"/>
  <c r="B3" i="65"/>
  <c r="J80" i="65"/>
  <c r="K65" i="65"/>
  <c r="I58" i="65"/>
  <c r="K53" i="65"/>
  <c r="P40" i="65"/>
  <c r="L35" i="65"/>
  <c r="K17" i="65"/>
  <c r="E15" i="65"/>
  <c r="B14" i="65"/>
  <c r="O30" i="65"/>
  <c r="B30" i="65"/>
  <c r="L28" i="65"/>
  <c r="L9" i="65"/>
  <c r="B28" i="65"/>
  <c r="O10" i="65"/>
  <c r="D77" i="65"/>
  <c r="O69" i="65"/>
  <c r="G47" i="65"/>
  <c r="O34" i="65"/>
  <c r="B19" i="65"/>
  <c r="C15" i="65"/>
  <c r="J28" i="65"/>
  <c r="F27" i="65"/>
  <c r="J30" i="65"/>
  <c r="M8" i="65"/>
  <c r="J29" i="65"/>
  <c r="I11" i="65"/>
  <c r="E9" i="65"/>
  <c r="M7" i="65"/>
  <c r="D3" i="65"/>
  <c r="M13" i="65"/>
  <c r="O27" i="65"/>
  <c r="K12" i="65"/>
  <c r="O9" i="65"/>
  <c r="L7" i="65"/>
  <c r="L3" i="65"/>
  <c r="C3" i="65"/>
  <c r="N83" i="65"/>
  <c r="K81" i="65"/>
  <c r="F72" i="65"/>
  <c r="D69" i="65"/>
  <c r="F56" i="65"/>
  <c r="N44" i="65"/>
  <c r="N37" i="65"/>
  <c r="E34" i="65"/>
  <c r="C17" i="65"/>
  <c r="F16" i="65"/>
  <c r="K30" i="65"/>
  <c r="R29" i="65"/>
  <c r="E27" i="65"/>
  <c r="O8" i="65"/>
  <c r="F9" i="65"/>
  <c r="R30" i="65"/>
  <c r="L12" i="65"/>
  <c r="M10" i="65"/>
  <c r="L8" i="65"/>
  <c r="I14" i="65"/>
  <c r="L70" i="65"/>
  <c r="G59" i="65"/>
  <c r="H54" i="65"/>
  <c r="G51" i="65"/>
  <c r="E44" i="65"/>
  <c r="E37" i="65"/>
  <c r="L24" i="65"/>
  <c r="N18" i="65"/>
  <c r="B17" i="65"/>
  <c r="C70" i="65"/>
  <c r="C67" i="65"/>
  <c r="H62" i="65"/>
  <c r="I41" i="65"/>
  <c r="C24" i="65"/>
  <c r="R80" i="65"/>
  <c r="L76" i="65"/>
  <c r="F73" i="65"/>
  <c r="F60" i="65"/>
  <c r="K57" i="65"/>
  <c r="J52" i="65"/>
  <c r="K48" i="65"/>
  <c r="E38" i="65"/>
  <c r="O20" i="65"/>
  <c r="R17" i="65"/>
  <c r="B82" i="65"/>
  <c r="P78" i="65"/>
  <c r="R61" i="65"/>
  <c r="P17" i="65"/>
  <c r="L13" i="65"/>
  <c r="O5" i="65"/>
  <c r="I16" i="65"/>
  <c r="O3" i="65"/>
  <c r="M11" i="65"/>
  <c r="B32" i="65"/>
  <c r="E30" i="65"/>
  <c r="N14" i="65"/>
  <c r="L32" i="65"/>
  <c r="L5" i="65"/>
  <c r="R15" i="65"/>
  <c r="M24" i="65"/>
  <c r="K64" i="65"/>
  <c r="O24" i="65"/>
  <c r="P66" i="65"/>
  <c r="K9" i="65"/>
  <c r="B24" i="65"/>
  <c r="L42" i="65"/>
  <c r="R45" i="65"/>
  <c r="K43" i="65"/>
  <c r="D55" i="65"/>
  <c r="K50" i="65"/>
  <c r="B57" i="65"/>
  <c r="D58" i="65"/>
  <c r="O61" i="65"/>
  <c r="R66" i="65"/>
  <c r="F45" i="65"/>
  <c r="B58" i="65"/>
  <c r="O65" i="65"/>
  <c r="M42" i="65"/>
  <c r="G46" i="65"/>
  <c r="B40" i="65"/>
  <c r="J47" i="65"/>
  <c r="M36" i="65"/>
  <c r="N40" i="65"/>
  <c r="C43" i="65"/>
  <c r="B38" i="65"/>
  <c r="H41" i="65"/>
  <c r="N49" i="65"/>
  <c r="P51" i="65"/>
  <c r="D57" i="65"/>
  <c r="C61" i="65"/>
  <c r="L64" i="65"/>
  <c r="M68" i="65"/>
  <c r="L38" i="65"/>
  <c r="I42" i="65"/>
  <c r="M47" i="65"/>
  <c r="E50" i="65"/>
  <c r="D52" i="65"/>
  <c r="E59" i="65"/>
  <c r="F65" i="65"/>
  <c r="F67" i="65"/>
  <c r="R42" i="65"/>
  <c r="F71" i="65"/>
  <c r="F53" i="65"/>
  <c r="N69" i="65"/>
  <c r="G73" i="65"/>
  <c r="G77" i="65"/>
  <c r="R63" i="65"/>
  <c r="M79" i="65"/>
  <c r="C79" i="65"/>
  <c r="E74" i="65"/>
  <c r="B74" i="65"/>
  <c r="I82" i="65"/>
  <c r="B84" i="65"/>
  <c r="G80" i="65"/>
  <c r="H83" i="65"/>
  <c r="L84" i="65"/>
  <c r="E84" i="65"/>
  <c r="N6" i="65"/>
  <c r="J6" i="65"/>
  <c r="K28" i="65"/>
  <c r="N28" i="65"/>
  <c r="C29" i="65"/>
  <c r="R16" i="65"/>
  <c r="L21" i="65"/>
  <c r="K26" i="65"/>
  <c r="R33" i="65"/>
  <c r="K14" i="65"/>
  <c r="B16" i="65"/>
  <c r="N19" i="65"/>
  <c r="P8" i="65"/>
  <c r="N4" i="65"/>
  <c r="F4" i="65"/>
  <c r="R32" i="65"/>
  <c r="N3" i="65"/>
  <c r="F7" i="65"/>
  <c r="M30" i="65"/>
  <c r="P16" i="65"/>
  <c r="F31" i="65"/>
  <c r="N71" i="65"/>
  <c r="R81" i="65"/>
  <c r="R41" i="65"/>
  <c r="L68" i="65"/>
  <c r="R9" i="65"/>
  <c r="K24" i="65"/>
  <c r="L45" i="65"/>
  <c r="E45" i="65"/>
  <c r="M55" i="65"/>
  <c r="C50" i="65"/>
  <c r="P57" i="65"/>
  <c r="K58" i="65"/>
  <c r="K60" i="65"/>
  <c r="E61" i="65"/>
  <c r="J39" i="65"/>
  <c r="K66" i="65"/>
  <c r="D39" i="65"/>
  <c r="O45" i="65"/>
  <c r="L58" i="65"/>
  <c r="J65" i="65"/>
  <c r="F66" i="65"/>
  <c r="N43" i="65"/>
  <c r="J46" i="65"/>
  <c r="C36" i="65"/>
  <c r="K40" i="65"/>
  <c r="B47" i="65"/>
  <c r="B41" i="65"/>
  <c r="E46" i="65"/>
  <c r="L43" i="65"/>
  <c r="J38" i="65"/>
  <c r="J41" i="65"/>
  <c r="B50" i="65"/>
  <c r="H51" i="65"/>
  <c r="N57" i="65"/>
  <c r="M61" i="65"/>
  <c r="G66" i="65"/>
  <c r="D68" i="65"/>
  <c r="H39" i="65"/>
  <c r="G43" i="65"/>
  <c r="N50" i="65"/>
  <c r="L52" i="65"/>
  <c r="O59" i="65"/>
  <c r="L67" i="65"/>
  <c r="J66" i="65"/>
  <c r="M71" i="65"/>
  <c r="G75" i="65"/>
  <c r="L75" i="65"/>
  <c r="J53" i="65"/>
  <c r="F69" i="65"/>
  <c r="P73" i="65"/>
  <c r="P77" i="65"/>
  <c r="L63" i="65"/>
  <c r="K76" i="65"/>
  <c r="O79" i="65"/>
  <c r="J74" i="65"/>
  <c r="K74" i="65"/>
  <c r="I81" i="65"/>
  <c r="J84" i="65"/>
  <c r="O80" i="65"/>
  <c r="P83" i="65"/>
  <c r="R84" i="65"/>
  <c r="M84" i="65"/>
  <c r="E6" i="65"/>
  <c r="K6" i="65"/>
  <c r="O12" i="65"/>
  <c r="C28" i="65"/>
  <c r="O28" i="65"/>
  <c r="L29" i="65"/>
  <c r="I33" i="65"/>
  <c r="R10" i="65"/>
  <c r="I27" i="65"/>
  <c r="O15" i="65"/>
  <c r="K33" i="65"/>
  <c r="B15" i="65"/>
  <c r="M16" i="65"/>
  <c r="F19" i="65"/>
  <c r="M26" i="65"/>
  <c r="R4" i="65"/>
  <c r="L31" i="65"/>
  <c r="N8" i="65"/>
  <c r="M4" i="65"/>
  <c r="K8" i="65"/>
  <c r="O26" i="65"/>
  <c r="C14" i="65"/>
  <c r="C19" i="65"/>
  <c r="J23" i="65"/>
  <c r="C23" i="65"/>
  <c r="P20" i="65"/>
  <c r="E23" i="65"/>
  <c r="I9" i="65"/>
  <c r="B20" i="65"/>
  <c r="F23" i="65"/>
  <c r="C20" i="65"/>
  <c r="R6" i="65"/>
  <c r="C5" i="65"/>
  <c r="P5" i="65"/>
  <c r="N5" i="65"/>
  <c r="N13" i="65"/>
  <c r="E8" i="65"/>
  <c r="K3" i="65"/>
  <c r="I31" i="65"/>
  <c r="I32" i="65"/>
  <c r="E32" i="65"/>
  <c r="D7" i="65"/>
  <c r="F25" i="65"/>
  <c r="F5" i="65"/>
  <c r="C13" i="65"/>
  <c r="B10" i="65"/>
  <c r="L30" i="65"/>
  <c r="E3" i="65"/>
  <c r="O33" i="65"/>
  <c r="I3" i="65"/>
  <c r="P11" i="65"/>
  <c r="E20" i="65"/>
  <c r="L11" i="65"/>
  <c r="O7" i="65"/>
  <c r="M49" i="65"/>
  <c r="J32" i="65"/>
  <c r="E4" i="65"/>
  <c r="C10" i="65"/>
  <c r="J33" i="65"/>
  <c r="C11" i="65"/>
  <c r="R20" i="65"/>
  <c r="J34" i="65"/>
  <c r="R22" i="65"/>
  <c r="R38" i="65"/>
  <c r="I36" i="65"/>
  <c r="K46" i="65"/>
  <c r="C66" i="65"/>
  <c r="B55" i="65"/>
  <c r="R59" i="65"/>
  <c r="H60" i="65"/>
  <c r="J64" i="65"/>
  <c r="R39" i="65"/>
  <c r="I66" i="65"/>
  <c r="M40" i="65"/>
  <c r="E55" i="65"/>
  <c r="B60" i="65"/>
  <c r="E65" i="65"/>
  <c r="H49" i="65"/>
  <c r="K49" i="65"/>
  <c r="I38" i="65"/>
  <c r="P45" i="65"/>
  <c r="B35" i="65"/>
  <c r="L47" i="65"/>
  <c r="O39" i="65"/>
  <c r="P42" i="65"/>
  <c r="F49" i="65"/>
  <c r="K51" i="65"/>
  <c r="D59" i="65"/>
  <c r="K68" i="65"/>
  <c r="K35" i="65"/>
  <c r="O40" i="65"/>
  <c r="J48" i="65"/>
  <c r="E57" i="65"/>
  <c r="D61" i="65"/>
  <c r="H67" i="65"/>
  <c r="D71" i="65"/>
  <c r="P75" i="65"/>
  <c r="N75" i="65"/>
  <c r="K75" i="65"/>
  <c r="G56" i="65"/>
  <c r="O72" i="65"/>
  <c r="H76" i="65"/>
  <c r="R79" i="65"/>
  <c r="R76" i="65"/>
  <c r="K73" i="65"/>
  <c r="J77" i="65"/>
  <c r="K77" i="65"/>
  <c r="L77" i="65"/>
  <c r="R83" i="65"/>
  <c r="L82" i="65"/>
  <c r="I62" i="65"/>
  <c r="L81" i="65"/>
  <c r="M6" i="65"/>
  <c r="B12" i="65"/>
  <c r="N29" i="65"/>
  <c r="P29" i="65"/>
  <c r="F21" i="65"/>
  <c r="C21" i="65"/>
  <c r="K7" i="65"/>
  <c r="J10" i="65"/>
  <c r="N32" i="65"/>
  <c r="N33" i="65"/>
  <c r="E14" i="65"/>
  <c r="K16" i="65"/>
  <c r="P19" i="65"/>
  <c r="R19" i="65"/>
  <c r="R13" i="65"/>
  <c r="F18" i="65"/>
  <c r="B7" i="65"/>
  <c r="K10" i="65"/>
  <c r="L16" i="65"/>
  <c r="P18" i="65"/>
  <c r="O13" i="65"/>
  <c r="I10" i="65"/>
  <c r="C32" i="65"/>
  <c r="N16" i="65"/>
  <c r="O18" i="65"/>
  <c r="F3" i="65"/>
  <c r="P10" i="65"/>
  <c r="P3" i="65"/>
  <c r="E13" i="65"/>
  <c r="D5" i="65"/>
  <c r="J14" i="65"/>
  <c r="N22" i="65"/>
  <c r="F24" i="65"/>
  <c r="O17" i="65"/>
  <c r="B45" i="65"/>
  <c r="E42" i="65"/>
  <c r="C55" i="65"/>
  <c r="P59" i="65"/>
  <c r="L60" i="65"/>
  <c r="N66" i="65"/>
  <c r="M60" i="65"/>
  <c r="C65" i="65"/>
  <c r="L49" i="65"/>
  <c r="G45" i="65"/>
  <c r="E36" i="65"/>
  <c r="K41" i="65"/>
  <c r="C47" i="65"/>
  <c r="L36" i="65"/>
  <c r="G42" i="65"/>
  <c r="M50" i="65"/>
  <c r="N59" i="65"/>
  <c r="E64" i="65"/>
  <c r="F36" i="65"/>
  <c r="P43" i="65"/>
  <c r="E48" i="65"/>
  <c r="C52" i="65"/>
  <c r="O60" i="65"/>
  <c r="I67" i="65"/>
  <c r="R71" i="65"/>
  <c r="J56" i="65"/>
  <c r="D74" i="65"/>
  <c r="D79" i="65"/>
  <c r="B73" i="65"/>
  <c r="M74" i="65"/>
  <c r="I84" i="65"/>
  <c r="I54" i="65"/>
  <c r="M82" i="65"/>
  <c r="I80" i="65"/>
  <c r="E12" i="65"/>
  <c r="F28" i="65"/>
  <c r="K19" i="65"/>
  <c r="J21" i="65"/>
  <c r="L10" i="65"/>
  <c r="K32" i="65"/>
  <c r="M14" i="65"/>
  <c r="J16" i="65"/>
  <c r="L19" i="65"/>
  <c r="J4" i="65"/>
  <c r="L4" i="65"/>
  <c r="N26" i="65"/>
  <c r="E5" i="65"/>
  <c r="N10" i="65"/>
  <c r="E31" i="65"/>
  <c r="O16" i="65"/>
  <c r="O25" i="65"/>
  <c r="P22" i="65"/>
  <c r="I22" i="65"/>
  <c r="I13" i="65"/>
  <c r="C25" i="65"/>
  <c r="J13" i="65"/>
  <c r="P34" i="65"/>
  <c r="R25" i="65"/>
  <c r="E25" i="65"/>
  <c r="M65" i="65"/>
  <c r="N20" i="65"/>
  <c r="K45" i="65"/>
  <c r="N42" i="65"/>
  <c r="K55" i="65"/>
  <c r="J57" i="65"/>
  <c r="H59" i="65"/>
  <c r="N61" i="65"/>
  <c r="B39" i="65"/>
  <c r="B36" i="65"/>
  <c r="C46" i="65"/>
  <c r="B61" i="65"/>
  <c r="C45" i="65"/>
  <c r="D46" i="65"/>
  <c r="H42" i="65"/>
  <c r="R36" i="65"/>
  <c r="D43" i="65"/>
  <c r="O51" i="65"/>
  <c r="D60" i="65"/>
  <c r="I37" i="65"/>
  <c r="I45" i="65"/>
  <c r="M52" i="65"/>
  <c r="P61" i="65"/>
  <c r="O67" i="65"/>
  <c r="P14" i="65"/>
  <c r="M32" i="65"/>
  <c r="B5" i="65"/>
  <c r="K13" i="65"/>
  <c r="E24" i="65"/>
  <c r="K34" i="65"/>
  <c r="R24" i="65"/>
  <c r="B43" i="65"/>
  <c r="O66" i="65"/>
  <c r="G57" i="65"/>
  <c r="K59" i="65"/>
  <c r="F61" i="65"/>
  <c r="K39" i="65"/>
  <c r="J36" i="65"/>
  <c r="L46" i="65"/>
  <c r="L61" i="65"/>
  <c r="P49" i="65"/>
  <c r="M45" i="65"/>
  <c r="K36" i="65"/>
  <c r="M46" i="65"/>
  <c r="C38" i="65"/>
  <c r="F42" i="65"/>
  <c r="M43" i="65"/>
  <c r="F51" i="65"/>
  <c r="N60" i="65"/>
  <c r="D38" i="65"/>
  <c r="G49" i="65"/>
  <c r="G55" i="65"/>
  <c r="B64" i="65"/>
  <c r="B68" i="65"/>
  <c r="P71" i="65"/>
  <c r="R75" i="65"/>
  <c r="H63" i="65"/>
  <c r="E77" i="65"/>
  <c r="D63" i="65"/>
  <c r="J76" i="65"/>
  <c r="H74" i="65"/>
  <c r="B77" i="65"/>
  <c r="I78" i="65"/>
  <c r="C84" i="65"/>
  <c r="G82" i="65"/>
  <c r="F6" i="65"/>
  <c r="F29" i="65"/>
  <c r="O29" i="65"/>
  <c r="M21" i="65"/>
  <c r="L14" i="65"/>
  <c r="L33" i="65"/>
  <c r="P7" i="65"/>
  <c r="R12" i="65"/>
  <c r="O4" i="65"/>
  <c r="N24" i="65"/>
  <c r="B9" i="65"/>
  <c r="N36" i="65"/>
  <c r="C39" i="65"/>
  <c r="N45" i="65"/>
  <c r="D49" i="65"/>
  <c r="L57" i="65"/>
  <c r="B59" i="65"/>
  <c r="K61" i="65"/>
  <c r="O55" i="65"/>
  <c r="J49" i="65"/>
  <c r="O46" i="65"/>
  <c r="K38" i="65"/>
  <c r="E43" i="65"/>
  <c r="O42" i="65"/>
  <c r="F39" i="65"/>
  <c r="E49" i="65"/>
  <c r="O64" i="65"/>
  <c r="C68" i="65"/>
  <c r="F46" i="65"/>
  <c r="M64" i="65"/>
  <c r="P68" i="65"/>
  <c r="G71" i="65"/>
  <c r="O75" i="65"/>
  <c r="B75" i="65"/>
  <c r="J69" i="65"/>
  <c r="O77" i="65"/>
  <c r="J63" i="65"/>
  <c r="H77" i="65"/>
  <c r="I77" i="65"/>
  <c r="R77" i="65"/>
  <c r="D82" i="65"/>
  <c r="K84" i="65"/>
  <c r="B83" i="65"/>
  <c r="L6" i="65"/>
  <c r="I28" i="65"/>
  <c r="M29" i="65"/>
  <c r="B29" i="65"/>
  <c r="E21" i="65"/>
  <c r="I4" i="65"/>
  <c r="K15" i="65"/>
  <c r="I21" i="65"/>
  <c r="C26" i="65"/>
  <c r="R27" i="65"/>
  <c r="E7" i="65"/>
  <c r="R11" i="65"/>
  <c r="P32" i="65"/>
  <c r="P21" i="65"/>
  <c r="I25" i="65"/>
  <c r="L23" i="65"/>
  <c r="C18" i="65"/>
  <c r="L18" i="65"/>
  <c r="N11" i="65"/>
  <c r="J31" i="65"/>
  <c r="P31" i="65"/>
  <c r="R26" i="65"/>
  <c r="R43" i="65"/>
  <c r="L39" i="65"/>
  <c r="B46" i="65"/>
  <c r="L59" i="65"/>
  <c r="M66" i="65"/>
  <c r="M39" i="65"/>
  <c r="C57" i="65"/>
  <c r="B65" i="65"/>
  <c r="K47" i="65"/>
  <c r="O43" i="65"/>
  <c r="C40" i="65"/>
  <c r="L50" i="65"/>
  <c r="F55" i="65"/>
  <c r="G64" i="65"/>
  <c r="O68" i="65"/>
  <c r="F40" i="65"/>
  <c r="P46" i="65"/>
  <c r="B51" i="65"/>
  <c r="O57" i="65"/>
  <c r="O71" i="65"/>
  <c r="F75" i="65"/>
  <c r="I44" i="65"/>
  <c r="J79" i="65"/>
  <c r="N77" i="65"/>
  <c r="G79" i="65"/>
  <c r="D83" i="65"/>
  <c r="R82" i="65"/>
  <c r="B81" i="65"/>
  <c r="J83" i="65"/>
  <c r="C6" i="65"/>
  <c r="P12" i="65"/>
  <c r="E29" i="65"/>
  <c r="R21" i="65"/>
  <c r="B26" i="65"/>
  <c r="L15" i="65"/>
  <c r="O19" i="65"/>
  <c r="E26" i="65"/>
  <c r="L26" i="65"/>
  <c r="K31" i="65"/>
  <c r="O11" i="65"/>
  <c r="B31" i="65"/>
  <c r="N7" i="65"/>
  <c r="F26" i="65"/>
  <c r="O14" i="65"/>
  <c r="N25" i="65"/>
  <c r="P25" i="65"/>
  <c r="R23" i="65"/>
  <c r="B22" i="65"/>
  <c r="K18" i="65"/>
  <c r="R18" i="65"/>
  <c r="N23" i="65"/>
  <c r="I34" i="65"/>
  <c r="O21" i="65"/>
  <c r="P24" i="65"/>
  <c r="J24" i="65"/>
  <c r="O82" i="65"/>
  <c r="D45" i="65"/>
  <c r="R46" i="65"/>
  <c r="J50" i="65"/>
  <c r="M58" i="65"/>
  <c r="E66" i="65"/>
  <c r="M57" i="65"/>
  <c r="N65" i="65"/>
  <c r="D42" i="65"/>
  <c r="B49" i="65"/>
  <c r="E39" i="65"/>
  <c r="R47" i="65"/>
  <c r="G39" i="65"/>
  <c r="H45" i="65"/>
  <c r="I35" i="65"/>
  <c r="L40" i="65"/>
  <c r="P55" i="65"/>
  <c r="F68" i="65"/>
  <c r="C41" i="65"/>
  <c r="D47" i="65"/>
  <c r="L51" i="65"/>
  <c r="R5" i="65"/>
  <c r="P13" i="65"/>
  <c r="N30" i="65"/>
  <c r="R34" i="65"/>
  <c r="J9" i="65"/>
  <c r="B42" i="65"/>
  <c r="J45" i="65"/>
  <c r="R55" i="65"/>
  <c r="R50" i="65"/>
  <c r="E58" i="65"/>
  <c r="C60" i="65"/>
  <c r="D66" i="65"/>
  <c r="B66" i="65"/>
  <c r="E40" i="65"/>
  <c r="C59" i="65"/>
  <c r="F43" i="65"/>
  <c r="R49" i="65"/>
  <c r="N39" i="65"/>
  <c r="J35" i="65"/>
  <c r="P39" i="65"/>
  <c r="P41" i="65"/>
  <c r="O49" i="65"/>
  <c r="C58" i="65"/>
  <c r="H64" i="65"/>
  <c r="N68" i="65"/>
  <c r="L41" i="65"/>
  <c r="P58" i="65"/>
  <c r="P67" i="65"/>
  <c r="C42" i="65"/>
  <c r="M75" i="65"/>
  <c r="J72" i="65"/>
  <c r="F79" i="65"/>
  <c r="G74" i="65"/>
  <c r="R74" i="65"/>
  <c r="G84" i="65"/>
  <c r="O83" i="65"/>
  <c r="B6" i="65"/>
  <c r="M12" i="65"/>
  <c r="P28" i="65"/>
  <c r="I15" i="65"/>
  <c r="K21" i="65"/>
  <c r="J7" i="65"/>
  <c r="E33" i="65"/>
  <c r="C16" i="65"/>
  <c r="M19" i="65"/>
  <c r="M31" i="65"/>
  <c r="J11" i="65"/>
  <c r="D4" i="65"/>
  <c r="R8" i="65"/>
  <c r="L27" i="65"/>
  <c r="N15" i="65"/>
  <c r="J18" i="65"/>
  <c r="J25" i="65"/>
  <c r="I30" i="65"/>
  <c r="L22" i="65"/>
  <c r="J17" i="65"/>
  <c r="O23" i="65"/>
  <c r="L55" i="65"/>
  <c r="N55" i="65"/>
  <c r="N58" i="65"/>
  <c r="J68" i="65"/>
  <c r="J40" i="65"/>
  <c r="M59" i="65"/>
  <c r="L65" i="65"/>
  <c r="J43" i="65"/>
  <c r="C49" i="65"/>
  <c r="J42" i="65"/>
  <c r="E75" i="65"/>
  <c r="I73" i="65"/>
  <c r="R73" i="65"/>
  <c r="H79" i="65"/>
  <c r="I83" i="65"/>
  <c r="I6" i="65"/>
  <c r="M33" i="65"/>
  <c r="J27" i="65"/>
  <c r="J8" i="65"/>
  <c r="J5" i="65"/>
  <c r="O31" i="65"/>
  <c r="I20" i="65"/>
  <c r="B13" i="65"/>
  <c r="M25" i="65"/>
  <c r="C7" i="65"/>
  <c r="B23" i="65"/>
  <c r="C71" i="65"/>
  <c r="R31" i="65"/>
  <c r="I18" i="65"/>
  <c r="E18" i="65"/>
  <c r="O58" i="65"/>
  <c r="F58" i="65"/>
  <c r="L71" i="65"/>
  <c r="D75" i="65"/>
  <c r="G72" i="65"/>
  <c r="P74" i="65"/>
  <c r="F77" i="65"/>
  <c r="I70" i="65"/>
  <c r="E60" i="65"/>
  <c r="D36" i="65"/>
  <c r="N64" i="65"/>
  <c r="M48" i="65"/>
  <c r="C75" i="65"/>
  <c r="N74" i="65"/>
  <c r="C76" i="65"/>
  <c r="L83" i="65"/>
  <c r="J81" i="65"/>
  <c r="D81" i="65"/>
  <c r="E28" i="65"/>
  <c r="N21" i="65"/>
  <c r="D40" i="65"/>
  <c r="H66" i="65"/>
  <c r="H75" i="65"/>
  <c r="N53" i="65"/>
  <c r="N79" i="65"/>
  <c r="O84" i="65"/>
  <c r="P6" i="65"/>
  <c r="F12" i="65"/>
  <c r="B27" i="65"/>
  <c r="B11" i="65"/>
  <c r="M23" i="65"/>
  <c r="M18" i="65"/>
  <c r="K20" i="65"/>
  <c r="K22" i="65"/>
  <c r="B18" i="65"/>
  <c r="J12" i="65"/>
  <c r="R7" i="65"/>
  <c r="L79" i="65"/>
  <c r="B79" i="65"/>
  <c r="E82" i="65"/>
  <c r="N12" i="65"/>
  <c r="O32" i="65"/>
  <c r="B33" i="65"/>
  <c r="B4" i="65"/>
  <c r="C31" i="65"/>
  <c r="K27" i="65"/>
  <c r="K11" i="65"/>
  <c r="P33" i="65"/>
  <c r="B25" i="65"/>
  <c r="K25" i="65"/>
  <c r="C35" i="65"/>
  <c r="I75" i="65"/>
  <c r="O56" i="65"/>
  <c r="K79" i="65"/>
  <c r="C77" i="65"/>
  <c r="O6" i="65"/>
  <c r="B21" i="65"/>
  <c r="F32" i="65"/>
  <c r="K4" i="65"/>
  <c r="C4" i="65"/>
  <c r="N31" i="65"/>
  <c r="C27" i="65"/>
  <c r="I23" i="65"/>
  <c r="K23" i="65"/>
  <c r="C22" i="65"/>
  <c r="I24" i="65"/>
  <c r="R14" i="65"/>
  <c r="B8" i="65"/>
  <c r="J22" i="65"/>
  <c r="L25" i="65"/>
  <c r="E10" i="65"/>
  <c r="R40" i="65"/>
  <c r="N46" i="65"/>
  <c r="D50" i="65"/>
  <c r="K52" i="65"/>
  <c r="K42" i="65"/>
  <c r="J73" i="65"/>
  <c r="G83" i="65"/>
  <c r="D6" i="65"/>
  <c r="K29" i="65"/>
  <c r="P15" i="65"/>
  <c r="E19" i="65"/>
  <c r="P27" i="65"/>
  <c r="F8" i="65"/>
  <c r="M5" i="65"/>
  <c r="I17" i="65"/>
  <c r="D84" i="65"/>
  <c r="J26" i="65"/>
  <c r="E16" i="65"/>
  <c r="J20" i="65"/>
  <c r="C4" i="41"/>
  <c r="D4" i="41"/>
  <c r="E4" i="41"/>
  <c r="F4" i="41"/>
  <c r="G4" i="41"/>
  <c r="D5" i="41"/>
  <c r="D18" i="41"/>
  <c r="D26" i="41"/>
  <c r="E19" i="41"/>
  <c r="E27" i="41"/>
  <c r="E13" i="41"/>
  <c r="D12" i="41"/>
  <c r="D19" i="41"/>
  <c r="D27" i="41"/>
  <c r="E20" i="41"/>
  <c r="E8" i="41"/>
  <c r="E9" i="41"/>
  <c r="D16" i="41"/>
  <c r="E17" i="41"/>
  <c r="D11" i="41"/>
  <c r="D17" i="41"/>
  <c r="E18" i="41"/>
  <c r="E12" i="41"/>
  <c r="D13" i="41"/>
  <c r="D20" i="41"/>
  <c r="D3" i="41"/>
  <c r="E21" i="41"/>
  <c r="E6" i="41"/>
  <c r="E3" i="41"/>
  <c r="D8" i="41"/>
  <c r="D9" i="41"/>
  <c r="D21" i="41"/>
  <c r="E14" i="41"/>
  <c r="E22" i="41"/>
  <c r="E7" i="41"/>
  <c r="E15" i="41"/>
  <c r="E23" i="41"/>
  <c r="E10" i="41"/>
  <c r="D15" i="41"/>
  <c r="D23" i="41"/>
  <c r="E16" i="41"/>
  <c r="E24" i="41"/>
  <c r="E11" i="41"/>
  <c r="D10" i="41"/>
  <c r="D24" i="41"/>
  <c r="E25" i="41"/>
  <c r="E5" i="41"/>
  <c r="D25" i="41"/>
  <c r="E26" i="41"/>
  <c r="D6" i="41"/>
  <c r="D14" i="41"/>
  <c r="D22" i="41"/>
  <c r="D7" i="41"/>
  <c r="E5" i="8"/>
  <c r="F4" i="7"/>
  <c r="F12" i="7"/>
  <c r="F20" i="7"/>
  <c r="F27" i="7"/>
  <c r="F35" i="7"/>
  <c r="E27" i="7"/>
  <c r="E28" i="7"/>
  <c r="E35" i="7"/>
  <c r="F5" i="7"/>
  <c r="F13" i="7"/>
  <c r="F21" i="7"/>
  <c r="F28" i="7"/>
  <c r="F36" i="7"/>
  <c r="E32" i="7"/>
  <c r="E40" i="7"/>
  <c r="F34" i="7"/>
  <c r="F6" i="7"/>
  <c r="F14" i="7"/>
  <c r="F22" i="7"/>
  <c r="F29" i="7"/>
  <c r="F37" i="7"/>
  <c r="E31" i="7"/>
  <c r="E37" i="7"/>
  <c r="E41" i="7"/>
  <c r="F11" i="7"/>
  <c r="E38" i="7"/>
  <c r="F7" i="7"/>
  <c r="F15" i="7"/>
  <c r="F23" i="7"/>
  <c r="F30" i="7"/>
  <c r="F38" i="7"/>
  <c r="E34" i="7"/>
  <c r="F33" i="7"/>
  <c r="F3" i="7"/>
  <c r="F8" i="7"/>
  <c r="F16" i="7"/>
  <c r="F24" i="7"/>
  <c r="F31" i="7"/>
  <c r="F39" i="7"/>
  <c r="E39" i="7"/>
  <c r="E33" i="7"/>
  <c r="F9" i="7"/>
  <c r="F17" i="7"/>
  <c r="F25" i="7"/>
  <c r="F32" i="7"/>
  <c r="F40" i="7"/>
  <c r="E29" i="7"/>
  <c r="E30" i="7"/>
  <c r="E36" i="7"/>
  <c r="F10" i="7"/>
  <c r="F18" i="7"/>
  <c r="F26" i="7"/>
  <c r="F41" i="7"/>
  <c r="F19" i="7"/>
  <c r="E11" i="8"/>
  <c r="E22" i="8"/>
  <c r="E23" i="8"/>
  <c r="E24" i="8"/>
  <c r="E27" i="8"/>
  <c r="E25" i="8"/>
  <c r="E10" i="8"/>
  <c r="E14" i="8"/>
  <c r="E8" i="8"/>
  <c r="E17" i="8"/>
  <c r="E18" i="8"/>
  <c r="E4" i="8"/>
  <c r="E19" i="8"/>
  <c r="E6" i="8"/>
  <c r="E20" i="8"/>
  <c r="E7" i="8"/>
  <c r="E26" i="8"/>
  <c r="E15" i="8"/>
  <c r="E9" i="8"/>
  <c r="E16" i="8"/>
  <c r="E3" i="8"/>
  <c r="E3" i="7"/>
  <c r="G26" i="41"/>
  <c r="F23" i="41"/>
  <c r="C22" i="41"/>
  <c r="G18" i="41"/>
  <c r="F15" i="41"/>
  <c r="C14" i="41"/>
  <c r="G5" i="41"/>
  <c r="F7" i="41"/>
  <c r="F26" i="41"/>
  <c r="C25" i="41"/>
  <c r="G21" i="41"/>
  <c r="F18" i="41"/>
  <c r="C17" i="41"/>
  <c r="G9" i="41"/>
  <c r="F5" i="41"/>
  <c r="C11" i="41"/>
  <c r="G6" i="41"/>
  <c r="E24" i="7"/>
  <c r="E17" i="7"/>
  <c r="E13" i="7"/>
  <c r="E9" i="7"/>
  <c r="E4" i="7"/>
  <c r="G24" i="41"/>
  <c r="F21" i="41"/>
  <c r="C20" i="41"/>
  <c r="G16" i="41"/>
  <c r="F9" i="41"/>
  <c r="C13" i="41"/>
  <c r="G10" i="41"/>
  <c r="F6" i="41"/>
  <c r="C8" i="41"/>
  <c r="E20" i="7"/>
  <c r="E5" i="7"/>
  <c r="G27" i="41"/>
  <c r="F24" i="41"/>
  <c r="C23" i="41"/>
  <c r="G19" i="41"/>
  <c r="F16" i="41"/>
  <c r="C15" i="41"/>
  <c r="G12" i="41"/>
  <c r="F10" i="41"/>
  <c r="C7" i="41"/>
  <c r="G3" i="41"/>
  <c r="E23" i="7"/>
  <c r="E16" i="7"/>
  <c r="E12" i="7"/>
  <c r="E8" i="7"/>
  <c r="E7" i="7"/>
  <c r="E6" i="7"/>
  <c r="F27" i="41"/>
  <c r="C26" i="41"/>
  <c r="G22" i="41"/>
  <c r="F19" i="41"/>
  <c r="C18" i="41"/>
  <c r="G14" i="41"/>
  <c r="F12" i="41"/>
  <c r="C5" i="41"/>
  <c r="F3" i="41"/>
  <c r="E19" i="7"/>
  <c r="G25" i="41"/>
  <c r="F22" i="41"/>
  <c r="C21" i="41"/>
  <c r="G17" i="41"/>
  <c r="F14" i="41"/>
  <c r="C9" i="41"/>
  <c r="G11" i="41"/>
  <c r="C6" i="41"/>
  <c r="E26" i="7"/>
  <c r="E22" i="7"/>
  <c r="E15" i="7"/>
  <c r="E11" i="7"/>
  <c r="F25" i="41"/>
  <c r="C24" i="41"/>
  <c r="G20" i="41"/>
  <c r="F17" i="41"/>
  <c r="C16" i="41"/>
  <c r="G13" i="41"/>
  <c r="F11" i="41"/>
  <c r="C10" i="41"/>
  <c r="G8" i="41"/>
  <c r="C27" i="41"/>
  <c r="G23" i="41"/>
  <c r="F20" i="41"/>
  <c r="C19" i="41"/>
  <c r="G15" i="41"/>
  <c r="F13" i="41"/>
  <c r="C12" i="41"/>
  <c r="G7" i="41"/>
  <c r="F8" i="41"/>
  <c r="C3" i="41"/>
  <c r="E25" i="7"/>
  <c r="E21" i="7"/>
  <c r="E18" i="7"/>
  <c r="E14" i="7"/>
  <c r="E10" i="7"/>
  <c r="S35" i="65" l="1"/>
  <c r="D2" i="67"/>
  <c r="S24" i="65"/>
  <c r="S20" i="65"/>
  <c r="S6" i="65"/>
  <c r="S33" i="65"/>
  <c r="S26" i="65"/>
  <c r="S29" i="65"/>
  <c r="S4" i="65"/>
  <c r="S34" i="65"/>
  <c r="S25" i="65"/>
  <c r="S13" i="65"/>
  <c r="S28" i="65"/>
  <c r="S22" i="65"/>
  <c r="S3" i="65"/>
  <c r="S27" i="65"/>
  <c r="S17" i="65"/>
  <c r="S5" i="65"/>
  <c r="S7" i="65"/>
  <c r="S21" i="65"/>
  <c r="S11" i="65"/>
  <c r="S15" i="65"/>
  <c r="S19" i="65"/>
  <c r="S14" i="65"/>
  <c r="S23" i="65"/>
  <c r="S12" i="65"/>
  <c r="S30" i="65"/>
  <c r="S16" i="65"/>
  <c r="S32" i="65"/>
  <c r="S8" i="65"/>
  <c r="S18" i="65"/>
  <c r="S31" i="65"/>
  <c r="S10" i="65"/>
  <c r="S9" i="65"/>
  <c r="C2" i="41"/>
  <c r="G2" i="41"/>
  <c r="E2" i="41"/>
  <c r="D2" i="41"/>
  <c r="F2" i="41"/>
  <c r="T2" i="6"/>
  <c r="E2" i="8"/>
  <c r="E2" i="7"/>
  <c r="F2" i="7"/>
</calcChain>
</file>

<file path=xl/sharedStrings.xml><?xml version="1.0" encoding="utf-8"?>
<sst xmlns="http://schemas.openxmlformats.org/spreadsheetml/2006/main" count="2513" uniqueCount="669">
  <si>
    <t>Site ID</t>
  </si>
  <si>
    <t xml:space="preserve">Site Name </t>
  </si>
  <si>
    <t>Operation Region</t>
  </si>
  <si>
    <t>Team</t>
  </si>
  <si>
    <t>Tx plan</t>
  </si>
  <si>
    <t>SE</t>
  </si>
  <si>
    <t>Western</t>
  </si>
  <si>
    <t>OFN</t>
  </si>
  <si>
    <t>MW-HYB</t>
  </si>
  <si>
    <t>Chanaka</t>
  </si>
  <si>
    <t>WiBAS</t>
  </si>
  <si>
    <t>Central</t>
  </si>
  <si>
    <t>Lucky</t>
  </si>
  <si>
    <t>Link Removal Status</t>
  </si>
  <si>
    <t>Removed</t>
  </si>
  <si>
    <t>Site Status</t>
  </si>
  <si>
    <t>Remarks</t>
  </si>
  <si>
    <t>On Hold</t>
  </si>
  <si>
    <t>Site Name</t>
  </si>
  <si>
    <t>Lat</t>
  </si>
  <si>
    <t>Long</t>
  </si>
  <si>
    <t>Technology</t>
  </si>
  <si>
    <t>Hop Reference</t>
  </si>
  <si>
    <t>Mapping Near End</t>
  </si>
  <si>
    <t>Mapping Far End</t>
  </si>
  <si>
    <t>Site  ID</t>
  </si>
  <si>
    <t>WO ID</t>
  </si>
  <si>
    <t>Model [Vendor, Product &amp; Model]</t>
  </si>
  <si>
    <t>Link Config</t>
  </si>
  <si>
    <t>Capacity /Mbps</t>
  </si>
  <si>
    <t>Channel Bandwidth / MHz</t>
  </si>
  <si>
    <t>Polarization</t>
  </si>
  <si>
    <t>Hop Distance / km</t>
  </si>
  <si>
    <t>Tx Power/ dBm</t>
  </si>
  <si>
    <t>RSL</t>
  </si>
  <si>
    <t>Near End Site ID</t>
  </si>
  <si>
    <t>Near End Site Name</t>
  </si>
  <si>
    <t>Near End Latitude</t>
  </si>
  <si>
    <t>Near End Longitude</t>
  </si>
  <si>
    <t>Near End Elevation</t>
  </si>
  <si>
    <t>Near End Tx Frequency 1</t>
  </si>
  <si>
    <t>Near End Antenna Diameter / m</t>
  </si>
  <si>
    <t>Near End Azimuth</t>
  </si>
  <si>
    <t>Near End Antenna Height / m</t>
  </si>
  <si>
    <t>Near End NE Name</t>
  </si>
  <si>
    <t>Far End Site ID</t>
  </si>
  <si>
    <t>Far End Site Name</t>
  </si>
  <si>
    <t>Far End Latitude</t>
  </si>
  <si>
    <t>Far End Longitude</t>
  </si>
  <si>
    <t>Far End Elevation</t>
  </si>
  <si>
    <t>Far End Tx Frequency 1</t>
  </si>
  <si>
    <t>Far End Antenna Diameter / m</t>
  </si>
  <si>
    <t>Far End Azimuth</t>
  </si>
  <si>
    <t>Far End Antenna Height / m</t>
  </si>
  <si>
    <t>Far End NE Name</t>
  </si>
  <si>
    <t>Gateway IP</t>
  </si>
  <si>
    <t>DCN IP</t>
  </si>
  <si>
    <t>Backhaul Router</t>
  </si>
  <si>
    <t>Backhaul Port</t>
  </si>
  <si>
    <t>1+0</t>
  </si>
  <si>
    <t>V</t>
  </si>
  <si>
    <t>Huawei</t>
  </si>
  <si>
    <t>RRU5909</t>
  </si>
  <si>
    <t>Kurunegala</t>
  </si>
  <si>
    <t>DAP Officer</t>
  </si>
  <si>
    <t>PAT Confirmation</t>
  </si>
  <si>
    <t>UAT DOC</t>
  </si>
  <si>
    <t>NETECO Confirmation</t>
  </si>
  <si>
    <t>Handover to OMCR</t>
  </si>
  <si>
    <t>Link Acceptance</t>
  </si>
  <si>
    <t>Material Collection Status</t>
  </si>
  <si>
    <t>Site  Name</t>
  </si>
  <si>
    <t>MW Link Size</t>
  </si>
  <si>
    <t>0.6m</t>
  </si>
  <si>
    <t>FTK Vendor</t>
  </si>
  <si>
    <t>Vendor</t>
  </si>
  <si>
    <t>N/A</t>
  </si>
  <si>
    <t>Pending</t>
  </si>
  <si>
    <t>Tx WO</t>
  </si>
  <si>
    <t>Removed MW Location</t>
  </si>
  <si>
    <t>Installation Planned Date</t>
  </si>
  <si>
    <t>Installation End Date</t>
  </si>
  <si>
    <t>Installation Start Date</t>
  </si>
  <si>
    <t>Commissioned Date</t>
  </si>
  <si>
    <t>Site Height (m)</t>
  </si>
  <si>
    <t>GE0/2/4</t>
  </si>
  <si>
    <t>Asanka</t>
  </si>
  <si>
    <t>Ericsson</t>
  </si>
  <si>
    <t>0.3m</t>
  </si>
  <si>
    <t>1.2m</t>
  </si>
  <si>
    <t>Extention Brackets OK</t>
  </si>
  <si>
    <t>Wi-Bas</t>
  </si>
  <si>
    <t>UNIMS</t>
  </si>
  <si>
    <t>Removed Date</t>
  </si>
  <si>
    <t>Received</t>
  </si>
  <si>
    <t>Antenna Bracket Status</t>
  </si>
  <si>
    <t>RRU Bracket Status</t>
  </si>
  <si>
    <t>MW Bracket Status</t>
  </si>
  <si>
    <t>BTS Mounting Pole</t>
  </si>
  <si>
    <t>Inhouse</t>
  </si>
  <si>
    <t>MW Vendor</t>
  </si>
  <si>
    <t>Rectifier Installation Status</t>
  </si>
  <si>
    <t>Commissioning Data Requested</t>
  </si>
  <si>
    <t>Athula</t>
  </si>
  <si>
    <t>License Requested</t>
  </si>
  <si>
    <t>Tx Pending</t>
  </si>
  <si>
    <t>Tx Status</t>
  </si>
  <si>
    <t>MW Link OK</t>
  </si>
  <si>
    <t>On Air Pending</t>
  </si>
  <si>
    <t>ANO</t>
  </si>
  <si>
    <t>Total Sites</t>
  </si>
  <si>
    <t>Other</t>
  </si>
  <si>
    <t>in progress</t>
  </si>
  <si>
    <t>blocked</t>
  </si>
  <si>
    <t>pending mob.</t>
  </si>
  <si>
    <t>TOTAL</t>
  </si>
  <si>
    <t>Batch</t>
  </si>
  <si>
    <t>allocated</t>
  </si>
  <si>
    <t>Southern</t>
  </si>
  <si>
    <t>Northern</t>
  </si>
  <si>
    <t>Sudarshan</t>
  </si>
  <si>
    <t>NMS Addition</t>
  </si>
  <si>
    <t>live</t>
  </si>
  <si>
    <t>unclassified</t>
  </si>
  <si>
    <t>CM0234</t>
  </si>
  <si>
    <t>Waga</t>
  </si>
  <si>
    <t>GE0/2/1</t>
  </si>
  <si>
    <t>ODF Port</t>
  </si>
  <si>
    <t>28Mhz</t>
  </si>
  <si>
    <t>🗓 LP SITES DASHBOARD 🗼</t>
  </si>
  <si>
    <t>Team Performance Table</t>
  </si>
  <si>
    <t>Completion %</t>
  </si>
  <si>
    <t>Unassigned</t>
  </si>
  <si>
    <t>Eastern</t>
  </si>
  <si>
    <t>Hop Reference / Link ID</t>
  </si>
  <si>
    <t>UAT Updates</t>
  </si>
  <si>
    <t>Pending Issue</t>
  </si>
  <si>
    <t>ANO Acceptance</t>
  </si>
  <si>
    <t>Janaka</t>
  </si>
  <si>
    <t>Site Status Remarks</t>
  </si>
  <si>
    <t>Amal</t>
  </si>
  <si>
    <t>Sandun</t>
  </si>
  <si>
    <t>On Air Plan Date</t>
  </si>
  <si>
    <t>Tooway Feedback</t>
  </si>
  <si>
    <t>PAT Plan Date</t>
  </si>
  <si>
    <t>PAT Done Date</t>
  </si>
  <si>
    <t>WO</t>
  </si>
  <si>
    <t>Material</t>
  </si>
  <si>
    <t>On Air &amp; Partially On Air</t>
  </si>
  <si>
    <t>Pre AP Confirmation</t>
  </si>
  <si>
    <t>Post AP Confirmation</t>
  </si>
  <si>
    <t>10 Port</t>
  </si>
  <si>
    <t>KI5029</t>
  </si>
  <si>
    <t>Pallikuda_Lamp</t>
  </si>
  <si>
    <t>KI5032</t>
  </si>
  <si>
    <t>Pallikuda_North_Lamp</t>
  </si>
  <si>
    <t>MA5036</t>
  </si>
  <si>
    <t>Madukkarai_Lamp</t>
  </si>
  <si>
    <t>18G3068</t>
  </si>
  <si>
    <t>KI5034</t>
  </si>
  <si>
    <t>Piramanthanaru_Lamp</t>
  </si>
  <si>
    <t>ACE WH</t>
  </si>
  <si>
    <t>MT0205</t>
  </si>
  <si>
    <t>MT0044</t>
  </si>
  <si>
    <t>JA0042</t>
  </si>
  <si>
    <t>JA0257</t>
  </si>
  <si>
    <t>Antenna Type</t>
  </si>
  <si>
    <t>GE0/2/6</t>
  </si>
  <si>
    <t>MU5039</t>
  </si>
  <si>
    <t>MU5051</t>
  </si>
  <si>
    <t>MR5049</t>
  </si>
  <si>
    <t>MU5054</t>
  </si>
  <si>
    <t>HA5039</t>
  </si>
  <si>
    <t>BD5071</t>
  </si>
  <si>
    <t>2026_MBB_New Sites_Design_Batch_12</t>
  </si>
  <si>
    <t>Venavil_Lamp</t>
  </si>
  <si>
    <t>2026_MBB_New Sites_Design_Batch_13</t>
  </si>
  <si>
    <t>Iyankankulam_Lamp</t>
  </si>
  <si>
    <t>Midigama_Lamp</t>
  </si>
  <si>
    <t>Muththuaiyankaddu_Lamp</t>
  </si>
  <si>
    <t>Medaketiya_Lamp</t>
  </si>
  <si>
    <t>2026_MBB_New Sites_Design_Batch_10</t>
  </si>
  <si>
    <t>Meedumpitiya_Lamp</t>
  </si>
  <si>
    <t>To be Mobilized</t>
  </si>
  <si>
    <t>MW_2026_1995</t>
  </si>
  <si>
    <t>MW_2026_1994</t>
  </si>
  <si>
    <t>MW_2026_1966</t>
  </si>
  <si>
    <t>MW_2026_1992</t>
  </si>
  <si>
    <t>WIBAS_2026_1678</t>
  </si>
  <si>
    <t>MW Link Pending</t>
  </si>
  <si>
    <t>GA5095</t>
  </si>
  <si>
    <t>Yatramulla_Lamp</t>
  </si>
  <si>
    <t>KI5040</t>
  </si>
  <si>
    <t>Pulopalai_Lamp</t>
  </si>
  <si>
    <t>BA5024</t>
  </si>
  <si>
    <t>Batti_Karaveddi_East_Lamp</t>
  </si>
  <si>
    <t>CM5451</t>
  </si>
  <si>
    <t>Bellanwila_Park_Lamp</t>
  </si>
  <si>
    <t>CM5756</t>
  </si>
  <si>
    <t>Yasorapura_Rd_Lamp</t>
  </si>
  <si>
    <t>BA5051</t>
  </si>
  <si>
    <t>Mandur_Main_Rd_Lamp</t>
  </si>
  <si>
    <t>BA5081</t>
  </si>
  <si>
    <t>Mandur_Kaneshapuram_Lamp</t>
  </si>
  <si>
    <t>BA5086</t>
  </si>
  <si>
    <t>Vavunativu_Junc_Lamp</t>
  </si>
  <si>
    <t>VA5038</t>
  </si>
  <si>
    <t>Collage_Rd_Lamp</t>
  </si>
  <si>
    <t>CM5730</t>
  </si>
  <si>
    <t>Araliya_Gardens_Lamp</t>
  </si>
  <si>
    <t>PU5091</t>
  </si>
  <si>
    <t>Thabbowa_Juction_Lamp</t>
  </si>
  <si>
    <t>MR5011</t>
  </si>
  <si>
    <t xml:space="preserve">Batawala_Lamp </t>
  </si>
  <si>
    <t>CM5671</t>
  </si>
  <si>
    <t>Thotupala_Rd_Lamp</t>
  </si>
  <si>
    <t>CM5724</t>
  </si>
  <si>
    <t>Angampitiya_Lamp</t>
  </si>
  <si>
    <t>2026_MBB_New Sites_Design_Batch_14</t>
  </si>
  <si>
    <t>MW_2026_1713</t>
  </si>
  <si>
    <t>WIBAS_2026_1651</t>
  </si>
  <si>
    <t>Manoj</t>
  </si>
  <si>
    <t>18G3917</t>
  </si>
  <si>
    <t>Madukkarai_Lamp-MA5036-18G3917-HY</t>
  </si>
  <si>
    <t>MA0035</t>
  </si>
  <si>
    <t>Veppankulam</t>
  </si>
  <si>
    <t>Veppankulam-MA0035-18G3917-HY</t>
  </si>
  <si>
    <t>10.196.55.222</t>
  </si>
  <si>
    <t>10.196.55.221</t>
  </si>
  <si>
    <t>10.196.55.218</t>
  </si>
  <si>
    <t>10.196.55.217/30 Inband</t>
  </si>
  <si>
    <t>Punnalaikattuwan Dialog</t>
  </si>
  <si>
    <t>Siruppiddy_East</t>
  </si>
  <si>
    <t>Depot</t>
  </si>
  <si>
    <t>Kilinochchi</t>
  </si>
  <si>
    <t>18G3920</t>
  </si>
  <si>
    <t>Pallikuda_Lamp-KI5029-18G3920-HY</t>
  </si>
  <si>
    <t>KI0023</t>
  </si>
  <si>
    <t>Pooneryne_DTL</t>
  </si>
  <si>
    <t>Pooneryne_DTL-KI0023-18G3920-HY</t>
  </si>
  <si>
    <t>10.196.225.86</t>
  </si>
  <si>
    <t>10.196.225.82</t>
  </si>
  <si>
    <t>10.196.225.85</t>
  </si>
  <si>
    <t>10.196.225.81/30 Inband</t>
  </si>
  <si>
    <t>POONERYN-CETR-ACC16-R2-N4-01</t>
  </si>
  <si>
    <t>GE0/3/20</t>
  </si>
  <si>
    <t>18G3921</t>
  </si>
  <si>
    <t>Pallikuda_North_Lamp-KI5032-18G3921-HY</t>
  </si>
  <si>
    <t>Pooneryne_DTL-KI0023-18G3921-HY</t>
  </si>
  <si>
    <t>10.196.39.22</t>
  </si>
  <si>
    <t>10.196.39.18</t>
  </si>
  <si>
    <t>10.196.39.21</t>
  </si>
  <si>
    <t>10.196.39.17/30 Inband</t>
  </si>
  <si>
    <t>NE - 1
(FE)</t>
  </si>
  <si>
    <t>NE - 2
(NE)</t>
  </si>
  <si>
    <t>GE0/3/17</t>
  </si>
  <si>
    <t>(Link Avaialable with Green)
Link already Used to another Site</t>
  </si>
  <si>
    <t>Koombiyangoda_North</t>
  </si>
  <si>
    <t>Warakamure Airtel</t>
  </si>
  <si>
    <t>18G3922</t>
  </si>
  <si>
    <t>Muththuaiyankaddu_Lamp-MU5054-18G3922-HY</t>
  </si>
  <si>
    <t>MU0052</t>
  </si>
  <si>
    <t>Muthiankattu</t>
  </si>
  <si>
    <t>Muthiankattu-MU0052-18G3922-HY</t>
  </si>
  <si>
    <t>18G3694</t>
  </si>
  <si>
    <t>MA5035</t>
  </si>
  <si>
    <t>VA0041</t>
  </si>
  <si>
    <t>10.196.205.70</t>
  </si>
  <si>
    <t>10.196.205.69</t>
  </si>
  <si>
    <t>10.196.205.65/30 Inband</t>
  </si>
  <si>
    <t>10.196.205.66</t>
  </si>
  <si>
    <t>950b</t>
  </si>
  <si>
    <t>Periyakunchikulam_Lamp</t>
  </si>
  <si>
    <t>Parayanaikulam Hutch</t>
  </si>
  <si>
    <t>10G1017</t>
  </si>
  <si>
    <t>MU5041</t>
  </si>
  <si>
    <t>MU0037</t>
  </si>
  <si>
    <t>Panikkankulam_1_Lamp</t>
  </si>
  <si>
    <t>Padinaddampore Dialog</t>
  </si>
  <si>
    <t>10.208.25.82/29</t>
  </si>
  <si>
    <t>10.208.25.81/29</t>
  </si>
  <si>
    <t>10G1549</t>
  </si>
  <si>
    <t>GA5093</t>
  </si>
  <si>
    <t>Thalpe_East_Lamp</t>
  </si>
  <si>
    <t>Link Status</t>
  </si>
  <si>
    <t>Ready?</t>
  </si>
  <si>
    <t>KU5180</t>
  </si>
  <si>
    <t>Baragedara_Lamp</t>
  </si>
  <si>
    <t>PU5093</t>
  </si>
  <si>
    <t>Marawila_Hospital_Lamp</t>
  </si>
  <si>
    <t>JA5177</t>
  </si>
  <si>
    <t>Manatkadu_Lamp</t>
  </si>
  <si>
    <t>JA5107</t>
  </si>
  <si>
    <t>Avarankal_Lamp</t>
  </si>
  <si>
    <t>KU5071</t>
  </si>
  <si>
    <t>Thalgodapitiya_Junction_Lamp</t>
  </si>
  <si>
    <t>Weligama_Tourism_Cluster_1_Lamp</t>
  </si>
  <si>
    <t>GA5098</t>
  </si>
  <si>
    <t>Maha Ambalangoda_Lamp</t>
  </si>
  <si>
    <t>JA5099</t>
  </si>
  <si>
    <t>Araly_North_Lamp</t>
  </si>
  <si>
    <t>Design Pending</t>
  </si>
  <si>
    <t>MW_2026_2011</t>
  </si>
  <si>
    <t>WIBAS_2026_1677</t>
  </si>
  <si>
    <t>MW_2026_1877</t>
  </si>
  <si>
    <t>MW_2026_1991</t>
  </si>
  <si>
    <t>WIBAS_2026_1691</t>
  </si>
  <si>
    <t>ACE WH Pending</t>
  </si>
  <si>
    <t>MW_2026_1988</t>
  </si>
  <si>
    <t>MW_2026_2030</t>
  </si>
  <si>
    <t>MW_2026_2111</t>
  </si>
  <si>
    <t>MW_2026_2110</t>
  </si>
  <si>
    <t>MW_2026_2094</t>
  </si>
  <si>
    <t>MW_2026_2095</t>
  </si>
  <si>
    <t>MA5035
0.6m Antenna - 1
18G ODU - 1
1.25G TX SFP - 2
RTN 905 IDU - 1</t>
  </si>
  <si>
    <t>KU0121</t>
  </si>
  <si>
    <t>KU0260</t>
  </si>
  <si>
    <t>18G2006</t>
  </si>
  <si>
    <t>23G593</t>
  </si>
  <si>
    <t>JA0011</t>
  </si>
  <si>
    <t>JA0090</t>
  </si>
  <si>
    <t>Kandarodai Dialog [Kadurugoda]</t>
  </si>
  <si>
    <t>Chunnakam Dialog</t>
  </si>
  <si>
    <t>Panaliya</t>
  </si>
  <si>
    <t>Hondella</t>
  </si>
  <si>
    <t>Partially, No BBUs</t>
  </si>
  <si>
    <t>Batticaloa</t>
  </si>
  <si>
    <t>Batti-BA5024-10G1547-PtP353V</t>
  </si>
  <si>
    <t>10G1454</t>
  </si>
  <si>
    <t>CM5364</t>
  </si>
  <si>
    <t>10.208.25.66/29</t>
  </si>
  <si>
    <t>10.208.25.65/29</t>
  </si>
  <si>
    <t>10.208.25.64/29</t>
  </si>
  <si>
    <t>THALAYADI-ESTR-ACC06-R9-N6-01</t>
  </si>
  <si>
    <t>23G2835</t>
  </si>
  <si>
    <t>KA0219</t>
  </si>
  <si>
    <t>KA0496</t>
  </si>
  <si>
    <t>23G3461</t>
  </si>
  <si>
    <t>Thalgaspitiya_Town_Lamp</t>
  </si>
  <si>
    <t>Thalgaspitiya_Town_Lamp-KU5071-23G3461-HY</t>
  </si>
  <si>
    <t>KU0144</t>
  </si>
  <si>
    <t>Welagedara</t>
  </si>
  <si>
    <t>Welagedara-KU0144-23G3461-HY</t>
  </si>
  <si>
    <t>10.196.11.94</t>
  </si>
  <si>
    <t>10.196.11.90</t>
  </si>
  <si>
    <t>10.196.11.93</t>
  </si>
  <si>
    <t>10.196.11.89/30 Inband</t>
  </si>
  <si>
    <t>WELAGEDARA-CETR-VLL</t>
  </si>
  <si>
    <t>23G3431</t>
  </si>
  <si>
    <t>Avarankal_Lamp-JA5107-23G3431-HY</t>
  </si>
  <si>
    <t>JA0191</t>
  </si>
  <si>
    <t>Achchuweli_Town</t>
  </si>
  <si>
    <t>Achchuweli_Town-JA0191-23G3431-HY</t>
  </si>
  <si>
    <t>23G2259</t>
  </si>
  <si>
    <t>AM0212</t>
  </si>
  <si>
    <t>AM0011</t>
  </si>
  <si>
    <t>10.196.17.158</t>
  </si>
  <si>
    <t>10.196.17.154</t>
  </si>
  <si>
    <t>10.196.17.157</t>
  </si>
  <si>
    <t>10.196.17.153/30 Inband</t>
  </si>
  <si>
    <t>ACHCHUWELI_TOWN-CETR-ACC18-R2-N2-01</t>
  </si>
  <si>
    <t>Kosgama South 2 Lamp</t>
  </si>
  <si>
    <t>Kalmunei_Madavan_Road</t>
  </si>
  <si>
    <t>Kalmunai Dialog</t>
  </si>
  <si>
    <t>Palle_Aludeniya</t>
  </si>
  <si>
    <t>Kotakedeniya</t>
  </si>
  <si>
    <t>GL900 Sec 01</t>
  </si>
  <si>
    <t>GL900 Sec 02</t>
  </si>
  <si>
    <t>GL900 Sec 03</t>
  </si>
  <si>
    <t>GL900 Sec 04</t>
  </si>
  <si>
    <t>L21 Sec 01</t>
  </si>
  <si>
    <t>L21 Sec 02</t>
  </si>
  <si>
    <t>L21 Sec 03</t>
  </si>
  <si>
    <t>L21 Sec 04</t>
  </si>
  <si>
    <t>L18 Sec 01</t>
  </si>
  <si>
    <t>L18 Sec 02</t>
  </si>
  <si>
    <t>L18 Sec 03</t>
  </si>
  <si>
    <t>L18 Sec 04</t>
  </si>
  <si>
    <t>RRU5910</t>
  </si>
  <si>
    <t>Share GL900 Sec 01 RRU</t>
  </si>
  <si>
    <t>Share GL900 Sec 03 RRU</t>
  </si>
  <si>
    <t>SXPWL4WH-16/18-65/65-IVT-R1_10P</t>
  </si>
  <si>
    <t>Antenna Sec 01</t>
  </si>
  <si>
    <t>Antenna Sec 02</t>
  </si>
  <si>
    <t>Antenna Sec 03</t>
  </si>
  <si>
    <t>Azimuth Sec 01</t>
  </si>
  <si>
    <t>M-Tilt Sec 01</t>
  </si>
  <si>
    <t>E-Tilt Sec 01</t>
  </si>
  <si>
    <t>Azimuth Sec 02</t>
  </si>
  <si>
    <t>M-Tilt Sec 02</t>
  </si>
  <si>
    <t>E-Tilt Sec 02</t>
  </si>
  <si>
    <t>Azimuth Sec 03</t>
  </si>
  <si>
    <t>M-Tilt Sec 03</t>
  </si>
  <si>
    <t>E-Tilt Sec 03</t>
  </si>
  <si>
    <t>Azimuth Sec 04</t>
  </si>
  <si>
    <t>M-Tilt Sec 04</t>
  </si>
  <si>
    <t>E-Tilt Sec 04</t>
  </si>
  <si>
    <t>Antenna Sec 04</t>
  </si>
  <si>
    <t>Share GL900 Sec 02 RRU</t>
  </si>
  <si>
    <t>Tx Plan</t>
  </si>
  <si>
    <t>MW_2026_2123</t>
  </si>
  <si>
    <t>OVERALL PROGRESS</t>
  </si>
  <si>
    <t>23G2496</t>
  </si>
  <si>
    <t>WO Status</t>
  </si>
  <si>
    <t>Wasantha</t>
  </si>
  <si>
    <t>18G2997(0.9|0.9)</t>
  </si>
  <si>
    <t>23G2161</t>
  </si>
  <si>
    <t>23G2684</t>
  </si>
  <si>
    <t>18G2980</t>
  </si>
  <si>
    <t>PU0027</t>
  </si>
  <si>
    <t>PU0222</t>
  </si>
  <si>
    <t>GM0026</t>
  </si>
  <si>
    <t>GM0197</t>
  </si>
  <si>
    <t>CM0209</t>
  </si>
  <si>
    <t>CM2303</t>
  </si>
  <si>
    <t>Mathusan</t>
  </si>
  <si>
    <t>Bishan</t>
  </si>
  <si>
    <t>Commission Plan Date</t>
  </si>
  <si>
    <t>WO Acceptance</t>
  </si>
  <si>
    <t>Yes</t>
  </si>
  <si>
    <t>TE WIP</t>
  </si>
  <si>
    <t>Unims</t>
  </si>
  <si>
    <t>No ODU at FE</t>
  </si>
  <si>
    <t>10G1454, NO Low ODU</t>
  </si>
  <si>
    <t>18G3926</t>
  </si>
  <si>
    <t>Iyankankulam_Lamp-MU5051-18G3926-HY</t>
  </si>
  <si>
    <t>MU0045</t>
  </si>
  <si>
    <t>Thunukkai_North-MU0045-18G3926-HY</t>
  </si>
  <si>
    <t>Thunukkai_North</t>
  </si>
  <si>
    <t>10.196.17.182</t>
  </si>
  <si>
    <t>10.196.17.181</t>
  </si>
  <si>
    <t>THUNUKKAI_NORTH-NRTH-MWI02-R2-N1-01</t>
  </si>
  <si>
    <t>GE0/3/2</t>
  </si>
  <si>
    <t>18G3923</t>
  </si>
  <si>
    <t>Pulopalai_Lamp-KI5040-18G3923-HY</t>
  </si>
  <si>
    <t>Installation Completed</t>
  </si>
  <si>
    <t>Full Link Available</t>
  </si>
  <si>
    <t>Kotahena North</t>
  </si>
  <si>
    <t>Mattakkuliya_South_Reloc</t>
  </si>
  <si>
    <t>PAT Plan on 27th July</t>
  </si>
  <si>
    <t>Tx WO &amp; Mapping Pending</t>
  </si>
  <si>
    <t>Kehelbaddara Suntel</t>
  </si>
  <si>
    <t>Uggalboda Dialog</t>
  </si>
  <si>
    <t>Puttalam_East</t>
  </si>
  <si>
    <t>Puttalam_Town_South</t>
  </si>
  <si>
    <t>KI0034</t>
  </si>
  <si>
    <t>10.208.25.83/29</t>
  </si>
  <si>
    <t xml:space="preserve">DHARMAPURAM_DTL-NRTH-ACC11-R2-N3-01 </t>
  </si>
  <si>
    <t>GE0/2/24</t>
  </si>
  <si>
    <t>Dharmapuram</t>
  </si>
  <si>
    <t>Dharmapuram-KI0034-10G1549-PtP67V</t>
  </si>
  <si>
    <t>Pirama-KI5034-10G1549-PtP248V</t>
  </si>
  <si>
    <t>10.196.17.177/30 In band</t>
  </si>
  <si>
    <t>10.196.17.178</t>
  </si>
  <si>
    <t>ACE WH &amp; 18G336 Superfine Removed Received on - 24th July &amp; 25th July</t>
  </si>
  <si>
    <t>No CSR at HUB, used back-to-back from Hub</t>
  </si>
  <si>
    <t>No power at site, Hub changed due to access issue</t>
  </si>
  <si>
    <t>ACE WH Pending - Received on 24th July
18G336 Superfine Removed Pending - Received on 25th July midnight</t>
  </si>
  <si>
    <t>Wiraj</t>
  </si>
  <si>
    <t>ACE WH &amp; 18G336 Superfine Removed</t>
  </si>
  <si>
    <t>WH</t>
  </si>
  <si>
    <t>From ACE WH (2*1.2m &amp; 2*0.6 shuffled and made 2 links)</t>
  </si>
  <si>
    <t>From ACE WH 2*0.6m Links + Superfine 1.2m, shuffled and made the link</t>
  </si>
  <si>
    <t>From ACE WH 2*0.6m Links + Superfine 0.9m, shuffled and made the link</t>
  </si>
  <si>
    <t>Vavuniya</t>
  </si>
  <si>
    <t>GE0/2/25</t>
  </si>
  <si>
    <t>New CSR</t>
  </si>
  <si>
    <t>No CSR at HUB, no back-to-back solution from Hub - Another Vendor Installed CSR on 26th July</t>
  </si>
  <si>
    <t xml:space="preserve">ACE WH Pending - Received on 24th July
18G336 Superfine Removed Pending - Received on 25th July midnight
</t>
  </si>
  <si>
    <t>ACE WH - Collected on 24th July</t>
  </si>
  <si>
    <t>Requested</t>
  </si>
  <si>
    <t>CSR Installed on 26th July</t>
  </si>
  <si>
    <t>PAT Done on 26th July</t>
  </si>
  <si>
    <t>TE Materials Delivered on 26th July</t>
  </si>
  <si>
    <t>PAT Done on 24th July</t>
  </si>
  <si>
    <t>PAT Plan on 29th July</t>
  </si>
  <si>
    <t>Chathuranga</t>
  </si>
  <si>
    <t>Sithara</t>
  </si>
  <si>
    <t>Dilshan</t>
  </si>
  <si>
    <t>10.196.227.6</t>
  </si>
  <si>
    <t>10.196.227.2</t>
  </si>
  <si>
    <t>10.196.227.5</t>
  </si>
  <si>
    <t>10.196.227.1/30 Inband</t>
  </si>
  <si>
    <t>PALAI_SOUTH-NRTH-ACC03-R2-N2-01</t>
  </si>
  <si>
    <t>GE0/2/21</t>
  </si>
  <si>
    <t>KI0095</t>
  </si>
  <si>
    <t>Palai_South</t>
  </si>
  <si>
    <t>Palai_South-KI0095-18G3923-HY</t>
  </si>
  <si>
    <t>10G1547</t>
  </si>
  <si>
    <t>PAT Plan on 30th July</t>
  </si>
  <si>
    <t>Imalsha</t>
  </si>
  <si>
    <t>18G3943</t>
  </si>
  <si>
    <t>Mandur_Paalaiyadivaddai_Lamp</t>
  </si>
  <si>
    <t>18G3215</t>
  </si>
  <si>
    <t>KE0116</t>
  </si>
  <si>
    <t>GM0166</t>
  </si>
  <si>
    <t>MW_2026_2135</t>
  </si>
  <si>
    <t>Mandur_Paalaiyadivaddai_Lamp-BA5051-18G3943-HY</t>
  </si>
  <si>
    <t>BA0023</t>
  </si>
  <si>
    <t>Mandur</t>
  </si>
  <si>
    <t>Mandur-BA0023-18G3943-HY</t>
  </si>
  <si>
    <t>10.196.227.22</t>
  </si>
  <si>
    <t>10.196.227.18</t>
  </si>
  <si>
    <t>10.196.227.21</t>
  </si>
  <si>
    <t>10.196.227.17/30 Inband</t>
  </si>
  <si>
    <t>MANDOOR-ESTR-ACC06-R4-N4-01</t>
  </si>
  <si>
    <t>Gonagaldeniya_DAP</t>
  </si>
  <si>
    <t>Alawala Dialog</t>
  </si>
  <si>
    <t>BA0123</t>
  </si>
  <si>
    <t>Munaikkadu</t>
  </si>
  <si>
    <t>Pudukudiyiruppu Dialog [Batticaloa]</t>
  </si>
  <si>
    <t>BA0021</t>
  </si>
  <si>
    <t>18G2980 (Already Removed Link)</t>
  </si>
  <si>
    <t>18G3215 (Already Removed Link)</t>
  </si>
  <si>
    <t>23G2496 (To be removed)</t>
  </si>
  <si>
    <t>BBU3910 Status</t>
  </si>
  <si>
    <t>BB6631</t>
  </si>
  <si>
    <t>MW Hop Ref</t>
  </si>
  <si>
    <t>No materials</t>
  </si>
  <si>
    <t>WIBAS_2026_1998</t>
  </si>
  <si>
    <t>Installed</t>
  </si>
  <si>
    <t>JA5018</t>
  </si>
  <si>
    <t>JA0097</t>
  </si>
  <si>
    <t>Pasayur_Thellipalai_1_Lamp</t>
  </si>
  <si>
    <t>Nallur North Dialog</t>
  </si>
  <si>
    <t>10G1435</t>
  </si>
  <si>
    <t>No Mapping</t>
  </si>
  <si>
    <t>905 IDUs</t>
  </si>
  <si>
    <t>Terminated</t>
  </si>
  <si>
    <t>Removal Pending</t>
  </si>
  <si>
    <t>Udaya</t>
  </si>
  <si>
    <t>Thusitha</t>
  </si>
  <si>
    <t>SITE MASTER — Dependency &amp; Status Tracker</t>
  </si>
  <si>
    <t>Brackets - Antenna</t>
  </si>
  <si>
    <t>Brackets - BTS Pole</t>
  </si>
  <si>
    <t>Brackets - RRU</t>
  </si>
  <si>
    <t>Brackets - MW</t>
  </si>
  <si>
    <t>Partially On Air</t>
  </si>
  <si>
    <t>Both sides no IDUs</t>
  </si>
  <si>
    <t>with OMCR</t>
  </si>
  <si>
    <t>commissioning</t>
  </si>
  <si>
    <t>Status</t>
  </si>
  <si>
    <t xml:space="preserve">OMCR Handover </t>
  </si>
  <si>
    <t>OMCR</t>
  </si>
  <si>
    <t>UAT Status</t>
  </si>
  <si>
    <t>UAT Date</t>
  </si>
  <si>
    <t>Comment</t>
  </si>
  <si>
    <t>NU5098</t>
  </si>
  <si>
    <t>Ambewela_Rw_Reloc_Lamp</t>
  </si>
  <si>
    <t>Tharindu</t>
  </si>
  <si>
    <t>Rejected</t>
  </si>
  <si>
    <t>Accepted</t>
  </si>
  <si>
    <t>Civil Issue</t>
  </si>
  <si>
    <t>Other Issues (Tooway replied 9th July)</t>
  </si>
  <si>
    <t>Commissioning Pending</t>
  </si>
  <si>
    <t>No ATN at site, No Management to mw link</t>
  </si>
  <si>
    <t>Removed (No Low ODU, used previously removed ODU)</t>
  </si>
  <si>
    <t>New Link Status</t>
  </si>
  <si>
    <t>Mapping Link Readiness</t>
  </si>
  <si>
    <t>Mapping Link Vendor</t>
  </si>
  <si>
    <t>Mapping</t>
  </si>
  <si>
    <t>Tx Mode</t>
  </si>
  <si>
    <t>On Air
&amp;
Partially On Air</t>
  </si>
  <si>
    <t>TE Delivery
&amp;
To be Mobilized</t>
  </si>
  <si>
    <t>TE Delivery</t>
  </si>
  <si>
    <t>delivered</t>
  </si>
  <si>
    <t>Terminated by DAP Project</t>
  </si>
  <si>
    <t>Material Status</t>
  </si>
  <si>
    <t>UMPTg2</t>
  </si>
  <si>
    <t>UBBPg1a</t>
  </si>
  <si>
    <t>MW Mapping</t>
  </si>
  <si>
    <t>Mapped</t>
  </si>
  <si>
    <t>(none)</t>
  </si>
  <si>
    <t>NOT MAPPED</t>
  </si>
  <si>
    <t>(blank)</t>
  </si>
  <si>
    <t>OFN — n/a</t>
  </si>
  <si>
    <t>WiBAS — n/a</t>
  </si>
  <si>
    <t>TOTAL / COUNT</t>
  </si>
  <si>
    <t>Key Figures</t>
  </si>
  <si>
    <t>Metric</t>
  </si>
  <si>
    <t>Count</t>
  </si>
  <si>
    <t>Total sites</t>
  </si>
  <si>
    <t>Materials received</t>
  </si>
  <si>
    <t>Huawei sites (FTK)</t>
  </si>
  <si>
    <t xml:space="preserve">  BBU3910: Full unit</t>
  </si>
  <si>
    <t xml:space="preserve">  BBU3910: Partial (UPEU/UEIU/FAN)</t>
  </si>
  <si>
    <t xml:space="preserve">  BBU3910: Pending</t>
  </si>
  <si>
    <t xml:space="preserve">  UMPTg2 / UBBPg1a received</t>
  </si>
  <si>
    <t>Ericsson sites (FTK)</t>
  </si>
  <si>
    <t xml:space="preserve">  BB6631: Received</t>
  </si>
  <si>
    <t xml:space="preserve">  BB6631: Pending</t>
  </si>
  <si>
    <t>BBU pending, all vendors (7 HW + 9 ER)</t>
  </si>
  <si>
    <t>Tx: MW Link OK</t>
  </si>
  <si>
    <t>Tx: MW Link Pending</t>
  </si>
  <si>
    <t>Tx: Tx Pending</t>
  </si>
  <si>
    <t>WO Received</t>
  </si>
  <si>
    <t>MW mapped</t>
  </si>
  <si>
    <t>MW expected but NOT mapped</t>
  </si>
  <si>
    <t>FTK Vendor: Huawei</t>
  </si>
  <si>
    <t>FTK Vendor: Ericsson</t>
  </si>
  <si>
    <t>MW Vendor: Huawei</t>
  </si>
  <si>
    <t>MW Vendor: OFN</t>
  </si>
  <si>
    <t>MW Vendor: WiBAS</t>
  </si>
  <si>
    <t>Reservation Stil nit ready to collect for BBU..Other Materials are ok</t>
  </si>
  <si>
    <t>No Reservation for BBU..Other Materials are ok, BBU OK</t>
  </si>
  <si>
    <t>23G2587</t>
  </si>
  <si>
    <t>GA0294</t>
  </si>
  <si>
    <t>GA0065</t>
  </si>
  <si>
    <t>Galle Heritage</t>
  </si>
  <si>
    <t>Dadalla</t>
  </si>
  <si>
    <t>Ericsson Link</t>
  </si>
  <si>
    <t>Hanwella</t>
  </si>
  <si>
    <t>Angampitiya_Lamp-CM5724-18G3938-HY</t>
  </si>
  <si>
    <t>CM1611</t>
  </si>
  <si>
    <t>Padukka_East</t>
  </si>
  <si>
    <t>Padukka_East-CM1611-18G3938-HY</t>
  </si>
  <si>
    <t>10.196.56.233/30 Inband</t>
  </si>
  <si>
    <t>10.196.56.234</t>
  </si>
  <si>
    <t>10.196.56.237</t>
  </si>
  <si>
    <t>10.196.56.238</t>
  </si>
  <si>
    <t>PADUKKA_E-CMBS-ACC09-R5-N6-01</t>
  </si>
  <si>
    <t>18G3938</t>
  </si>
  <si>
    <t>23G3501</t>
  </si>
  <si>
    <t>Thotupala_Rd_Lamp-CM5671-23G3501-HY</t>
  </si>
  <si>
    <t>CM0412</t>
  </si>
  <si>
    <t>Hedigama</t>
  </si>
  <si>
    <t>Hedigama-CM0412-23G3501-HY</t>
  </si>
  <si>
    <t>10.196.137.145/30 Inband</t>
  </si>
  <si>
    <t>10.196.137.146</t>
  </si>
  <si>
    <t>10.196.137.150</t>
  </si>
  <si>
    <t>10.196.137.151</t>
  </si>
  <si>
    <t>HEDIGAMA-SURN-ACC01-R8-N5-01</t>
  </si>
  <si>
    <t>GE0/2/20</t>
  </si>
  <si>
    <t>Both sides RTN910 IDUs</t>
  </si>
  <si>
    <t>18G3925</t>
  </si>
  <si>
    <t>KU0103</t>
  </si>
  <si>
    <t>Planned to Install on 4th Aug</t>
  </si>
  <si>
    <t>Removed (Removed IDUs are RTN910 - Using received WH IDUs)</t>
  </si>
  <si>
    <t>18G3316</t>
  </si>
  <si>
    <r>
      <rPr>
        <sz val="11"/>
        <color rgb="FF00B050"/>
        <rFont val="Calibri"/>
        <family val="2"/>
        <scheme val="minor"/>
      </rPr>
      <t xml:space="preserve">18G2997(0.6|0.6) </t>
    </r>
    <r>
      <rPr>
        <sz val="11"/>
        <color theme="1"/>
        <rFont val="Calibri"/>
        <family val="2"/>
        <scheme val="minor"/>
      </rPr>
      <t>&amp; 18G2183(1.2m|1.2m)</t>
    </r>
  </si>
  <si>
    <t>Possible sites</t>
  </si>
  <si>
    <t>MW</t>
  </si>
  <si>
    <t>Issues (already removed Link), Mail sent</t>
  </si>
  <si>
    <t>No Mapping in WO</t>
  </si>
  <si>
    <t>Received from WH(0.6m) &amp; Superfine (0.9m). Approved to use 0.9m link to the HUB site</t>
  </si>
  <si>
    <t>MR5047</t>
  </si>
  <si>
    <t>Deniyaya_Town_Lamp</t>
  </si>
  <si>
    <t>Mw - 15
Wibas - 4
OFN - 10</t>
  </si>
  <si>
    <t>WO Received - 13
TI Completed - 5</t>
  </si>
  <si>
    <t>WO Received - 4
TI Completed - 1</t>
  </si>
  <si>
    <r>
      <rPr>
        <sz val="11"/>
        <color rgb="FF00B050"/>
        <rFont val="Calibri"/>
        <family val="2"/>
        <scheme val="minor"/>
      </rPr>
      <t>18G2997(0.6|0.6) Removed</t>
    </r>
    <r>
      <rPr>
        <sz val="11"/>
        <color theme="1"/>
        <rFont val="Calibri"/>
        <family val="2"/>
        <scheme val="minor"/>
      </rPr>
      <t xml:space="preserve"> (No IDUs available - Oxenture has RTN905 IDUs), Gave direction to shuffle one MW antenna with 18G2183(1.2m|1.2m)</t>
    </r>
  </si>
  <si>
    <t>Planned to remove on 4th Aug &amp; Install on 5th Aug</t>
  </si>
  <si>
    <t>Hettipola</t>
  </si>
  <si>
    <t>Baragedara_Lamp-KU5180-18G3925-HY</t>
  </si>
  <si>
    <t>Koshena</t>
  </si>
  <si>
    <t>Koshena-KU0103-18G3925-HY</t>
  </si>
  <si>
    <t>10.196.207.34</t>
  </si>
  <si>
    <t>10.196.207.33/30 Inband</t>
  </si>
  <si>
    <t>10.196.207.37</t>
  </si>
  <si>
    <t>10.196.207.38</t>
  </si>
  <si>
    <t>KOSHENA-CMBN-VLL</t>
  </si>
  <si>
    <t>Dispute Ongoing</t>
  </si>
  <si>
    <t>Dispute Ongoing, BBU OK from AM9000, bracket issue from Oxenture mail</t>
  </si>
  <si>
    <t>Handed over to Aquasky</t>
  </si>
  <si>
    <t xml:space="preserve">Handed over to Aquasky, BBU OK from BA9002, </t>
  </si>
  <si>
    <t>Dispute Ongoing, BBU Pending</t>
  </si>
  <si>
    <t>BBU Pending</t>
  </si>
  <si>
    <t>Tx WO &amp; Mapping Pending, BBU Pending</t>
  </si>
  <si>
    <t>Dispute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</si>
</sst>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d\-mmm;@"/>
  </numFmts>
  <fonts count="8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roboto"/>
      <family val="2"/>
    </font>
    <font>
      <sz val="10"/>
      <color theme="1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</font>
    <font>
      <sz val="10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8"/>
      <color rgb="FF1F4E79"/>
      <name val="Calibri"/>
      <family val="2"/>
    </font>
    <font>
      <b/>
      <sz val="13"/>
      <color rgb="FFFFFFFF"/>
      <name val="Calibri"/>
      <family val="2"/>
    </font>
    <font>
      <b/>
      <sz val="26"/>
      <color rgb="FFFFFFFF"/>
      <name val="Calibri"/>
      <family val="2"/>
    </font>
    <font>
      <b/>
      <sz val="10"/>
      <color rgb="FFFFFFFF"/>
      <name val="Calibri"/>
      <family val="2"/>
    </font>
    <font>
      <b/>
      <sz val="13"/>
      <color rgb="FFFFFFFF"/>
      <name val="Calibri"/>
      <family val="2"/>
    </font>
    <font>
      <b/>
      <i/>
      <sz val="9"/>
      <color rgb="FFFFFFFF"/>
      <name val="Calibri"/>
      <family val="2"/>
    </font>
    <font>
      <b/>
      <sz val="9"/>
      <color theme="1"/>
      <name val="Calibri"/>
      <family val="2"/>
    </font>
    <font>
      <b/>
      <sz val="11"/>
      <color rgb="FF000000"/>
      <name val="Calibri"/>
      <family val="2"/>
      <scheme val="minor"/>
    </font>
    <font>
      <b/>
      <sz val="18"/>
      <color rgb="FF1F4E79"/>
      <name val="Calibri"/>
      <family val="2"/>
    </font>
    <font>
      <b/>
      <sz val="12"/>
      <color rgb="FFFFFFFF"/>
      <name val="Calibri"/>
      <family val="2"/>
    </font>
    <font>
      <b/>
      <sz val="12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rgb="FF800000"/>
      <name val="Calibri"/>
      <family val="2"/>
    </font>
    <font>
      <b/>
      <sz val="11"/>
      <color rgb="FFFFFFFF"/>
      <name val="Calibri"/>
      <family val="2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0"/>
      <name val="Calibri"/>
      <family val="2"/>
    </font>
    <font>
      <sz val="10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1"/>
      <color rgb="FFC55A11"/>
      <name val="Calibri"/>
      <family val="2"/>
      <scheme val="minor"/>
    </font>
    <font>
      <sz val="11"/>
      <color rgb="FFA6A6A6"/>
      <name val="Calibri"/>
      <family val="2"/>
      <scheme val="minor"/>
    </font>
    <font>
      <sz val="11"/>
      <color rgb="FF5F497A"/>
      <name val="Calibri"/>
      <family val="2"/>
      <scheme val="minor"/>
    </font>
    <font>
      <sz val="11"/>
      <color rgb="FF7F60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1F4E78"/>
      <name val="Calibri"/>
      <family val="2"/>
      <scheme val="minor"/>
    </font>
    <font>
      <sz val="11"/>
      <color rgb="FF548235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rgb="FFFFFFFF"/>
      <name val="Calibri"/>
      <family val="2"/>
    </font>
    <font>
      <sz val="11"/>
      <color rgb="FFFFFFFF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C55A11"/>
      <name val="Calibri"/>
      <family val="2"/>
      <scheme val="minor"/>
    </font>
    <font>
      <sz val="9"/>
      <color rgb="FF006100"/>
      <name val="Calibri"/>
      <family val="2"/>
      <scheme val="minor"/>
    </font>
    <font>
      <b/>
      <sz val="9"/>
      <color rgb="FF006100"/>
      <name val="Calibri"/>
      <family val="2"/>
      <scheme val="minor"/>
    </font>
    <font>
      <sz val="8"/>
      <color rgb="FFA6A6A6"/>
      <name val="Calibri"/>
      <family val="2"/>
      <scheme val="minor"/>
    </font>
    <font>
      <b/>
      <sz val="9"/>
      <color rgb="FF5F497A"/>
      <name val="Calibri"/>
      <family val="2"/>
      <scheme val="minor"/>
    </font>
    <font>
      <b/>
      <sz val="7"/>
      <color rgb="FF7F6000"/>
      <name val="Calibri"/>
      <family val="2"/>
      <scheme val="minor"/>
    </font>
    <font>
      <b/>
      <sz val="9"/>
      <color rgb="FF9C6500"/>
      <name val="Calibri"/>
      <family val="2"/>
      <scheme val="minor"/>
    </font>
    <font>
      <sz val="9"/>
      <color rgb="FF9C0006"/>
      <name val="Calibri"/>
      <family val="2"/>
      <scheme val="minor"/>
    </font>
    <font>
      <b/>
      <sz val="9"/>
      <color rgb="FF9C0006"/>
      <name val="Calibri"/>
      <family val="2"/>
      <scheme val="minor"/>
    </font>
    <font>
      <b/>
      <sz val="9"/>
      <color rgb="FF1F4E78"/>
      <name val="Calibri"/>
      <family val="2"/>
      <scheme val="minor"/>
    </font>
    <font>
      <sz val="9"/>
      <color rgb="FF808080"/>
      <name val="Calibri"/>
      <family val="2"/>
      <scheme val="minor"/>
    </font>
    <font>
      <b/>
      <sz val="9"/>
      <color rgb="FF548235"/>
      <name val="Calibri"/>
      <family val="2"/>
      <scheme val="minor"/>
    </font>
    <font>
      <b/>
      <sz val="12"/>
      <color rgb="FF1F4E78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1"/>
      <color rgb="FFC55A11"/>
      <name val="Calibri"/>
      <family val="2"/>
      <scheme val="minor"/>
    </font>
    <font>
      <b/>
      <sz val="11"/>
      <color rgb="FF7F6000"/>
      <name val="Calibri"/>
      <family val="2"/>
      <scheme val="minor"/>
    </font>
    <font>
      <b/>
      <sz val="11"/>
      <color rgb="FF548235"/>
      <name val="Calibri"/>
      <family val="2"/>
      <scheme val="minor"/>
    </font>
    <font>
      <b/>
      <sz val="11"/>
      <color rgb="FF5F497A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FFFFFF"/>
        <bgColor rgb="FFEBF3FB"/>
      </patternFill>
    </fill>
    <fill>
      <patternFill patternType="solid">
        <fgColor rgb="FF4472C4"/>
        <bgColor rgb="FF2E75B6"/>
      </patternFill>
    </fill>
    <fill>
      <patternFill patternType="solid">
        <fgColor rgb="FF0070C0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61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9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9">
    <xf numFmtId="0" fontId="0" fillId="0" borderId="0"/>
    <xf numFmtId="0" fontId="15" fillId="0" borderId="0"/>
    <xf numFmtId="43" fontId="15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0" fontId="9" fillId="0" borderId="0"/>
    <xf numFmtId="0" fontId="9" fillId="0" borderId="0"/>
    <xf numFmtId="0" fontId="26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2" fillId="0" borderId="0"/>
    <xf numFmtId="0" fontId="1" fillId="0" borderId="0"/>
  </cellStyleXfs>
  <cellXfs count="4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5" fillId="0" borderId="0" xfId="1" applyAlignment="1">
      <alignment horizontal="center" vertical="center" wrapText="1"/>
    </xf>
    <xf numFmtId="0" fontId="15" fillId="0" borderId="0" xfId="1"/>
    <xf numFmtId="0" fontId="11" fillId="4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18" fillId="0" borderId="1" xfId="0" applyFont="1" applyBorder="1" applyAlignment="1">
      <alignment horizontal="center" vertical="center"/>
    </xf>
    <xf numFmtId="0" fontId="17" fillId="0" borderId="1" xfId="1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 wrapText="1"/>
    </xf>
    <xf numFmtId="0" fontId="16" fillId="3" borderId="1" xfId="1" applyFont="1" applyFill="1" applyBorder="1" applyAlignment="1">
      <alignment horizontal="center" vertical="center"/>
    </xf>
    <xf numFmtId="0" fontId="13" fillId="11" borderId="1" xfId="1" applyFont="1" applyFill="1" applyBorder="1" applyAlignment="1">
      <alignment horizontal="center" vertical="center"/>
    </xf>
    <xf numFmtId="0" fontId="13" fillId="3" borderId="1" xfId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1" fillId="14" borderId="1" xfId="0" applyFont="1" applyFill="1" applyBorder="1" applyAlignment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21" fillId="15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center"/>
    </xf>
    <xf numFmtId="0" fontId="13" fillId="13" borderId="1" xfId="1" applyFont="1" applyFill="1" applyBorder="1" applyAlignment="1">
      <alignment horizontal="center" vertical="center"/>
    </xf>
    <xf numFmtId="0" fontId="13" fillId="0" borderId="1" xfId="1" applyFont="1" applyBorder="1" applyAlignment="1">
      <alignment horizontal="left" vertical="center"/>
    </xf>
    <xf numFmtId="0" fontId="13" fillId="0" borderId="0" xfId="1" applyFont="1" applyAlignment="1">
      <alignment horizontal="center" vertical="center"/>
    </xf>
    <xf numFmtId="0" fontId="11" fillId="16" borderId="1" xfId="0" applyFont="1" applyFill="1" applyBorder="1" applyAlignment="1">
      <alignment horizontal="center" vertical="center" wrapText="1"/>
    </xf>
    <xf numFmtId="0" fontId="21" fillId="16" borderId="1" xfId="0" applyFont="1" applyFill="1" applyBorder="1" applyAlignment="1">
      <alignment horizontal="center" vertical="center" wrapText="1"/>
    </xf>
    <xf numFmtId="16" fontId="16" fillId="0" borderId="1" xfId="0" applyNumberFormat="1" applyFont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left" vertical="center"/>
    </xf>
    <xf numFmtId="0" fontId="13" fillId="7" borderId="1" xfId="1" applyFont="1" applyFill="1" applyBorder="1" applyAlignment="1">
      <alignment horizontal="center" vertical="center"/>
    </xf>
    <xf numFmtId="0" fontId="13" fillId="7" borderId="1" xfId="1" applyFont="1" applyFill="1" applyBorder="1" applyAlignment="1">
      <alignment horizontal="left" vertical="center"/>
    </xf>
    <xf numFmtId="0" fontId="16" fillId="11" borderId="1" xfId="0" applyFont="1" applyFill="1" applyBorder="1" applyAlignment="1">
      <alignment horizontal="center" vertical="center"/>
    </xf>
    <xf numFmtId="0" fontId="26" fillId="0" borderId="0" xfId="7"/>
    <xf numFmtId="0" fontId="13" fillId="0" borderId="1" xfId="1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21" fillId="4" borderId="1" xfId="0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 wrapText="1"/>
    </xf>
    <xf numFmtId="16" fontId="16" fillId="13" borderId="1" xfId="0" applyNumberFormat="1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16" fontId="16" fillId="13" borderId="1" xfId="0" applyNumberFormat="1" applyFont="1" applyFill="1" applyBorder="1" applyAlignment="1">
      <alignment horizontal="center" vertical="center" wrapText="1"/>
    </xf>
    <xf numFmtId="0" fontId="11" fillId="19" borderId="1" xfId="0" applyFont="1" applyFill="1" applyBorder="1" applyAlignment="1">
      <alignment horizontal="center" vertical="center" wrapText="1"/>
    </xf>
    <xf numFmtId="0" fontId="21" fillId="19" borderId="1" xfId="0" applyFont="1" applyFill="1" applyBorder="1" applyAlignment="1">
      <alignment horizontal="center" vertical="center" wrapText="1"/>
    </xf>
    <xf numFmtId="0" fontId="16" fillId="0" borderId="0" xfId="7" applyFont="1"/>
    <xf numFmtId="0" fontId="18" fillId="0" borderId="0" xfId="7" applyFont="1"/>
    <xf numFmtId="0" fontId="34" fillId="0" borderId="0" xfId="7" applyFont="1"/>
    <xf numFmtId="0" fontId="35" fillId="2" borderId="1" xfId="1" applyFont="1" applyFill="1" applyBorder="1" applyAlignment="1">
      <alignment horizontal="center" vertical="center" wrapText="1"/>
    </xf>
    <xf numFmtId="0" fontId="35" fillId="10" borderId="1" xfId="1" applyFont="1" applyFill="1" applyBorder="1" applyAlignment="1">
      <alignment horizontal="center" vertical="center" wrapText="1"/>
    </xf>
    <xf numFmtId="0" fontId="12" fillId="2" borderId="1" xfId="1" applyFont="1" applyFill="1" applyBorder="1" applyAlignment="1">
      <alignment horizontal="center" vertical="center" wrapText="1"/>
    </xf>
    <xf numFmtId="16" fontId="13" fillId="7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left" vertical="center" wrapText="1"/>
    </xf>
    <xf numFmtId="0" fontId="13" fillId="3" borderId="1" xfId="1" applyFont="1" applyFill="1" applyBorder="1" applyAlignment="1">
      <alignment horizontal="left" vertical="center"/>
    </xf>
    <xf numFmtId="0" fontId="22" fillId="7" borderId="1" xfId="0" applyFont="1" applyFill="1" applyBorder="1" applyAlignment="1">
      <alignment horizontal="left" vertical="center"/>
    </xf>
    <xf numFmtId="0" fontId="22" fillId="9" borderId="1" xfId="0" applyFont="1" applyFill="1" applyBorder="1" applyAlignment="1">
      <alignment horizontal="left" vertical="center"/>
    </xf>
    <xf numFmtId="0" fontId="35" fillId="12" borderId="1" xfId="1" applyFont="1" applyFill="1" applyBorder="1" applyAlignment="1">
      <alignment horizontal="center" vertical="center" wrapText="1"/>
    </xf>
    <xf numFmtId="0" fontId="15" fillId="0" borderId="0" xfId="1" applyAlignment="1">
      <alignment horizontal="center"/>
    </xf>
    <xf numFmtId="0" fontId="13" fillId="13" borderId="1" xfId="1" applyFont="1" applyFill="1" applyBorder="1" applyAlignment="1">
      <alignment horizontal="left" vertical="center"/>
    </xf>
    <xf numFmtId="0" fontId="15" fillId="0" borderId="0" xfId="1" applyAlignment="1">
      <alignment horizontal="left"/>
    </xf>
    <xf numFmtId="0" fontId="13" fillId="0" borderId="1" xfId="0" applyFont="1" applyBorder="1" applyAlignment="1">
      <alignment horizontal="left" vertical="center"/>
    </xf>
    <xf numFmtId="0" fontId="13" fillId="11" borderId="1" xfId="0" applyFont="1" applyFill="1" applyBorder="1" applyAlignment="1">
      <alignment horizontal="center" vertical="center"/>
    </xf>
    <xf numFmtId="0" fontId="13" fillId="0" borderId="0" xfId="1" applyFont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3" fillId="7" borderId="1" xfId="1" applyFont="1" applyFill="1" applyBorder="1" applyAlignment="1">
      <alignment vertical="top" wrapText="1"/>
    </xf>
    <xf numFmtId="0" fontId="13" fillId="9" borderId="1" xfId="1" applyFont="1" applyFill="1" applyBorder="1" applyAlignment="1">
      <alignment vertical="top" wrapText="1"/>
    </xf>
    <xf numFmtId="0" fontId="8" fillId="0" borderId="0" xfId="8"/>
    <xf numFmtId="0" fontId="38" fillId="14" borderId="8" xfId="0" applyFont="1" applyFill="1" applyBorder="1" applyAlignment="1">
      <alignment horizontal="center" vertical="center" wrapText="1"/>
    </xf>
    <xf numFmtId="0" fontId="25" fillId="0" borderId="0" xfId="0" applyFont="1"/>
    <xf numFmtId="0" fontId="39" fillId="0" borderId="0" xfId="7" applyFont="1"/>
    <xf numFmtId="0" fontId="13" fillId="0" borderId="0" xfId="1" applyFont="1" applyAlignment="1">
      <alignment horizontal="left" vertical="center" wrapText="1"/>
    </xf>
    <xf numFmtId="0" fontId="13" fillId="0" borderId="0" xfId="1" applyFont="1" applyAlignment="1">
      <alignment horizontal="left" vertical="center"/>
    </xf>
    <xf numFmtId="0" fontId="13" fillId="0" borderId="0" xfId="1" applyFont="1"/>
    <xf numFmtId="0" fontId="13" fillId="0" borderId="0" xfId="1" applyFont="1" applyAlignment="1">
      <alignment vertical="top"/>
    </xf>
    <xf numFmtId="0" fontId="23" fillId="0" borderId="1" xfId="0" applyFont="1" applyBorder="1" applyAlignment="1">
      <alignment horizontal="center" vertical="center"/>
    </xf>
    <xf numFmtId="0" fontId="13" fillId="0" borderId="1" xfId="1" applyFont="1" applyBorder="1" applyAlignment="1">
      <alignment vertical="top" wrapText="1"/>
    </xf>
    <xf numFmtId="0" fontId="23" fillId="9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8" xfId="0" applyFont="1" applyBorder="1" applyAlignment="1">
      <alignment horizontal="left" vertical="center"/>
    </xf>
    <xf numFmtId="0" fontId="17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4" fillId="0" borderId="8" xfId="0" applyFont="1" applyBorder="1" applyAlignment="1">
      <alignment vertical="center"/>
    </xf>
    <xf numFmtId="0" fontId="16" fillId="0" borderId="8" xfId="0" applyFont="1" applyBorder="1" applyAlignment="1">
      <alignment horizontal="left" vertical="center"/>
    </xf>
    <xf numFmtId="0" fontId="13" fillId="0" borderId="8" xfId="0" applyFont="1" applyBorder="1" applyAlignment="1">
      <alignment horizontal="center" vertical="center"/>
    </xf>
    <xf numFmtId="0" fontId="13" fillId="0" borderId="8" xfId="0" applyFont="1" applyBorder="1" applyAlignment="1">
      <alignment horizontal="left" vertical="center"/>
    </xf>
    <xf numFmtId="0" fontId="38" fillId="21" borderId="8" xfId="0" applyFont="1" applyFill="1" applyBorder="1" applyAlignment="1">
      <alignment horizontal="center" vertical="center" wrapText="1"/>
    </xf>
    <xf numFmtId="0" fontId="8" fillId="0" borderId="0" xfId="8" applyAlignment="1">
      <alignment horizontal="center" vertical="center"/>
    </xf>
    <xf numFmtId="0" fontId="8" fillId="0" borderId="0" xfId="8" applyAlignment="1">
      <alignment horizontal="left" vertical="center"/>
    </xf>
    <xf numFmtId="16" fontId="16" fillId="0" borderId="1" xfId="0" applyNumberFormat="1" applyFont="1" applyBorder="1" applyAlignment="1">
      <alignment horizontal="left" vertical="center" wrapText="1"/>
    </xf>
    <xf numFmtId="0" fontId="22" fillId="0" borderId="9" xfId="0" applyFont="1" applyBorder="1" applyAlignment="1">
      <alignment horizontal="center" vertical="center"/>
    </xf>
    <xf numFmtId="0" fontId="22" fillId="0" borderId="9" xfId="0" applyFont="1" applyBorder="1" applyAlignment="1">
      <alignment horizontal="left" vertical="center"/>
    </xf>
    <xf numFmtId="0" fontId="13" fillId="0" borderId="9" xfId="0" applyFont="1" applyBorder="1" applyAlignment="1">
      <alignment horizontal="left" vertical="center"/>
    </xf>
    <xf numFmtId="0" fontId="40" fillId="0" borderId="1" xfId="0" applyFont="1" applyBorder="1" applyAlignment="1">
      <alignment horizontal="center" vertical="center"/>
    </xf>
    <xf numFmtId="0" fontId="15" fillId="0" borderId="1" xfId="1" applyBorder="1" applyAlignment="1">
      <alignment horizontal="left"/>
    </xf>
    <xf numFmtId="0" fontId="17" fillId="9" borderId="1" xfId="1" applyFont="1" applyFill="1" applyBorder="1" applyAlignment="1">
      <alignment horizontal="center" vertical="center" wrapText="1"/>
    </xf>
    <xf numFmtId="0" fontId="15" fillId="0" borderId="0" xfId="1" applyAlignment="1">
      <alignment horizontal="center" vertical="center"/>
    </xf>
    <xf numFmtId="0" fontId="15" fillId="0" borderId="0" xfId="1" applyAlignment="1">
      <alignment horizontal="left" vertical="center"/>
    </xf>
    <xf numFmtId="0" fontId="22" fillId="20" borderId="9" xfId="0" applyFont="1" applyFill="1" applyBorder="1" applyAlignment="1">
      <alignment horizontal="left" vertical="center"/>
    </xf>
    <xf numFmtId="0" fontId="22" fillId="20" borderId="1" xfId="0" applyFont="1" applyFill="1" applyBorder="1" applyAlignment="1">
      <alignment horizontal="left" vertical="center"/>
    </xf>
    <xf numFmtId="0" fontId="17" fillId="7" borderId="1" xfId="1" applyFont="1" applyFill="1" applyBorder="1" applyAlignment="1">
      <alignment horizontal="center" vertical="center" wrapText="1"/>
    </xf>
    <xf numFmtId="0" fontId="19" fillId="9" borderId="1" xfId="1" applyFont="1" applyFill="1" applyBorder="1" applyAlignment="1">
      <alignment horizontal="left" vertical="center"/>
    </xf>
    <xf numFmtId="0" fontId="19" fillId="9" borderId="1" xfId="1" applyFont="1" applyFill="1" applyBorder="1" applyAlignment="1">
      <alignment vertical="center"/>
    </xf>
    <xf numFmtId="9" fontId="42" fillId="24" borderId="6" xfId="7" applyNumberFormat="1" applyFont="1" applyFill="1" applyBorder="1" applyAlignment="1">
      <alignment horizontal="center" vertical="center"/>
    </xf>
    <xf numFmtId="9" fontId="37" fillId="23" borderId="6" xfId="7" applyNumberFormat="1" applyFont="1" applyFill="1" applyBorder="1" applyAlignment="1">
      <alignment horizontal="center" vertical="center"/>
    </xf>
    <xf numFmtId="0" fontId="14" fillId="0" borderId="9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40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4" fillId="9" borderId="1" xfId="0" applyFont="1" applyFill="1" applyBorder="1" applyAlignment="1">
      <alignment horizontal="left" vertical="center"/>
    </xf>
    <xf numFmtId="0" fontId="22" fillId="0" borderId="2" xfId="0" applyFont="1" applyBorder="1" applyAlignment="1">
      <alignment horizontal="center" vertical="center"/>
    </xf>
    <xf numFmtId="0" fontId="24" fillId="0" borderId="1" xfId="0" applyFont="1" applyBorder="1" applyAlignment="1">
      <alignment horizontal="left" vertical="center"/>
    </xf>
    <xf numFmtId="0" fontId="24" fillId="0" borderId="9" xfId="0" applyFont="1" applyBorder="1" applyAlignment="1">
      <alignment horizontal="left" vertical="center"/>
    </xf>
    <xf numFmtId="0" fontId="13" fillId="0" borderId="0" xfId="1" applyFont="1" applyAlignment="1">
      <alignment horizontal="left"/>
    </xf>
    <xf numFmtId="0" fontId="11" fillId="8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6" fillId="2" borderId="1" xfId="0" applyFont="1" applyFill="1" applyBorder="1" applyAlignment="1">
      <alignment horizontal="left" vertical="center"/>
    </xf>
    <xf numFmtId="0" fontId="24" fillId="20" borderId="1" xfId="0" applyFont="1" applyFill="1" applyBorder="1" applyAlignment="1">
      <alignment horizontal="left" vertical="center"/>
    </xf>
    <xf numFmtId="0" fontId="13" fillId="0" borderId="9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/>
    </xf>
    <xf numFmtId="0" fontId="13" fillId="26" borderId="1" xfId="1" applyFont="1" applyFill="1" applyBorder="1" applyAlignment="1">
      <alignment horizontal="left" vertical="center"/>
    </xf>
    <xf numFmtId="0" fontId="13" fillId="26" borderId="1" xfId="1" applyFont="1" applyFill="1" applyBorder="1" applyAlignment="1">
      <alignment horizontal="center" vertical="center"/>
    </xf>
    <xf numFmtId="0" fontId="21" fillId="14" borderId="4" xfId="0" applyFont="1" applyFill="1" applyBorder="1" applyAlignment="1">
      <alignment horizontal="center" vertical="center" wrapText="1"/>
    </xf>
    <xf numFmtId="164" fontId="14" fillId="0" borderId="8" xfId="0" applyNumberFormat="1" applyFont="1" applyBorder="1" applyAlignment="1">
      <alignment horizontal="center" vertical="center"/>
    </xf>
    <xf numFmtId="0" fontId="45" fillId="27" borderId="1" xfId="1" applyFont="1" applyFill="1" applyBorder="1" applyAlignment="1">
      <alignment horizontal="left" vertical="center"/>
    </xf>
    <xf numFmtId="0" fontId="13" fillId="28" borderId="1" xfId="1" applyFont="1" applyFill="1" applyBorder="1" applyAlignment="1">
      <alignment horizontal="left" vertical="center"/>
    </xf>
    <xf numFmtId="0" fontId="13" fillId="28" borderId="1" xfId="1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left" vertical="center"/>
    </xf>
    <xf numFmtId="0" fontId="19" fillId="0" borderId="9" xfId="1" applyFont="1" applyBorder="1" applyAlignment="1">
      <alignment horizontal="left" vertical="center"/>
    </xf>
    <xf numFmtId="0" fontId="19" fillId="0" borderId="9" xfId="1" applyFont="1" applyBorder="1" applyAlignment="1">
      <alignment vertical="center"/>
    </xf>
    <xf numFmtId="0" fontId="21" fillId="8" borderId="1" xfId="0" applyFont="1" applyFill="1" applyBorder="1" applyAlignment="1">
      <alignment horizontal="center" vertical="center"/>
    </xf>
    <xf numFmtId="0" fontId="21" fillId="9" borderId="1" xfId="0" applyFont="1" applyFill="1" applyBorder="1" applyAlignment="1">
      <alignment horizontal="center" vertical="center" wrapText="1"/>
    </xf>
    <xf numFmtId="0" fontId="21" fillId="25" borderId="1" xfId="0" applyFont="1" applyFill="1" applyBorder="1" applyAlignment="1">
      <alignment horizontal="center" vertical="center" wrapText="1"/>
    </xf>
    <xf numFmtId="0" fontId="21" fillId="8" borderId="1" xfId="0" applyFont="1" applyFill="1" applyBorder="1" applyAlignment="1">
      <alignment horizontal="center" vertical="center" wrapText="1"/>
    </xf>
    <xf numFmtId="0" fontId="46" fillId="0" borderId="0" xfId="8" applyFont="1"/>
    <xf numFmtId="0" fontId="13" fillId="0" borderId="1" xfId="8" applyFont="1" applyBorder="1" applyAlignment="1">
      <alignment horizontal="left" vertical="center"/>
    </xf>
    <xf numFmtId="0" fontId="13" fillId="0" borderId="1" xfId="8" applyFont="1" applyBorder="1" applyAlignment="1">
      <alignment horizontal="center" vertical="center"/>
    </xf>
    <xf numFmtId="0" fontId="13" fillId="5" borderId="1" xfId="8" applyFont="1" applyFill="1" applyBorder="1" applyAlignment="1">
      <alignment horizontal="center" vertical="center"/>
    </xf>
    <xf numFmtId="0" fontId="13" fillId="6" borderId="1" xfId="8" applyFont="1" applyFill="1" applyBorder="1" applyAlignment="1">
      <alignment horizontal="center" vertical="center"/>
    </xf>
    <xf numFmtId="0" fontId="13" fillId="22" borderId="1" xfId="8" applyFont="1" applyFill="1" applyBorder="1" applyAlignment="1">
      <alignment horizontal="center" vertical="center"/>
    </xf>
    <xf numFmtId="0" fontId="13" fillId="0" borderId="0" xfId="8" applyFont="1"/>
    <xf numFmtId="0" fontId="14" fillId="0" borderId="1" xfId="0" applyFont="1" applyBorder="1" applyAlignment="1">
      <alignment horizontal="center" vertical="center"/>
    </xf>
    <xf numFmtId="0" fontId="24" fillId="20" borderId="8" xfId="0" applyFont="1" applyFill="1" applyBorder="1" applyAlignment="1">
      <alignment vertical="center"/>
    </xf>
    <xf numFmtId="0" fontId="13" fillId="20" borderId="8" xfId="0" applyFont="1" applyFill="1" applyBorder="1" applyAlignment="1">
      <alignment vertical="center"/>
    </xf>
    <xf numFmtId="0" fontId="13" fillId="0" borderId="0" xfId="0" applyFont="1"/>
    <xf numFmtId="0" fontId="27" fillId="14" borderId="8" xfId="0" applyFont="1" applyFill="1" applyBorder="1" applyAlignment="1">
      <alignment horizontal="center" vertical="center" wrapText="1"/>
    </xf>
    <xf numFmtId="0" fontId="27" fillId="21" borderId="8" xfId="0" applyFont="1" applyFill="1" applyBorder="1" applyAlignment="1">
      <alignment horizontal="center" vertical="center" wrapText="1"/>
    </xf>
    <xf numFmtId="0" fontId="4" fillId="0" borderId="0" xfId="0" applyFont="1"/>
    <xf numFmtId="9" fontId="44" fillId="29" borderId="6" xfId="7" applyNumberFormat="1" applyFont="1" applyFill="1" applyBorder="1" applyAlignment="1">
      <alignment horizontal="center" vertical="center"/>
    </xf>
    <xf numFmtId="0" fontId="47" fillId="9" borderId="1" xfId="1" applyFont="1" applyFill="1" applyBorder="1" applyAlignment="1">
      <alignment horizontal="left" vertical="center"/>
    </xf>
    <xf numFmtId="0" fontId="47" fillId="9" borderId="1" xfId="1" applyFont="1" applyFill="1" applyBorder="1" applyAlignment="1">
      <alignment vertical="center"/>
    </xf>
    <xf numFmtId="0" fontId="48" fillId="9" borderId="1" xfId="0" applyFont="1" applyFill="1" applyBorder="1" applyAlignment="1">
      <alignment horizontal="left" vertical="center"/>
    </xf>
    <xf numFmtId="0" fontId="24" fillId="21" borderId="1" xfId="0" applyFont="1" applyFill="1" applyBorder="1" applyAlignment="1">
      <alignment horizontal="left" vertical="center"/>
    </xf>
    <xf numFmtId="0" fontId="19" fillId="21" borderId="1" xfId="1" applyFont="1" applyFill="1" applyBorder="1" applyAlignment="1">
      <alignment horizontal="left" vertical="center"/>
    </xf>
    <xf numFmtId="0" fontId="19" fillId="21" borderId="1" xfId="1" applyFont="1" applyFill="1" applyBorder="1" applyAlignment="1">
      <alignment vertical="center"/>
    </xf>
    <xf numFmtId="0" fontId="12" fillId="27" borderId="1" xfId="0" applyFont="1" applyFill="1" applyBorder="1" applyAlignment="1">
      <alignment horizontal="center" vertical="center"/>
    </xf>
    <xf numFmtId="0" fontId="40" fillId="27" borderId="1" xfId="0" applyFont="1" applyFill="1" applyBorder="1" applyAlignment="1">
      <alignment horizontal="left" vertical="center"/>
    </xf>
    <xf numFmtId="0" fontId="40" fillId="27" borderId="1" xfId="0" applyFont="1" applyFill="1" applyBorder="1" applyAlignment="1">
      <alignment horizontal="center" vertical="center"/>
    </xf>
    <xf numFmtId="0" fontId="3" fillId="0" borderId="0" xfId="0" applyFont="1"/>
    <xf numFmtId="0" fontId="40" fillId="27" borderId="9" xfId="0" applyFont="1" applyFill="1" applyBorder="1" applyAlignment="1">
      <alignment horizontal="left" vertical="center"/>
    </xf>
    <xf numFmtId="0" fontId="3" fillId="27" borderId="1" xfId="0" applyFont="1" applyFill="1" applyBorder="1" applyAlignment="1">
      <alignment horizontal="left" vertical="center"/>
    </xf>
    <xf numFmtId="0" fontId="3" fillId="27" borderId="1" xfId="0" applyFont="1" applyFill="1" applyBorder="1" applyAlignment="1">
      <alignment horizontal="center" vertical="center"/>
    </xf>
    <xf numFmtId="0" fontId="40" fillId="27" borderId="10" xfId="0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7" borderId="1" xfId="1" applyFont="1" applyFill="1" applyBorder="1" applyAlignment="1">
      <alignment horizontal="right" vertical="center"/>
    </xf>
    <xf numFmtId="0" fontId="3" fillId="7" borderId="1" xfId="1" applyFont="1" applyFill="1" applyBorder="1" applyAlignment="1">
      <alignment horizontal="center" vertical="center"/>
    </xf>
    <xf numFmtId="0" fontId="3" fillId="27" borderId="9" xfId="0" applyFont="1" applyFill="1" applyBorder="1" applyAlignment="1">
      <alignment horizontal="left" vertical="center"/>
    </xf>
    <xf numFmtId="0" fontId="25" fillId="27" borderId="1" xfId="1" applyFont="1" applyFill="1" applyBorder="1" applyAlignment="1">
      <alignment horizontal="left" vertical="center"/>
    </xf>
    <xf numFmtId="0" fontId="25" fillId="27" borderId="1" xfId="1" applyFont="1" applyFill="1" applyBorder="1" applyAlignment="1">
      <alignment vertical="center"/>
    </xf>
    <xf numFmtId="0" fontId="19" fillId="0" borderId="1" xfId="1" applyFont="1" applyBorder="1" applyAlignment="1">
      <alignment horizontal="left" vertical="center"/>
    </xf>
    <xf numFmtId="0" fontId="19" fillId="0" borderId="1" xfId="1" applyFont="1" applyBorder="1" applyAlignment="1">
      <alignment vertical="center"/>
    </xf>
    <xf numFmtId="0" fontId="22" fillId="9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/>
    </xf>
    <xf numFmtId="0" fontId="17" fillId="9" borderId="1" xfId="1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left" vertical="center"/>
    </xf>
    <xf numFmtId="0" fontId="16" fillId="9" borderId="1" xfId="0" applyFont="1" applyFill="1" applyBorder="1" applyAlignment="1">
      <alignment horizontal="left" vertical="center" wrapText="1"/>
    </xf>
    <xf numFmtId="16" fontId="16" fillId="9" borderId="1" xfId="0" applyNumberFormat="1" applyFont="1" applyFill="1" applyBorder="1" applyAlignment="1">
      <alignment horizontal="center" vertical="center"/>
    </xf>
    <xf numFmtId="16" fontId="16" fillId="9" borderId="1" xfId="0" applyNumberFormat="1" applyFont="1" applyFill="1" applyBorder="1" applyAlignment="1">
      <alignment horizontal="center" vertical="center" wrapText="1"/>
    </xf>
    <xf numFmtId="16" fontId="16" fillId="9" borderId="1" xfId="0" applyNumberFormat="1" applyFont="1" applyFill="1" applyBorder="1" applyAlignment="1">
      <alignment horizontal="left" vertical="center" wrapText="1"/>
    </xf>
    <xf numFmtId="0" fontId="41" fillId="32" borderId="11" xfId="0" applyFont="1" applyFill="1" applyBorder="1" applyAlignment="1">
      <alignment horizontal="center" vertical="center" wrapText="1"/>
    </xf>
    <xf numFmtId="0" fontId="53" fillId="33" borderId="11" xfId="0" applyFont="1" applyFill="1" applyBorder="1" applyAlignment="1">
      <alignment horizontal="center" vertical="center"/>
    </xf>
    <xf numFmtId="0" fontId="55" fillId="35" borderId="11" xfId="0" applyFont="1" applyFill="1" applyBorder="1" applyAlignment="1">
      <alignment horizontal="center" vertical="center"/>
    </xf>
    <xf numFmtId="0" fontId="58" fillId="38" borderId="11" xfId="0" applyFont="1" applyFill="1" applyBorder="1" applyAlignment="1">
      <alignment horizontal="center" vertical="center"/>
    </xf>
    <xf numFmtId="0" fontId="59" fillId="39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3" fillId="0" borderId="10" xfId="0" applyFont="1" applyBorder="1" applyAlignment="1">
      <alignment horizontal="left" vertical="center"/>
    </xf>
    <xf numFmtId="0" fontId="13" fillId="0" borderId="10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40" fillId="43" borderId="15" xfId="0" applyFont="1" applyFill="1" applyBorder="1" applyAlignment="1">
      <alignment horizontal="center" vertical="center"/>
    </xf>
    <xf numFmtId="0" fontId="51" fillId="43" borderId="15" xfId="7" applyFont="1" applyFill="1" applyBorder="1" applyAlignment="1">
      <alignment horizontal="center" vertical="center"/>
    </xf>
    <xf numFmtId="0" fontId="35" fillId="43" borderId="15" xfId="0" applyFont="1" applyFill="1" applyBorder="1" applyAlignment="1">
      <alignment horizontal="center" vertical="center"/>
    </xf>
    <xf numFmtId="0" fontId="40" fillId="42" borderId="15" xfId="0" applyFont="1" applyFill="1" applyBorder="1" applyAlignment="1">
      <alignment horizontal="center" vertical="center"/>
    </xf>
    <xf numFmtId="0" fontId="51" fillId="42" borderId="15" xfId="7" applyFont="1" applyFill="1" applyBorder="1" applyAlignment="1">
      <alignment horizontal="center" vertical="center"/>
    </xf>
    <xf numFmtId="0" fontId="35" fillId="42" borderId="15" xfId="0" applyFont="1" applyFill="1" applyBorder="1" applyAlignment="1">
      <alignment horizontal="center" vertical="center"/>
    </xf>
    <xf numFmtId="0" fontId="41" fillId="32" borderId="6" xfId="0" applyFont="1" applyFill="1" applyBorder="1" applyAlignment="1">
      <alignment horizontal="center" vertical="center"/>
    </xf>
    <xf numFmtId="0" fontId="60" fillId="32" borderId="6" xfId="0" applyFont="1" applyFill="1" applyBorder="1" applyAlignment="1">
      <alignment horizontal="center" vertical="center"/>
    </xf>
    <xf numFmtId="0" fontId="37" fillId="32" borderId="6" xfId="7" applyFont="1" applyFill="1" applyBorder="1" applyAlignment="1">
      <alignment horizontal="center" vertical="center"/>
    </xf>
    <xf numFmtId="0" fontId="49" fillId="30" borderId="11" xfId="0" applyFont="1" applyFill="1" applyBorder="1" applyAlignment="1">
      <alignment horizontal="center" vertical="center"/>
    </xf>
    <xf numFmtId="0" fontId="50" fillId="31" borderId="11" xfId="0" applyFont="1" applyFill="1" applyBorder="1" applyAlignment="1">
      <alignment horizontal="center" vertical="center"/>
    </xf>
    <xf numFmtId="0" fontId="57" fillId="37" borderId="11" xfId="0" applyFont="1" applyFill="1" applyBorder="1" applyAlignment="1">
      <alignment horizontal="center" vertical="center"/>
    </xf>
    <xf numFmtId="0" fontId="56" fillId="36" borderId="11" xfId="0" applyFont="1" applyFill="1" applyBorder="1" applyAlignment="1">
      <alignment horizontal="center" vertical="center"/>
    </xf>
    <xf numFmtId="0" fontId="54" fillId="34" borderId="11" xfId="0" applyFont="1" applyFill="1" applyBorder="1" applyAlignment="1">
      <alignment horizontal="center" vertical="center"/>
    </xf>
    <xf numFmtId="0" fontId="52" fillId="0" borderId="0" xfId="0" applyFont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49" fillId="30" borderId="11" xfId="0" applyFont="1" applyFill="1" applyBorder="1" applyAlignment="1">
      <alignment horizontal="left" vertical="center"/>
    </xf>
    <xf numFmtId="0" fontId="58" fillId="38" borderId="11" xfId="0" applyFont="1" applyFill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12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1" fillId="4" borderId="4" xfId="0" applyFont="1" applyFill="1" applyBorder="1" applyAlignment="1">
      <alignment horizontal="center" vertical="center"/>
    </xf>
    <xf numFmtId="16" fontId="13" fillId="0" borderId="1" xfId="0" applyNumberFormat="1" applyFont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44" borderId="1" xfId="0" applyFont="1" applyFill="1" applyBorder="1" applyAlignment="1">
      <alignment horizontal="center" vertical="center"/>
    </xf>
    <xf numFmtId="0" fontId="2" fillId="0" borderId="0" xfId="17"/>
    <xf numFmtId="0" fontId="22" fillId="31" borderId="1" xfId="17" applyFont="1" applyFill="1" applyBorder="1" applyAlignment="1">
      <alignment horizontal="center" vertical="center"/>
    </xf>
    <xf numFmtId="0" fontId="19" fillId="31" borderId="1" xfId="1" applyFont="1" applyFill="1" applyBorder="1" applyAlignment="1">
      <alignment vertical="center"/>
    </xf>
    <xf numFmtId="0" fontId="19" fillId="31" borderId="1" xfId="1" applyFont="1" applyFill="1" applyBorder="1" applyAlignment="1">
      <alignment horizontal="left" vertical="center"/>
    </xf>
    <xf numFmtId="0" fontId="22" fillId="31" borderId="1" xfId="17" applyFont="1" applyFill="1" applyBorder="1" applyAlignment="1">
      <alignment horizontal="left" vertical="center"/>
    </xf>
    <xf numFmtId="0" fontId="22" fillId="44" borderId="1" xfId="17" applyFont="1" applyFill="1" applyBorder="1" applyAlignment="1">
      <alignment horizontal="center" vertical="center"/>
    </xf>
    <xf numFmtId="0" fontId="19" fillId="44" borderId="1" xfId="1" applyFont="1" applyFill="1" applyBorder="1" applyAlignment="1">
      <alignment vertical="center"/>
    </xf>
    <xf numFmtId="0" fontId="19" fillId="44" borderId="1" xfId="1" applyFont="1" applyFill="1" applyBorder="1" applyAlignment="1">
      <alignment horizontal="left" vertical="center"/>
    </xf>
    <xf numFmtId="0" fontId="22" fillId="11" borderId="1" xfId="17" applyFont="1" applyFill="1" applyBorder="1" applyAlignment="1">
      <alignment horizontal="center" vertical="center"/>
    </xf>
    <xf numFmtId="0" fontId="22" fillId="11" borderId="1" xfId="17" applyFont="1" applyFill="1" applyBorder="1" applyAlignment="1">
      <alignment horizontal="left" vertical="center"/>
    </xf>
    <xf numFmtId="0" fontId="19" fillId="11" borderId="1" xfId="1" applyFont="1" applyFill="1" applyBorder="1" applyAlignment="1">
      <alignment vertical="center"/>
    </xf>
    <xf numFmtId="0" fontId="19" fillId="11" borderId="1" xfId="1" applyFont="1" applyFill="1" applyBorder="1" applyAlignment="1">
      <alignment horizontal="left" vertical="center"/>
    </xf>
    <xf numFmtId="0" fontId="21" fillId="14" borderId="1" xfId="17" applyFont="1" applyFill="1" applyBorder="1" applyAlignment="1">
      <alignment horizontal="center" vertical="center" wrapText="1"/>
    </xf>
    <xf numFmtId="0" fontId="11" fillId="4" borderId="1" xfId="17" applyFont="1" applyFill="1" applyBorder="1" applyAlignment="1">
      <alignment horizontal="center" vertical="center" wrapText="1"/>
    </xf>
    <xf numFmtId="0" fontId="32" fillId="18" borderId="6" xfId="7" applyFont="1" applyFill="1" applyBorder="1" applyAlignment="1">
      <alignment horizontal="center" vertical="center"/>
    </xf>
    <xf numFmtId="0" fontId="29" fillId="18" borderId="6" xfId="7" applyFont="1" applyFill="1" applyBorder="1" applyAlignment="1">
      <alignment horizontal="center" vertical="center"/>
    </xf>
    <xf numFmtId="0" fontId="36" fillId="17" borderId="5" xfId="7" applyFont="1" applyFill="1" applyBorder="1" applyAlignment="1">
      <alignment horizontal="center" vertical="center"/>
    </xf>
    <xf numFmtId="0" fontId="28" fillId="17" borderId="7" xfId="7" applyFont="1" applyFill="1" applyBorder="1" applyAlignment="1">
      <alignment horizontal="center" vertical="center"/>
    </xf>
    <xf numFmtId="0" fontId="11" fillId="19" borderId="2" xfId="0" applyFont="1" applyFill="1" applyBorder="1" applyAlignment="1">
      <alignment horizontal="center" vertical="center" wrapText="1"/>
    </xf>
    <xf numFmtId="0" fontId="11" fillId="19" borderId="3" xfId="0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8" fillId="0" borderId="14" xfId="8" applyBorder="1" applyAlignment="1">
      <alignment horizontal="center" vertical="center"/>
    </xf>
    <xf numFmtId="0" fontId="31" fillId="32" borderId="6" xfId="7" applyFont="1" applyFill="1" applyBorder="1" applyAlignment="1">
      <alignment horizontal="center" vertical="center" wrapText="1"/>
    </xf>
    <xf numFmtId="0" fontId="31" fillId="45" borderId="6" xfId="7" applyFont="1" applyFill="1" applyBorder="1" applyAlignment="1">
      <alignment horizontal="center" vertical="center" wrapText="1"/>
    </xf>
    <xf numFmtId="0" fontId="33" fillId="45" borderId="6" xfId="7" applyFont="1" applyFill="1" applyBorder="1" applyAlignment="1">
      <alignment horizontal="center" vertical="center"/>
    </xf>
    <xf numFmtId="0" fontId="31" fillId="8" borderId="6" xfId="7" applyFont="1" applyFill="1" applyBorder="1" applyAlignment="1">
      <alignment horizontal="center" vertical="center" wrapText="1"/>
    </xf>
    <xf numFmtId="0" fontId="33" fillId="8" borderId="6" xfId="7" applyFont="1" applyFill="1" applyBorder="1" applyAlignment="1">
      <alignment horizontal="center" vertical="center"/>
    </xf>
    <xf numFmtId="0" fontId="31" fillId="29" borderId="6" xfId="7" applyFont="1" applyFill="1" applyBorder="1" applyAlignment="1">
      <alignment horizontal="center" vertical="center" wrapText="1"/>
    </xf>
    <xf numFmtId="0" fontId="33" fillId="29" borderId="6" xfId="7" applyFont="1" applyFill="1" applyBorder="1" applyAlignment="1">
      <alignment horizontal="center" vertical="center"/>
    </xf>
    <xf numFmtId="0" fontId="31" fillId="41" borderId="6" xfId="7" applyFont="1" applyFill="1" applyBorder="1" applyAlignment="1">
      <alignment horizontal="center" vertical="center" wrapText="1"/>
    </xf>
    <xf numFmtId="0" fontId="33" fillId="41" borderId="6" xfId="7" applyFont="1" applyFill="1" applyBorder="1" applyAlignment="1">
      <alignment horizontal="center" vertical="center"/>
    </xf>
    <xf numFmtId="0" fontId="31" fillId="46" borderId="6" xfId="7" applyFont="1" applyFill="1" applyBorder="1" applyAlignment="1">
      <alignment horizontal="center" vertical="center" wrapText="1"/>
    </xf>
    <xf numFmtId="0" fontId="33" fillId="46" borderId="6" xfId="7" applyFont="1" applyFill="1" applyBorder="1" applyAlignment="1">
      <alignment horizontal="center" vertical="center"/>
    </xf>
    <xf numFmtId="0" fontId="31" fillId="23" borderId="6" xfId="7" applyFont="1" applyFill="1" applyBorder="1" applyAlignment="1">
      <alignment horizontal="center" vertical="center" wrapText="1"/>
    </xf>
    <xf numFmtId="0" fontId="33" fillId="23" borderId="6" xfId="7" applyFont="1" applyFill="1" applyBorder="1" applyAlignment="1">
      <alignment horizontal="center" vertical="center"/>
    </xf>
    <xf numFmtId="0" fontId="31" fillId="47" borderId="6" xfId="7" applyFont="1" applyFill="1" applyBorder="1" applyAlignment="1">
      <alignment horizontal="center" vertical="center" wrapText="1"/>
    </xf>
    <xf numFmtId="0" fontId="33" fillId="47" borderId="6" xfId="7" applyFont="1" applyFill="1" applyBorder="1" applyAlignment="1">
      <alignment horizontal="center" vertical="center"/>
    </xf>
    <xf numFmtId="0" fontId="33" fillId="32" borderId="6" xfId="7" applyNumberFormat="1" applyFont="1" applyFill="1" applyBorder="1" applyAlignment="1">
      <alignment horizontal="center" vertical="center"/>
    </xf>
    <xf numFmtId="0" fontId="64" fillId="32" borderId="6" xfId="0" applyFont="1" applyFill="1" applyBorder="1" applyAlignment="1">
      <alignment horizontal="center" vertical="center" wrapText="1"/>
    </xf>
    <xf numFmtId="0" fontId="65" fillId="32" borderId="6" xfId="7" applyFont="1" applyFill="1" applyBorder="1" applyAlignment="1">
      <alignment horizontal="center" vertical="center" wrapText="1"/>
    </xf>
    <xf numFmtId="0" fontId="30" fillId="32" borderId="6" xfId="7" applyNumberFormat="1" applyFont="1" applyFill="1" applyBorder="1" applyAlignment="1">
      <alignment horizontal="center" vertical="center"/>
    </xf>
    <xf numFmtId="0" fontId="30" fillId="45" borderId="6" xfId="7" applyNumberFormat="1" applyFont="1" applyFill="1" applyBorder="1" applyAlignment="1">
      <alignment horizontal="center" vertical="center"/>
    </xf>
    <xf numFmtId="0" fontId="30" fillId="8" borderId="6" xfId="7" applyNumberFormat="1" applyFont="1" applyFill="1" applyBorder="1" applyAlignment="1">
      <alignment horizontal="center" vertical="center"/>
    </xf>
    <xf numFmtId="0" fontId="30" fillId="29" borderId="6" xfId="7" applyNumberFormat="1" applyFont="1" applyFill="1" applyBorder="1" applyAlignment="1">
      <alignment horizontal="center" vertical="center"/>
    </xf>
    <xf numFmtId="0" fontId="30" fillId="41" borderId="6" xfId="7" applyNumberFormat="1" applyFont="1" applyFill="1" applyBorder="1" applyAlignment="1">
      <alignment horizontal="center" vertical="center"/>
    </xf>
    <xf numFmtId="0" fontId="31" fillId="14" borderId="6" xfId="7" applyFont="1" applyFill="1" applyBorder="1" applyAlignment="1">
      <alignment horizontal="center" vertical="center" wrapText="1"/>
    </xf>
    <xf numFmtId="0" fontId="30" fillId="14" borderId="6" xfId="7" applyNumberFormat="1" applyFont="1" applyFill="1" applyBorder="1" applyAlignment="1">
      <alignment horizontal="center" vertical="center"/>
    </xf>
    <xf numFmtId="0" fontId="33" fillId="14" borderId="6" xfId="7" applyFont="1" applyFill="1" applyBorder="1" applyAlignment="1">
      <alignment horizontal="center" vertical="center"/>
    </xf>
    <xf numFmtId="0" fontId="30" fillId="46" borderId="6" xfId="7" applyNumberFormat="1" applyFont="1" applyFill="1" applyBorder="1" applyAlignment="1">
      <alignment horizontal="center" vertical="center"/>
    </xf>
    <xf numFmtId="0" fontId="30" fillId="23" borderId="6" xfId="7" applyNumberFormat="1" applyFont="1" applyFill="1" applyBorder="1" applyAlignment="1">
      <alignment horizontal="center" vertical="center"/>
    </xf>
    <xf numFmtId="0" fontId="30" fillId="47" borderId="6" xfId="7" applyNumberFormat="1" applyFont="1" applyFill="1" applyBorder="1" applyAlignment="1">
      <alignment horizontal="center" vertical="center"/>
    </xf>
    <xf numFmtId="9" fontId="44" fillId="48" borderId="6" xfId="7" applyNumberFormat="1" applyFont="1" applyFill="1" applyBorder="1" applyAlignment="1">
      <alignment horizontal="center" vertical="center"/>
    </xf>
    <xf numFmtId="0" fontId="24" fillId="20" borderId="9" xfId="0" applyFont="1" applyFill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40" fillId="0" borderId="11" xfId="0" applyFont="1" applyFill="1" applyBorder="1" applyAlignment="1">
      <alignment horizontal="center" vertical="center"/>
    </xf>
    <xf numFmtId="0" fontId="40" fillId="0" borderId="0" xfId="0" applyFont="1" applyFill="1" applyAlignment="1">
      <alignment horizontal="center" vertical="center"/>
    </xf>
    <xf numFmtId="0" fontId="40" fillId="0" borderId="11" xfId="0" applyFont="1" applyFill="1" applyBorder="1" applyAlignment="1">
      <alignment horizontal="left" vertical="center"/>
    </xf>
    <xf numFmtId="0" fontId="40" fillId="0" borderId="0" xfId="0" applyFont="1" applyFill="1" applyAlignment="1">
      <alignment horizontal="left" vertical="center"/>
    </xf>
    <xf numFmtId="0" fontId="23" fillId="0" borderId="11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66" fillId="32" borderId="11" xfId="0" applyFont="1" applyFill="1" applyBorder="1" applyAlignment="1">
      <alignment horizontal="center" vertical="center" wrapText="1"/>
    </xf>
    <xf numFmtId="0" fontId="66" fillId="41" borderId="11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left" vertical="center"/>
    </xf>
    <xf numFmtId="0" fontId="1" fillId="0" borderId="11" xfId="0" applyFont="1" applyBorder="1" applyAlignment="1">
      <alignment horizontal="center" vertical="center"/>
    </xf>
    <xf numFmtId="0" fontId="16" fillId="0" borderId="9" xfId="0" applyFont="1" applyFill="1" applyBorder="1" applyAlignment="1">
      <alignment horizontal="left" vertical="center"/>
    </xf>
    <xf numFmtId="0" fontId="19" fillId="0" borderId="1" xfId="1" applyFont="1" applyFill="1" applyBorder="1" applyAlignment="1">
      <alignment horizontal="left" vertical="center"/>
    </xf>
    <xf numFmtId="0" fontId="19" fillId="0" borderId="1" xfId="1" applyFont="1" applyFill="1" applyBorder="1" applyAlignment="1">
      <alignment vertical="center"/>
    </xf>
    <xf numFmtId="0" fontId="41" fillId="32" borderId="1" xfId="18" applyFont="1" applyFill="1" applyBorder="1" applyAlignment="1">
      <alignment horizontal="center" vertical="center" wrapText="1"/>
    </xf>
    <xf numFmtId="0" fontId="41" fillId="32" borderId="2" xfId="18" applyFont="1" applyFill="1" applyBorder="1" applyAlignment="1">
      <alignment horizontal="center" vertical="center" wrapText="1"/>
    </xf>
    <xf numFmtId="0" fontId="41" fillId="32" borderId="3" xfId="18" applyFont="1" applyFill="1" applyBorder="1" applyAlignment="1">
      <alignment horizontal="center" vertical="center" wrapText="1"/>
    </xf>
    <xf numFmtId="0" fontId="1" fillId="0" borderId="0" xfId="18"/>
    <xf numFmtId="0" fontId="69" fillId="0" borderId="1" xfId="18" applyFont="1" applyBorder="1"/>
    <xf numFmtId="0" fontId="69" fillId="0" borderId="2" xfId="18" applyFont="1" applyBorder="1"/>
    <xf numFmtId="0" fontId="70" fillId="33" borderId="1" xfId="18" applyFont="1" applyFill="1" applyBorder="1" applyAlignment="1">
      <alignment horizontal="center"/>
    </xf>
    <xf numFmtId="0" fontId="71" fillId="30" borderId="2" xfId="18" applyFont="1" applyFill="1" applyBorder="1" applyAlignment="1">
      <alignment horizontal="center"/>
    </xf>
    <xf numFmtId="0" fontId="72" fillId="30" borderId="1" xfId="18" applyFont="1" applyFill="1" applyBorder="1" applyAlignment="1">
      <alignment horizontal="center"/>
    </xf>
    <xf numFmtId="0" fontId="73" fillId="34" borderId="1" xfId="18" applyFont="1" applyFill="1" applyBorder="1" applyAlignment="1">
      <alignment horizontal="center"/>
    </xf>
    <xf numFmtId="0" fontId="69" fillId="0" borderId="3" xfId="18" applyFont="1" applyBorder="1"/>
    <xf numFmtId="0" fontId="71" fillId="30" borderId="1" xfId="18" applyFont="1" applyFill="1" applyBorder="1" applyAlignment="1">
      <alignment horizontal="center"/>
    </xf>
    <xf numFmtId="0" fontId="69" fillId="0" borderId="1" xfId="18" applyFont="1" applyBorder="1" applyAlignment="1">
      <alignment horizontal="center"/>
    </xf>
    <xf numFmtId="0" fontId="74" fillId="35" borderId="1" xfId="18" applyFont="1" applyFill="1" applyBorder="1" applyAlignment="1">
      <alignment horizontal="center"/>
    </xf>
    <xf numFmtId="0" fontId="75" fillId="36" borderId="1" xfId="18" applyFont="1" applyFill="1" applyBorder="1" applyAlignment="1">
      <alignment horizontal="center"/>
    </xf>
    <xf numFmtId="0" fontId="76" fillId="37" borderId="1" xfId="18" applyFont="1" applyFill="1" applyBorder="1" applyAlignment="1">
      <alignment horizontal="center"/>
    </xf>
    <xf numFmtId="0" fontId="77" fillId="31" borderId="1" xfId="18" applyFont="1" applyFill="1" applyBorder="1" applyAlignment="1">
      <alignment horizontal="center"/>
    </xf>
    <xf numFmtId="0" fontId="78" fillId="31" borderId="1" xfId="18" applyFont="1" applyFill="1" applyBorder="1" applyAlignment="1">
      <alignment horizontal="center"/>
    </xf>
    <xf numFmtId="0" fontId="79" fillId="38" borderId="1" xfId="18" applyFont="1" applyFill="1" applyBorder="1" applyAlignment="1">
      <alignment horizontal="center"/>
    </xf>
    <xf numFmtId="0" fontId="80" fillId="40" borderId="1" xfId="18" applyFont="1" applyFill="1" applyBorder="1" applyAlignment="1">
      <alignment horizontal="center"/>
    </xf>
    <xf numFmtId="0" fontId="77" fillId="31" borderId="1" xfId="18" applyFont="1" applyFill="1" applyBorder="1"/>
    <xf numFmtId="0" fontId="77" fillId="31" borderId="2" xfId="18" applyFont="1" applyFill="1" applyBorder="1"/>
    <xf numFmtId="0" fontId="81" fillId="39" borderId="1" xfId="18" applyFont="1" applyFill="1" applyBorder="1" applyAlignment="1">
      <alignment horizontal="center"/>
    </xf>
    <xf numFmtId="0" fontId="78" fillId="31" borderId="2" xfId="18" applyFont="1" applyFill="1" applyBorder="1" applyAlignment="1">
      <alignment horizontal="center"/>
    </xf>
    <xf numFmtId="0" fontId="69" fillId="0" borderId="4" xfId="18" applyFont="1" applyBorder="1"/>
    <xf numFmtId="0" fontId="69" fillId="0" borderId="16" xfId="18" applyFont="1" applyBorder="1"/>
    <xf numFmtId="0" fontId="70" fillId="33" borderId="4" xfId="18" applyFont="1" applyFill="1" applyBorder="1" applyAlignment="1">
      <alignment horizontal="center"/>
    </xf>
    <xf numFmtId="0" fontId="74" fillId="35" borderId="4" xfId="18" applyFont="1" applyFill="1" applyBorder="1" applyAlignment="1">
      <alignment horizontal="center"/>
    </xf>
    <xf numFmtId="0" fontId="71" fillId="30" borderId="16" xfId="18" applyFont="1" applyFill="1" applyBorder="1" applyAlignment="1">
      <alignment horizontal="center"/>
    </xf>
    <xf numFmtId="0" fontId="69" fillId="0" borderId="17" xfId="18" applyFont="1" applyBorder="1"/>
    <xf numFmtId="0" fontId="76" fillId="37" borderId="4" xfId="18" applyFont="1" applyFill="1" applyBorder="1" applyAlignment="1">
      <alignment horizontal="center"/>
    </xf>
    <xf numFmtId="0" fontId="71" fillId="30" borderId="4" xfId="18" applyFont="1" applyFill="1" applyBorder="1" applyAlignment="1">
      <alignment horizontal="center"/>
    </xf>
    <xf numFmtId="0" fontId="69" fillId="0" borderId="4" xfId="18" applyFont="1" applyBorder="1" applyAlignment="1">
      <alignment horizontal="center"/>
    </xf>
    <xf numFmtId="0" fontId="64" fillId="32" borderId="1" xfId="18" applyFont="1" applyFill="1" applyBorder="1" applyAlignment="1">
      <alignment horizontal="center"/>
    </xf>
    <xf numFmtId="0" fontId="41" fillId="32" borderId="1" xfId="18" applyFont="1" applyFill="1" applyBorder="1" applyAlignment="1">
      <alignment horizontal="center"/>
    </xf>
    <xf numFmtId="0" fontId="41" fillId="32" borderId="18" xfId="18" applyFont="1" applyFill="1" applyBorder="1" applyAlignment="1">
      <alignment horizontal="center"/>
    </xf>
    <xf numFmtId="0" fontId="82" fillId="0" borderId="0" xfId="18" applyFont="1"/>
    <xf numFmtId="0" fontId="83" fillId="38" borderId="1" xfId="18" applyFont="1" applyFill="1" applyBorder="1"/>
    <xf numFmtId="0" fontId="83" fillId="38" borderId="1" xfId="18" applyFont="1" applyFill="1" applyBorder="1" applyAlignment="1">
      <alignment horizontal="center"/>
    </xf>
    <xf numFmtId="0" fontId="62" fillId="30" borderId="1" xfId="18" applyFont="1" applyFill="1" applyBorder="1"/>
    <xf numFmtId="0" fontId="62" fillId="30" borderId="1" xfId="18" applyFont="1" applyFill="1" applyBorder="1" applyAlignment="1">
      <alignment horizontal="center"/>
    </xf>
    <xf numFmtId="0" fontId="68" fillId="31" borderId="1" xfId="18" applyFont="1" applyFill="1" applyBorder="1"/>
    <xf numFmtId="0" fontId="68" fillId="31" borderId="1" xfId="18" applyFont="1" applyFill="1" applyBorder="1" applyAlignment="1">
      <alignment horizontal="center"/>
    </xf>
    <xf numFmtId="0" fontId="84" fillId="33" borderId="1" xfId="18" applyFont="1" applyFill="1" applyBorder="1"/>
    <xf numFmtId="0" fontId="84" fillId="33" borderId="1" xfId="18" applyFont="1" applyFill="1" applyBorder="1" applyAlignment="1">
      <alignment horizontal="center"/>
    </xf>
    <xf numFmtId="0" fontId="85" fillId="36" borderId="1" xfId="18" applyFont="1" applyFill="1" applyBorder="1"/>
    <xf numFmtId="0" fontId="85" fillId="36" borderId="1" xfId="18" applyFont="1" applyFill="1" applyBorder="1" applyAlignment="1">
      <alignment horizontal="center"/>
    </xf>
    <xf numFmtId="0" fontId="86" fillId="39" borderId="1" xfId="18" applyFont="1" applyFill="1" applyBorder="1"/>
    <xf numFmtId="0" fontId="86" fillId="39" borderId="1" xfId="18" applyFont="1" applyFill="1" applyBorder="1" applyAlignment="1">
      <alignment horizontal="center"/>
    </xf>
    <xf numFmtId="0" fontId="61" fillId="37" borderId="1" xfId="18" applyFont="1" applyFill="1" applyBorder="1"/>
    <xf numFmtId="0" fontId="61" fillId="37" borderId="1" xfId="18" applyFont="1" applyFill="1" applyBorder="1" applyAlignment="1">
      <alignment horizontal="center"/>
    </xf>
    <xf numFmtId="0" fontId="87" fillId="35" borderId="1" xfId="18" applyFont="1" applyFill="1" applyBorder="1"/>
    <xf numFmtId="0" fontId="87" fillId="35" borderId="1" xfId="18" applyFont="1" applyFill="1" applyBorder="1" applyAlignment="1">
      <alignment horizontal="center"/>
    </xf>
    <xf numFmtId="0" fontId="22" fillId="0" borderId="1" xfId="0" applyFont="1" applyFill="1" applyBorder="1" applyAlignment="1">
      <alignment horizontal="left" vertical="center"/>
    </xf>
    <xf numFmtId="0" fontId="16" fillId="11" borderId="1" xfId="17" applyFont="1" applyFill="1" applyBorder="1" applyAlignment="1">
      <alignment horizontal="left" vertical="center"/>
    </xf>
    <xf numFmtId="0" fontId="1" fillId="7" borderId="1" xfId="1" applyFont="1" applyFill="1" applyBorder="1" applyAlignment="1">
      <alignment horizontal="center" vertical="center"/>
    </xf>
    <xf numFmtId="0" fontId="19" fillId="2" borderId="1" xfId="1" applyFont="1" applyFill="1" applyBorder="1" applyAlignment="1">
      <alignment horizontal="left" vertical="center"/>
    </xf>
    <xf numFmtId="0" fontId="22" fillId="44" borderId="1" xfId="17" applyFont="1" applyFill="1" applyBorder="1" applyAlignment="1">
      <alignment horizontal="left" vertical="center"/>
    </xf>
    <xf numFmtId="0" fontId="2" fillId="0" borderId="0" xfId="17" applyAlignment="1">
      <alignment vertical="center"/>
    </xf>
    <xf numFmtId="0" fontId="2" fillId="0" borderId="0" xfId="17" applyAlignment="1">
      <alignment horizontal="center" vertical="center"/>
    </xf>
    <xf numFmtId="0" fontId="1" fillId="0" borderId="1" xfId="17" applyFont="1" applyBorder="1"/>
    <xf numFmtId="0" fontId="2" fillId="0" borderId="1" xfId="17" applyBorder="1" applyAlignment="1">
      <alignment horizontal="center"/>
    </xf>
    <xf numFmtId="0" fontId="1" fillId="0" borderId="1" xfId="17" applyFont="1" applyBorder="1" applyAlignment="1">
      <alignment vertical="center"/>
    </xf>
    <xf numFmtId="0" fontId="2" fillId="0" borderId="1" xfId="17" applyBorder="1" applyAlignment="1">
      <alignment horizontal="center" vertical="center"/>
    </xf>
    <xf numFmtId="0" fontId="1" fillId="0" borderId="1" xfId="17" applyFont="1" applyBorder="1" applyAlignment="1">
      <alignment horizontal="center" vertical="center" wrapText="1"/>
    </xf>
    <xf numFmtId="0" fontId="24" fillId="49" borderId="1" xfId="17" applyFont="1" applyFill="1" applyBorder="1" applyAlignment="1">
      <alignment horizontal="left" vertical="center"/>
    </xf>
    <xf numFmtId="0" fontId="22" fillId="49" borderId="1" xfId="17" applyFont="1" applyFill="1" applyBorder="1" applyAlignment="1">
      <alignment horizontal="left" vertical="center"/>
    </xf>
    <xf numFmtId="0" fontId="22" fillId="49" borderId="1" xfId="17" applyFont="1" applyFill="1" applyBorder="1" applyAlignment="1">
      <alignment horizontal="center" vertical="center"/>
    </xf>
    <xf numFmtId="0" fontId="2" fillId="0" borderId="0" xfId="17" applyFill="1"/>
    <xf numFmtId="0" fontId="14" fillId="0" borderId="18" xfId="0" applyFont="1" applyBorder="1" applyAlignment="1">
      <alignment horizontal="left" vertical="center"/>
    </xf>
    <xf numFmtId="0" fontId="14" fillId="0" borderId="1" xfId="0" applyFont="1" applyFill="1" applyBorder="1" applyAlignment="1">
      <alignment vertical="center"/>
    </xf>
    <xf numFmtId="0" fontId="22" fillId="9" borderId="3" xfId="0" applyFont="1" applyFill="1" applyBorder="1" applyAlignment="1">
      <alignment horizontal="left" vertical="center"/>
    </xf>
    <xf numFmtId="0" fontId="40" fillId="9" borderId="1" xfId="0" applyFont="1" applyFill="1" applyBorder="1" applyAlignment="1">
      <alignment horizontal="center" vertical="center"/>
    </xf>
    <xf numFmtId="0" fontId="14" fillId="31" borderId="1" xfId="0" applyFont="1" applyFill="1" applyBorder="1" applyAlignment="1">
      <alignment vertical="center"/>
    </xf>
    <xf numFmtId="0" fontId="2" fillId="0" borderId="0" xfId="17" applyAlignment="1">
      <alignment horizontal="left" vertical="center"/>
    </xf>
    <xf numFmtId="0" fontId="2" fillId="49" borderId="1" xfId="17" applyFill="1" applyBorder="1" applyAlignment="1">
      <alignment horizontal="left" vertical="center"/>
    </xf>
    <xf numFmtId="0" fontId="1" fillId="49" borderId="1" xfId="17" applyFont="1" applyFill="1" applyBorder="1" applyAlignment="1">
      <alignment horizontal="left" vertical="center"/>
    </xf>
    <xf numFmtId="0" fontId="1" fillId="11" borderId="1" xfId="17" applyFont="1" applyFill="1" applyBorder="1" applyAlignment="1">
      <alignment horizontal="left" vertical="center" wrapText="1"/>
    </xf>
    <xf numFmtId="0" fontId="2" fillId="11" borderId="1" xfId="17" applyFill="1" applyBorder="1" applyAlignment="1">
      <alignment horizontal="left" vertical="center"/>
    </xf>
    <xf numFmtId="0" fontId="2" fillId="44" borderId="1" xfId="17" applyFill="1" applyBorder="1" applyAlignment="1">
      <alignment horizontal="left" vertical="center"/>
    </xf>
    <xf numFmtId="0" fontId="1" fillId="44" borderId="1" xfId="17" applyFont="1" applyFill="1" applyBorder="1" applyAlignment="1">
      <alignment horizontal="left" vertical="center" wrapText="1"/>
    </xf>
    <xf numFmtId="0" fontId="63" fillId="31" borderId="1" xfId="17" applyFont="1" applyFill="1" applyBorder="1" applyAlignment="1">
      <alignment horizontal="left" vertical="center"/>
    </xf>
    <xf numFmtId="0" fontId="1" fillId="44" borderId="1" xfId="17" applyFont="1" applyFill="1" applyBorder="1" applyAlignment="1">
      <alignment horizontal="center" vertical="center"/>
    </xf>
    <xf numFmtId="0" fontId="2" fillId="11" borderId="1" xfId="17" applyFill="1" applyBorder="1" applyAlignment="1">
      <alignment horizontal="center" vertical="center"/>
    </xf>
    <xf numFmtId="0" fontId="2" fillId="49" borderId="1" xfId="17" applyFill="1" applyBorder="1" applyAlignment="1">
      <alignment horizontal="center" vertical="center"/>
    </xf>
    <xf numFmtId="0" fontId="2" fillId="44" borderId="1" xfId="17" applyFill="1" applyBorder="1" applyAlignment="1">
      <alignment horizontal="center" vertical="center"/>
    </xf>
    <xf numFmtId="0" fontId="2" fillId="31" borderId="1" xfId="17" applyFill="1" applyBorder="1" applyAlignment="1">
      <alignment horizontal="center" vertical="center"/>
    </xf>
    <xf numFmtId="0" fontId="1" fillId="31" borderId="1" xfId="17" applyFont="1" applyFill="1" applyBorder="1" applyAlignment="1">
      <alignment horizontal="center" vertical="center"/>
    </xf>
    <xf numFmtId="0" fontId="2" fillId="49" borderId="1" xfId="17" applyFill="1" applyBorder="1" applyAlignment="1">
      <alignment vertical="center"/>
    </xf>
    <xf numFmtId="0" fontId="1" fillId="49" borderId="1" xfId="17" applyFont="1" applyFill="1" applyBorder="1" applyAlignment="1">
      <alignment horizontal="center" vertical="center"/>
    </xf>
    <xf numFmtId="0" fontId="2" fillId="11" borderId="1" xfId="17" applyFill="1" applyBorder="1" applyAlignment="1">
      <alignment vertical="center"/>
    </xf>
    <xf numFmtId="0" fontId="1" fillId="11" borderId="1" xfId="17" applyFont="1" applyFill="1" applyBorder="1" applyAlignment="1">
      <alignment horizontal="center" vertical="center"/>
    </xf>
    <xf numFmtId="0" fontId="2" fillId="44" borderId="1" xfId="17" applyFill="1" applyBorder="1" applyAlignment="1">
      <alignment vertical="center"/>
    </xf>
    <xf numFmtId="0" fontId="2" fillId="31" borderId="1" xfId="17" applyFill="1" applyBorder="1" applyAlignment="1">
      <alignment vertical="center"/>
    </xf>
    <xf numFmtId="0" fontId="23" fillId="0" borderId="1" xfId="0" applyFont="1" applyFill="1" applyBorder="1" applyAlignment="1">
      <alignment horizontal="center" vertical="center"/>
    </xf>
    <xf numFmtId="0" fontId="17" fillId="0" borderId="1" xfId="1" applyFont="1" applyFill="1" applyBorder="1" applyAlignment="1">
      <alignment horizontal="center" vertical="center" wrapText="1"/>
    </xf>
    <xf numFmtId="0" fontId="13" fillId="0" borderId="1" xfId="1" applyFont="1" applyFill="1" applyBorder="1" applyAlignment="1">
      <alignment horizontal="left" vertical="center"/>
    </xf>
    <xf numFmtId="0" fontId="13" fillId="0" borderId="1" xfId="1" applyFont="1" applyFill="1" applyBorder="1" applyAlignment="1">
      <alignment horizontal="center" vertical="center"/>
    </xf>
    <xf numFmtId="0" fontId="13" fillId="0" borderId="1" xfId="1" applyFont="1" applyFill="1" applyBorder="1" applyAlignment="1">
      <alignment vertical="top" wrapText="1"/>
    </xf>
    <xf numFmtId="0" fontId="13" fillId="0" borderId="0" xfId="1" applyFont="1" applyFill="1" applyAlignment="1">
      <alignment horizontal="left" vertical="center"/>
    </xf>
    <xf numFmtId="0" fontId="13" fillId="0" borderId="0" xfId="1" applyFont="1" applyFill="1"/>
    <xf numFmtId="0" fontId="21" fillId="14" borderId="1" xfId="18" applyFont="1" applyFill="1" applyBorder="1" applyAlignment="1">
      <alignment horizontal="center" vertical="center" wrapText="1"/>
    </xf>
    <xf numFmtId="0" fontId="24" fillId="20" borderId="1" xfId="18" applyFont="1" applyFill="1" applyBorder="1" applyAlignment="1">
      <alignment horizontal="left" vertical="center"/>
    </xf>
    <xf numFmtId="0" fontId="22" fillId="0" borderId="1" xfId="18" applyFont="1" applyBorder="1" applyAlignment="1">
      <alignment horizontal="left" vertical="center"/>
    </xf>
    <xf numFmtId="0" fontId="13" fillId="3" borderId="1" xfId="18" applyFont="1" applyFill="1" applyBorder="1" applyAlignment="1">
      <alignment horizontal="center" vertical="center"/>
    </xf>
    <xf numFmtId="0" fontId="13" fillId="0" borderId="1" xfId="18" applyFont="1" applyBorder="1" applyAlignment="1">
      <alignment horizontal="left" vertical="center"/>
    </xf>
    <xf numFmtId="0" fontId="13" fillId="11" borderId="1" xfId="18" applyFont="1" applyFill="1" applyBorder="1" applyAlignment="1">
      <alignment horizontal="center" vertical="center"/>
    </xf>
    <xf numFmtId="0" fontId="22" fillId="20" borderId="1" xfId="18" applyFont="1" applyFill="1" applyBorder="1" applyAlignment="1">
      <alignment horizontal="left" vertical="center"/>
    </xf>
    <xf numFmtId="0" fontId="22" fillId="2" borderId="9" xfId="18" applyFont="1" applyFill="1" applyBorder="1" applyAlignment="1">
      <alignment horizontal="left" vertical="center"/>
    </xf>
    <xf numFmtId="0" fontId="22" fillId="0" borderId="9" xfId="18" applyFont="1" applyBorder="1" applyAlignment="1">
      <alignment horizontal="left" vertical="center"/>
    </xf>
    <xf numFmtId="0" fontId="24" fillId="0" borderId="9" xfId="18" applyFont="1" applyBorder="1" applyAlignment="1">
      <alignment horizontal="left" vertical="center"/>
    </xf>
    <xf numFmtId="0" fontId="24" fillId="0" borderId="10" xfId="18" applyFont="1" applyBorder="1" applyAlignment="1">
      <alignment horizontal="left" vertical="center"/>
    </xf>
    <xf numFmtId="0" fontId="22" fillId="0" borderId="10" xfId="18" applyFont="1" applyBorder="1" applyAlignment="1">
      <alignment horizontal="left" vertical="center"/>
    </xf>
    <xf numFmtId="0" fontId="23" fillId="0" borderId="1" xfId="18" applyFont="1" applyBorder="1" applyAlignment="1">
      <alignment horizontal="center" vertical="center"/>
    </xf>
    <xf numFmtId="0" fontId="16" fillId="0" borderId="9" xfId="18" applyFont="1" applyBorder="1" applyAlignment="1">
      <alignment horizontal="left" vertical="center"/>
    </xf>
    <xf numFmtId="0" fontId="13" fillId="0" borderId="9" xfId="18" applyFont="1" applyBorder="1" applyAlignment="1">
      <alignment horizontal="left" vertical="center"/>
    </xf>
    <xf numFmtId="0" fontId="16" fillId="0" borderId="1" xfId="18" applyFont="1" applyBorder="1" applyAlignment="1">
      <alignment horizontal="left" vertical="center"/>
    </xf>
    <xf numFmtId="0" fontId="16" fillId="8" borderId="1" xfId="18" applyFont="1" applyFill="1" applyBorder="1" applyAlignment="1">
      <alignment horizontal="left" vertical="center"/>
    </xf>
    <xf numFmtId="0" fontId="14" fillId="0" borderId="1" xfId="18" applyFont="1" applyBorder="1" applyAlignment="1">
      <alignment horizontal="left" vertical="center"/>
    </xf>
    <xf numFmtId="0" fontId="24" fillId="44" borderId="1" xfId="17" applyFont="1" applyFill="1" applyBorder="1" applyAlignment="1">
      <alignment horizontal="left" vertical="center"/>
    </xf>
    <xf numFmtId="0" fontId="19" fillId="21" borderId="9" xfId="1" applyFont="1" applyFill="1" applyBorder="1" applyAlignment="1">
      <alignment horizontal="left" vertical="center"/>
    </xf>
    <xf numFmtId="0" fontId="19" fillId="21" borderId="9" xfId="1" applyFont="1" applyFill="1" applyBorder="1" applyAlignment="1">
      <alignment vertical="center"/>
    </xf>
    <xf numFmtId="0" fontId="16" fillId="0" borderId="10" xfId="0" applyFont="1" applyFill="1" applyBorder="1" applyAlignment="1">
      <alignment horizontal="left" vertical="center"/>
    </xf>
  </cellXfs>
  <cellStyles count="19">
    <cellStyle name="Comma 2" xfId="2" xr:uid="{0D4BE73F-B684-4CD1-8578-5852FA2A8C53}"/>
    <cellStyle name="Comma 3" xfId="4" xr:uid="{057C5A1B-393F-4687-B54B-064A7C4C85FA}"/>
    <cellStyle name="Comma 4" xfId="9" xr:uid="{C3D95A16-F6B2-4275-A5CB-16A08081339B}"/>
    <cellStyle name="Comma 5" xfId="15" xr:uid="{D8D4251C-A158-4946-B394-A97DAD5802A9}"/>
    <cellStyle name="Normal" xfId="0" builtinId="0"/>
    <cellStyle name="Normal 10" xfId="17" xr:uid="{2EFC9CB7-674D-44E6-B58B-1F77C57B6924}"/>
    <cellStyle name="Normal 11" xfId="18" xr:uid="{8F5E559A-9104-40B1-BE36-E7AF79FA2CFE}"/>
    <cellStyle name="Normal 2" xfId="1" xr:uid="{364133B4-F4E8-4BA0-8C1E-35DA5E583666}"/>
    <cellStyle name="Normal 2 2" xfId="16" xr:uid="{514C9371-DB96-4A2F-8CC8-F2587F967CFB}"/>
    <cellStyle name="Normal 3" xfId="3" xr:uid="{5312EF39-E98E-430A-9990-0931B4F8E096}"/>
    <cellStyle name="Normal 3 2" xfId="6" xr:uid="{787DE542-2FD1-4B9A-A98D-6BA5E496BF0F}"/>
    <cellStyle name="Normal 3 2 2" xfId="11" xr:uid="{1C4555CC-A429-44E4-9CA9-B3EB6708A6C5}"/>
    <cellStyle name="Normal 4" xfId="5" xr:uid="{7CBCA7AC-B290-4C14-8F59-E1CCC0D8F5BE}"/>
    <cellStyle name="Normal 4 2" xfId="10" xr:uid="{7B5D9BB9-517D-4DDE-815C-DD964FDAB90F}"/>
    <cellStyle name="Normal 5" xfId="7" xr:uid="{CDA6466B-7F0F-434A-8ABE-C0182C400C9E}"/>
    <cellStyle name="Normal 6" xfId="8" xr:uid="{FA8DBD9A-52CF-4A6F-8F6A-023DF9F623B2}"/>
    <cellStyle name="Normal 7" xfId="12" xr:uid="{26836834-D15B-4162-ABFE-4DEEFA88BC48}"/>
    <cellStyle name="Normal 8" xfId="13" xr:uid="{FFD73068-2844-45A5-9D58-C253DD09DC99}"/>
    <cellStyle name="Normal 9" xfId="14" xr:uid="{934215EC-7AF7-4D41-825F-31956BEAD4FD}"/>
  </cellStyles>
  <dxfs count="26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808080"/>
      </font>
      <fill>
        <patternFill patternType="solid">
          <fgColor indexed="64"/>
          <bgColor rgb="FFD9D9D9"/>
        </patternFill>
      </fill>
    </dxf>
    <dxf>
      <font>
        <b val="0"/>
        <i val="0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color rgb="FF808080"/>
      </font>
      <fill>
        <patternFill patternType="solid">
          <fgColor indexed="64"/>
          <bgColor rgb="FFD9D9D9"/>
        </patternFill>
      </fill>
    </dxf>
    <dxf>
      <font>
        <b val="0"/>
        <i val="0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color rgb="FF808080"/>
      </font>
      <fill>
        <patternFill patternType="solid">
          <fgColor indexed="64"/>
          <bgColor rgb="FFD9D9D9"/>
        </patternFill>
      </fill>
    </dxf>
    <dxf>
      <font>
        <b val="0"/>
        <i val="0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color rgb="FF808080"/>
      </font>
      <fill>
        <patternFill patternType="solid">
          <fgColor indexed="64"/>
          <bgColor rgb="FFD9D9D9"/>
        </patternFill>
      </fill>
    </dxf>
    <dxf>
      <font>
        <b val="0"/>
        <i val="0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color rgb="FF808080"/>
      </font>
      <fill>
        <patternFill patternType="solid">
          <fgColor indexed="64"/>
          <bgColor rgb="FFD9D9D9"/>
        </patternFill>
      </fill>
    </dxf>
    <dxf>
      <font>
        <b val="0"/>
        <i val="0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color rgb="FF9C0006"/>
      </font>
      <fill>
        <patternFill patternType="solid">
          <fgColor indexed="64"/>
          <bgColor rgb="FFFFC7CE"/>
        </patternFill>
      </fill>
    </dxf>
    <dxf>
      <font>
        <b val="0"/>
        <i val="0"/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color rgb="FF9C6500"/>
      </font>
      <fill>
        <patternFill patternType="solid">
          <fgColor indexed="64"/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solid">
          <bgColor rgb="FF00465A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  <color theme="0"/>
      </font>
      <fill>
        <patternFill>
          <bgColor rgb="FF1E6B0A"/>
        </patternFill>
      </fill>
    </dxf>
    <dxf>
      <font>
        <b/>
        <i val="0"/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rgb="FFFFA602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solid">
          <bgColor rgb="FFFFC7C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solid"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 patternType="solid">
          <fgColor indexed="64"/>
          <bgColor rgb="FFBF8F00"/>
        </patternFill>
      </fill>
    </dxf>
    <dxf>
      <font>
        <color rgb="FFFFFFFF"/>
      </font>
      <fill>
        <patternFill patternType="solid">
          <fgColor indexed="64"/>
          <bgColor rgb="FFFF0066"/>
        </patternFill>
      </fill>
    </dxf>
    <dxf>
      <font>
        <color rgb="FFFFFFFF"/>
      </font>
      <fill>
        <patternFill patternType="solid">
          <fgColor indexed="64"/>
          <bgColor rgb="FF92D05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FFA602"/>
        </patternFill>
      </fill>
    </dxf>
    <dxf>
      <font>
        <color rgb="FFFFFFFF"/>
      </font>
      <fill>
        <patternFill patternType="solid">
          <fgColor indexed="64"/>
          <bgColor rgb="FF00465A"/>
        </patternFill>
      </fill>
    </dxf>
    <dxf>
      <font>
        <color rgb="FFFFFFFF"/>
      </font>
      <fill>
        <patternFill patternType="solid">
          <fgColor indexed="64"/>
          <bgColor rgb="FF70AD47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ont>
        <color rgb="FFFFFFFF"/>
      </font>
      <fill>
        <patternFill patternType="solid">
          <fgColor indexed="64"/>
          <bgColor rgb="FF92D050"/>
        </patternFill>
      </fill>
    </dxf>
    <dxf>
      <font>
        <color rgb="FFFFFFFF"/>
      </font>
      <fill>
        <patternFill patternType="solid">
          <fgColor indexed="64"/>
          <bgColor rgb="FF1E6B0A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40009"/>
      </font>
    </dxf>
    <dxf>
      <font>
        <b/>
        <i val="0"/>
        <color rgb="FF000000"/>
      </font>
      <fill>
        <patternFill patternType="solid">
          <fgColor indexed="64"/>
          <bgColor rgb="FFC8C8C8"/>
        </patternFill>
      </fill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FFFFFF"/>
      </font>
      <fill>
        <patternFill patternType="solid">
          <fgColor indexed="64"/>
          <bgColor rgb="FFFF9900"/>
        </patternFill>
      </fill>
    </dxf>
    <dxf>
      <font>
        <b/>
        <i val="0"/>
        <color rgb="FFFFFFFF"/>
      </font>
      <fill>
        <patternFill patternType="solid">
          <fgColor indexed="64"/>
          <bgColor rgb="FF70AD47"/>
        </patternFill>
      </fill>
    </dxf>
    <dxf>
      <font>
        <b/>
        <i val="0"/>
        <color rgb="FFFFFFFF"/>
      </font>
      <fill>
        <patternFill patternType="solid">
          <fgColor indexed="64"/>
          <bgColor rgb="FF008000"/>
        </patternFill>
      </fill>
    </dxf>
    <dxf>
      <fill>
        <patternFill patternType="solid">
          <fgColor rgb="FF00B050"/>
          <bgColor rgb="FF000000"/>
        </patternFill>
      </fill>
    </dxf>
  </dxfs>
  <tableStyles count="0" defaultTableStyle="TableStyleMedium2" defaultPivotStyle="PivotStyleLight16"/>
  <colors>
    <mruColors>
      <color rgb="FFFFC7CE"/>
      <color rgb="FFFF0066"/>
      <color rgb="FFFFC000"/>
      <color rgb="FFFFEB9C"/>
      <color rgb="FF9C6500"/>
      <color rgb="FFFFFFC0"/>
      <color rgb="FFC00000"/>
      <color rgb="FFBFBFBF"/>
      <color rgb="FFFFA602"/>
      <color rgb="FF1E6B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30</xdr:col>
          <xdr:colOff>708660</xdr:colOff>
          <xdr:row>0</xdr:row>
          <xdr:rowOff>579120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9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Click Here to Generate the Message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Tooway%20Engineers\Projects\Lamp%20Poles\LP%20MATERIALS.xlsx" TargetMode="External"/><Relationship Id="rId1" Type="http://schemas.openxmlformats.org/officeDocument/2006/relationships/externalLinkPath" Target="LP%20MATERIAL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elcome\Downloads\TX%20Design.xlsx" TargetMode="External"/><Relationship Id="rId1" Type="http://schemas.openxmlformats.org/officeDocument/2006/relationships/externalLinkPath" Target="file:///C:\Users\Welcome\Downloads\TX%20Desig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ummary"/>
      <sheetName val="Sheet3"/>
      <sheetName val="Sheet2"/>
    </sheetNames>
    <sheetDataSet>
      <sheetData sheetId="0">
        <row r="56">
          <cell r="F56">
            <v>1</v>
          </cell>
          <cell r="G56" t="str">
            <v>UPEU/UEIU/FAN only</v>
          </cell>
          <cell r="H56">
            <v>1</v>
          </cell>
          <cell r="I56">
            <v>1</v>
          </cell>
          <cell r="J56">
            <v>1</v>
          </cell>
          <cell r="K56">
            <v>1</v>
          </cell>
          <cell r="L56">
            <v>0</v>
          </cell>
          <cell r="M56">
            <v>1</v>
          </cell>
          <cell r="N56">
            <v>0</v>
          </cell>
          <cell r="O56">
            <v>1</v>
          </cell>
          <cell r="P56">
            <v>1</v>
          </cell>
          <cell r="Q56">
            <v>0</v>
          </cell>
          <cell r="R56">
            <v>0</v>
          </cell>
          <cell r="S56">
            <v>0</v>
          </cell>
          <cell r="U56">
            <v>0</v>
          </cell>
          <cell r="X56">
            <v>0</v>
          </cell>
          <cell r="AA56">
            <v>1</v>
          </cell>
          <cell r="AB56">
            <v>1</v>
          </cell>
          <cell r="AC56" t="str">
            <v>UPEU/UEIU/FAN only</v>
          </cell>
          <cell r="AD56">
            <v>1</v>
          </cell>
          <cell r="AE56">
            <v>1</v>
          </cell>
          <cell r="AG56">
            <v>1</v>
          </cell>
          <cell r="AK56" t="str">
            <v>UPEU/UEIU/FAN only</v>
          </cell>
        </row>
        <row r="57">
          <cell r="F57">
            <v>0</v>
          </cell>
        </row>
        <row r="58">
          <cell r="F58">
            <v>1</v>
          </cell>
          <cell r="G58">
            <v>1</v>
          </cell>
          <cell r="H58">
            <v>1</v>
          </cell>
          <cell r="I58">
            <v>1</v>
          </cell>
          <cell r="J58">
            <v>1</v>
          </cell>
          <cell r="K58">
            <v>1</v>
          </cell>
          <cell r="L58">
            <v>1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1</v>
          </cell>
          <cell r="S58">
            <v>1</v>
          </cell>
          <cell r="U58">
            <v>1</v>
          </cell>
          <cell r="X58">
            <v>1</v>
          </cell>
          <cell r="AA58">
            <v>1</v>
          </cell>
          <cell r="AB58">
            <v>1</v>
          </cell>
          <cell r="AC58">
            <v>1</v>
          </cell>
          <cell r="AD58">
            <v>1</v>
          </cell>
          <cell r="AE58">
            <v>1</v>
          </cell>
          <cell r="AG58">
            <v>1</v>
          </cell>
          <cell r="AK58">
            <v>1</v>
          </cell>
        </row>
        <row r="59">
          <cell r="F59">
            <v>1</v>
          </cell>
          <cell r="G59">
            <v>1</v>
          </cell>
          <cell r="H59">
            <v>1</v>
          </cell>
          <cell r="I59">
            <v>1</v>
          </cell>
          <cell r="J59">
            <v>1</v>
          </cell>
          <cell r="K59">
            <v>1</v>
          </cell>
          <cell r="L59">
            <v>1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1</v>
          </cell>
          <cell r="S59">
            <v>1</v>
          </cell>
          <cell r="U59">
            <v>1</v>
          </cell>
          <cell r="X59">
            <v>1</v>
          </cell>
          <cell r="AA59">
            <v>1</v>
          </cell>
          <cell r="AB59">
            <v>1</v>
          </cell>
          <cell r="AC59">
            <v>1</v>
          </cell>
          <cell r="AD59">
            <v>1</v>
          </cell>
          <cell r="AE59">
            <v>1</v>
          </cell>
          <cell r="AG59">
            <v>1</v>
          </cell>
          <cell r="AK59">
            <v>1</v>
          </cell>
        </row>
      </sheetData>
      <sheetData sheetId="1"/>
      <sheetData sheetId="2">
        <row r="5">
          <cell r="E5">
            <v>1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  <cell r="AI5" t="str">
            <v/>
          </cell>
          <cell r="AJ5" t="str">
            <v/>
          </cell>
        </row>
        <row r="6">
          <cell r="E6">
            <v>1</v>
          </cell>
          <cell r="F6" t="str">
            <v/>
          </cell>
          <cell r="G6">
            <v>1</v>
          </cell>
          <cell r="H6">
            <v>1</v>
          </cell>
          <cell r="I6">
            <v>1</v>
          </cell>
          <cell r="J6">
            <v>1</v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>
            <v>1</v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>
            <v>1</v>
          </cell>
          <cell r="AG6" t="str">
            <v/>
          </cell>
          <cell r="AH6" t="str">
            <v/>
          </cell>
          <cell r="AI6">
            <v>1</v>
          </cell>
          <cell r="AJ6" t="str">
            <v/>
          </cell>
        </row>
        <row r="7"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  <cell r="AI7" t="str">
            <v/>
          </cell>
          <cell r="AJ7" t="str">
            <v/>
          </cell>
        </row>
        <row r="8">
          <cell r="E8">
            <v>2</v>
          </cell>
          <cell r="F8" t="str">
            <v/>
          </cell>
          <cell r="G8">
            <v>2</v>
          </cell>
          <cell r="H8">
            <v>2</v>
          </cell>
          <cell r="I8">
            <v>2</v>
          </cell>
          <cell r="J8">
            <v>2</v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>
            <v>2</v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>
            <v>2</v>
          </cell>
          <cell r="AG8" t="str">
            <v/>
          </cell>
          <cell r="AH8">
            <v>1</v>
          </cell>
          <cell r="AI8">
            <v>2</v>
          </cell>
          <cell r="AJ8" t="str">
            <v/>
          </cell>
        </row>
        <row r="9"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  <cell r="AI9" t="str">
            <v/>
          </cell>
          <cell r="AJ9" t="str">
            <v/>
          </cell>
        </row>
        <row r="10">
          <cell r="E10">
            <v>1</v>
          </cell>
          <cell r="F10" t="str">
            <v/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>
            <v>1</v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  <cell r="AI10" t="str">
            <v/>
          </cell>
          <cell r="AJ10" t="str">
            <v/>
          </cell>
        </row>
        <row r="11"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  <cell r="AF11">
            <v>1</v>
          </cell>
          <cell r="AG11" t="str">
            <v/>
          </cell>
          <cell r="AH11" t="str">
            <v/>
          </cell>
          <cell r="AI11" t="str">
            <v/>
          </cell>
          <cell r="AJ11" t="str">
            <v/>
          </cell>
        </row>
        <row r="12">
          <cell r="E12">
            <v>3</v>
          </cell>
          <cell r="F12">
            <v>3</v>
          </cell>
          <cell r="G12">
            <v>3</v>
          </cell>
          <cell r="H12">
            <v>3</v>
          </cell>
          <cell r="I12">
            <v>5</v>
          </cell>
          <cell r="J12">
            <v>4</v>
          </cell>
          <cell r="K12">
            <v>3</v>
          </cell>
          <cell r="L12">
            <v>3</v>
          </cell>
          <cell r="M12">
            <v>3</v>
          </cell>
          <cell r="N12">
            <v>3</v>
          </cell>
          <cell r="O12">
            <v>4</v>
          </cell>
          <cell r="P12">
            <v>3</v>
          </cell>
          <cell r="Q12">
            <v>3</v>
          </cell>
          <cell r="R12">
            <v>3</v>
          </cell>
          <cell r="S12" t="str">
            <v/>
          </cell>
          <cell r="T12">
            <v>3</v>
          </cell>
          <cell r="U12" t="str">
            <v/>
          </cell>
          <cell r="V12" t="str">
            <v/>
          </cell>
          <cell r="W12">
            <v>3</v>
          </cell>
          <cell r="X12" t="str">
            <v/>
          </cell>
          <cell r="Y12" t="str">
            <v/>
          </cell>
          <cell r="Z12">
            <v>3</v>
          </cell>
          <cell r="AA12">
            <v>4</v>
          </cell>
          <cell r="AB12">
            <v>2</v>
          </cell>
          <cell r="AC12">
            <v>1</v>
          </cell>
          <cell r="AD12">
            <v>3</v>
          </cell>
          <cell r="AE12">
            <v>3</v>
          </cell>
          <cell r="AF12">
            <v>4</v>
          </cell>
          <cell r="AG12">
            <v>3</v>
          </cell>
          <cell r="AH12">
            <v>3</v>
          </cell>
          <cell r="AI12">
            <v>3</v>
          </cell>
          <cell r="AJ12">
            <v>3</v>
          </cell>
        </row>
        <row r="13">
          <cell r="E13">
            <v>2</v>
          </cell>
          <cell r="F13">
            <v>2</v>
          </cell>
          <cell r="G13">
            <v>2</v>
          </cell>
          <cell r="H13">
            <v>2</v>
          </cell>
          <cell r="I13">
            <v>2</v>
          </cell>
          <cell r="J13">
            <v>2</v>
          </cell>
          <cell r="K13">
            <v>2</v>
          </cell>
          <cell r="L13">
            <v>2</v>
          </cell>
          <cell r="M13">
            <v>2</v>
          </cell>
          <cell r="N13">
            <v>2</v>
          </cell>
          <cell r="O13">
            <v>2</v>
          </cell>
          <cell r="P13">
            <v>2</v>
          </cell>
          <cell r="Q13">
            <v>2</v>
          </cell>
          <cell r="R13">
            <v>2</v>
          </cell>
          <cell r="S13" t="str">
            <v/>
          </cell>
          <cell r="T13">
            <v>2</v>
          </cell>
          <cell r="U13" t="str">
            <v/>
          </cell>
          <cell r="V13" t="str">
            <v/>
          </cell>
          <cell r="W13">
            <v>2</v>
          </cell>
          <cell r="X13" t="str">
            <v/>
          </cell>
          <cell r="Y13" t="str">
            <v/>
          </cell>
          <cell r="Z13">
            <v>2</v>
          </cell>
          <cell r="AA13">
            <v>2</v>
          </cell>
          <cell r="AB13">
            <v>1</v>
          </cell>
          <cell r="AC13">
            <v>2</v>
          </cell>
          <cell r="AD13">
            <v>2</v>
          </cell>
          <cell r="AE13" t="str">
            <v/>
          </cell>
          <cell r="AF13">
            <v>2</v>
          </cell>
          <cell r="AG13" t="str">
            <v/>
          </cell>
          <cell r="AH13" t="str">
            <v/>
          </cell>
          <cell r="AI13" t="str">
            <v/>
          </cell>
          <cell r="AJ13">
            <v>2</v>
          </cell>
        </row>
        <row r="14"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 t="str">
            <v/>
          </cell>
          <cell r="AE14" t="str">
            <v/>
          </cell>
          <cell r="AF14" t="str">
            <v/>
          </cell>
          <cell r="AG14" t="str">
            <v/>
          </cell>
          <cell r="AH14" t="str">
            <v/>
          </cell>
          <cell r="AI14" t="str">
            <v/>
          </cell>
          <cell r="AJ14" t="str">
            <v/>
          </cell>
        </row>
        <row r="15"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 t="str">
            <v/>
          </cell>
          <cell r="AE15" t="str">
            <v/>
          </cell>
          <cell r="AF15" t="str">
            <v/>
          </cell>
          <cell r="AG15" t="str">
            <v/>
          </cell>
          <cell r="AH15" t="str">
            <v/>
          </cell>
          <cell r="AI15" t="str">
            <v/>
          </cell>
          <cell r="AJ15" t="str">
            <v/>
          </cell>
        </row>
        <row r="16">
          <cell r="E16">
            <v>3</v>
          </cell>
          <cell r="F16">
            <v>3</v>
          </cell>
          <cell r="G16">
            <v>3</v>
          </cell>
          <cell r="H16">
            <v>3</v>
          </cell>
          <cell r="I16">
            <v>4</v>
          </cell>
          <cell r="J16">
            <v>3</v>
          </cell>
          <cell r="K16">
            <v>3</v>
          </cell>
          <cell r="L16">
            <v>3</v>
          </cell>
          <cell r="M16">
            <v>3</v>
          </cell>
          <cell r="N16">
            <v>3</v>
          </cell>
          <cell r="O16">
            <v>3</v>
          </cell>
          <cell r="P16">
            <v>3</v>
          </cell>
          <cell r="Q16">
            <v>3</v>
          </cell>
          <cell r="R16">
            <v>3</v>
          </cell>
          <cell r="S16" t="str">
            <v/>
          </cell>
          <cell r="T16">
            <v>3</v>
          </cell>
          <cell r="U16" t="str">
            <v/>
          </cell>
          <cell r="V16" t="str">
            <v/>
          </cell>
          <cell r="W16">
            <v>3</v>
          </cell>
          <cell r="X16" t="str">
            <v/>
          </cell>
          <cell r="Y16" t="str">
            <v/>
          </cell>
          <cell r="Z16">
            <v>3</v>
          </cell>
          <cell r="AA16">
            <v>3</v>
          </cell>
          <cell r="AB16">
            <v>2</v>
          </cell>
          <cell r="AC16">
            <v>3</v>
          </cell>
          <cell r="AD16">
            <v>3</v>
          </cell>
          <cell r="AE16" t="str">
            <v/>
          </cell>
          <cell r="AF16">
            <v>3</v>
          </cell>
          <cell r="AG16" t="str">
            <v/>
          </cell>
          <cell r="AH16" t="str">
            <v/>
          </cell>
          <cell r="AI16" t="str">
            <v/>
          </cell>
          <cell r="AJ16">
            <v>3</v>
          </cell>
        </row>
        <row r="17">
          <cell r="E17">
            <v>10</v>
          </cell>
          <cell r="F17">
            <v>10</v>
          </cell>
          <cell r="G17">
            <v>10</v>
          </cell>
          <cell r="H17">
            <v>10</v>
          </cell>
          <cell r="I17">
            <v>12</v>
          </cell>
          <cell r="J17">
            <v>10</v>
          </cell>
          <cell r="K17">
            <v>10</v>
          </cell>
          <cell r="L17">
            <v>10</v>
          </cell>
          <cell r="M17">
            <v>10</v>
          </cell>
          <cell r="N17">
            <v>2</v>
          </cell>
          <cell r="O17">
            <v>10</v>
          </cell>
          <cell r="P17">
            <v>12</v>
          </cell>
          <cell r="Q17">
            <v>10</v>
          </cell>
          <cell r="R17">
            <v>10</v>
          </cell>
          <cell r="S17" t="str">
            <v/>
          </cell>
          <cell r="T17">
            <v>10</v>
          </cell>
          <cell r="U17" t="str">
            <v/>
          </cell>
          <cell r="V17" t="str">
            <v/>
          </cell>
          <cell r="W17">
            <v>10</v>
          </cell>
          <cell r="X17" t="str">
            <v/>
          </cell>
          <cell r="Y17" t="str">
            <v/>
          </cell>
          <cell r="Z17">
            <v>10</v>
          </cell>
          <cell r="AA17">
            <v>10</v>
          </cell>
          <cell r="AB17">
            <v>6</v>
          </cell>
          <cell r="AC17">
            <v>10</v>
          </cell>
          <cell r="AD17">
            <v>10</v>
          </cell>
          <cell r="AE17" t="str">
            <v/>
          </cell>
          <cell r="AF17">
            <v>10</v>
          </cell>
          <cell r="AG17" t="str">
            <v/>
          </cell>
          <cell r="AH17" t="str">
            <v/>
          </cell>
          <cell r="AI17" t="str">
            <v/>
          </cell>
          <cell r="AJ17">
            <v>10</v>
          </cell>
        </row>
        <row r="18">
          <cell r="E18">
            <v>2</v>
          </cell>
          <cell r="F18">
            <v>1</v>
          </cell>
          <cell r="G18">
            <v>2</v>
          </cell>
          <cell r="H18">
            <v>8</v>
          </cell>
          <cell r="I18">
            <v>2</v>
          </cell>
          <cell r="J18">
            <v>2</v>
          </cell>
          <cell r="K18">
            <v>1</v>
          </cell>
          <cell r="L18">
            <v>6</v>
          </cell>
          <cell r="M18">
            <v>1</v>
          </cell>
          <cell r="N18">
            <v>2</v>
          </cell>
          <cell r="O18">
            <v>2</v>
          </cell>
          <cell r="P18">
            <v>1</v>
          </cell>
          <cell r="Q18">
            <v>1</v>
          </cell>
          <cell r="R18">
            <v>1</v>
          </cell>
          <cell r="S18" t="str">
            <v/>
          </cell>
          <cell r="T18">
            <v>1</v>
          </cell>
          <cell r="U18" t="str">
            <v/>
          </cell>
          <cell r="V18" t="str">
            <v/>
          </cell>
          <cell r="W18">
            <v>1</v>
          </cell>
          <cell r="X18" t="str">
            <v/>
          </cell>
          <cell r="Y18" t="str">
            <v/>
          </cell>
          <cell r="Z18">
            <v>2</v>
          </cell>
          <cell r="AA18">
            <v>2</v>
          </cell>
          <cell r="AB18">
            <v>2</v>
          </cell>
          <cell r="AC18">
            <v>2</v>
          </cell>
          <cell r="AD18">
            <v>2</v>
          </cell>
          <cell r="AE18" t="str">
            <v/>
          </cell>
          <cell r="AF18">
            <v>2</v>
          </cell>
          <cell r="AG18" t="str">
            <v/>
          </cell>
          <cell r="AH18" t="str">
            <v/>
          </cell>
          <cell r="AI18" t="str">
            <v/>
          </cell>
          <cell r="AJ18">
            <v>2</v>
          </cell>
        </row>
        <row r="19">
          <cell r="E19">
            <v>200</v>
          </cell>
          <cell r="F19">
            <v>200</v>
          </cell>
          <cell r="G19">
            <v>225</v>
          </cell>
          <cell r="H19">
            <v>250</v>
          </cell>
          <cell r="I19">
            <v>300</v>
          </cell>
          <cell r="J19">
            <v>250</v>
          </cell>
          <cell r="K19">
            <v>250</v>
          </cell>
          <cell r="L19">
            <v>250</v>
          </cell>
          <cell r="M19">
            <v>250</v>
          </cell>
          <cell r="N19">
            <v>250</v>
          </cell>
          <cell r="O19">
            <v>225</v>
          </cell>
          <cell r="P19">
            <v>270</v>
          </cell>
          <cell r="Q19">
            <v>225</v>
          </cell>
          <cell r="R19">
            <v>250</v>
          </cell>
          <cell r="S19" t="str">
            <v/>
          </cell>
          <cell r="T19">
            <v>200</v>
          </cell>
          <cell r="U19" t="str">
            <v/>
          </cell>
          <cell r="V19" t="str">
            <v/>
          </cell>
          <cell r="W19">
            <v>200</v>
          </cell>
          <cell r="X19" t="str">
            <v/>
          </cell>
          <cell r="Y19" t="str">
            <v/>
          </cell>
          <cell r="Z19">
            <v>250</v>
          </cell>
          <cell r="AA19">
            <v>250</v>
          </cell>
          <cell r="AB19">
            <v>120</v>
          </cell>
          <cell r="AC19">
            <v>250</v>
          </cell>
          <cell r="AD19">
            <v>250</v>
          </cell>
          <cell r="AE19" t="str">
            <v/>
          </cell>
          <cell r="AF19">
            <v>250</v>
          </cell>
          <cell r="AG19" t="str">
            <v/>
          </cell>
          <cell r="AH19" t="str">
            <v/>
          </cell>
          <cell r="AI19" t="str">
            <v/>
          </cell>
          <cell r="AJ19">
            <v>200</v>
          </cell>
        </row>
        <row r="20"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  <cell r="AF20" t="str">
            <v/>
          </cell>
          <cell r="AG20" t="str">
            <v/>
          </cell>
          <cell r="AH20" t="str">
            <v/>
          </cell>
          <cell r="AI20" t="str">
            <v/>
          </cell>
          <cell r="AJ20" t="str">
            <v/>
          </cell>
        </row>
        <row r="21">
          <cell r="E21">
            <v>5</v>
          </cell>
          <cell r="F21">
            <v>5</v>
          </cell>
          <cell r="G21">
            <v>5</v>
          </cell>
          <cell r="H21">
            <v>5</v>
          </cell>
          <cell r="I21">
            <v>6</v>
          </cell>
          <cell r="J21">
            <v>5</v>
          </cell>
          <cell r="K21">
            <v>5</v>
          </cell>
          <cell r="L21">
            <v>5</v>
          </cell>
          <cell r="M21">
            <v>5</v>
          </cell>
          <cell r="N21">
            <v>5</v>
          </cell>
          <cell r="O21">
            <v>5</v>
          </cell>
          <cell r="P21">
            <v>6</v>
          </cell>
          <cell r="Q21">
            <v>5</v>
          </cell>
          <cell r="R21">
            <v>5</v>
          </cell>
          <cell r="S21" t="str">
            <v/>
          </cell>
          <cell r="T21">
            <v>5</v>
          </cell>
          <cell r="U21" t="str">
            <v/>
          </cell>
          <cell r="V21" t="str">
            <v/>
          </cell>
          <cell r="W21">
            <v>5</v>
          </cell>
          <cell r="X21" t="str">
            <v/>
          </cell>
          <cell r="Y21" t="str">
            <v/>
          </cell>
          <cell r="Z21">
            <v>5</v>
          </cell>
          <cell r="AA21">
            <v>5</v>
          </cell>
          <cell r="AB21">
            <v>3</v>
          </cell>
          <cell r="AC21">
            <v>5</v>
          </cell>
          <cell r="AD21">
            <v>5</v>
          </cell>
          <cell r="AE21" t="str">
            <v/>
          </cell>
          <cell r="AF21">
            <v>5</v>
          </cell>
          <cell r="AG21" t="str">
            <v/>
          </cell>
          <cell r="AH21" t="str">
            <v/>
          </cell>
          <cell r="AI21" t="str">
            <v/>
          </cell>
          <cell r="AJ21">
            <v>5</v>
          </cell>
        </row>
        <row r="22"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 t="str">
            <v/>
          </cell>
          <cell r="AE22" t="str">
            <v/>
          </cell>
          <cell r="AF22" t="str">
            <v/>
          </cell>
          <cell r="AG22" t="str">
            <v/>
          </cell>
          <cell r="AH22" t="str">
            <v/>
          </cell>
          <cell r="AI22" t="str">
            <v/>
          </cell>
          <cell r="AJ22" t="str">
            <v/>
          </cell>
        </row>
        <row r="24">
          <cell r="E24">
            <v>6</v>
          </cell>
          <cell r="F24">
            <v>6</v>
          </cell>
          <cell r="G24">
            <v>6</v>
          </cell>
          <cell r="H24">
            <v>6</v>
          </cell>
          <cell r="I24">
            <v>8</v>
          </cell>
          <cell r="J24">
            <v>6</v>
          </cell>
          <cell r="K24">
            <v>6</v>
          </cell>
          <cell r="L24">
            <v>6</v>
          </cell>
          <cell r="M24">
            <v>6</v>
          </cell>
          <cell r="N24">
            <v>6</v>
          </cell>
          <cell r="O24">
            <v>6</v>
          </cell>
          <cell r="P24">
            <v>6</v>
          </cell>
          <cell r="Q24">
            <v>6</v>
          </cell>
          <cell r="R24">
            <v>6</v>
          </cell>
          <cell r="S24" t="str">
            <v/>
          </cell>
          <cell r="T24">
            <v>6</v>
          </cell>
          <cell r="U24" t="str">
            <v/>
          </cell>
          <cell r="V24" t="str">
            <v/>
          </cell>
          <cell r="W24">
            <v>6</v>
          </cell>
          <cell r="X24" t="str">
            <v/>
          </cell>
          <cell r="Y24" t="str">
            <v/>
          </cell>
          <cell r="Z24">
            <v>6</v>
          </cell>
          <cell r="AA24">
            <v>6</v>
          </cell>
          <cell r="AB24">
            <v>4</v>
          </cell>
          <cell r="AC24">
            <v>6</v>
          </cell>
          <cell r="AD24">
            <v>6</v>
          </cell>
          <cell r="AE24" t="str">
            <v/>
          </cell>
          <cell r="AF24">
            <v>6</v>
          </cell>
          <cell r="AG24" t="str">
            <v/>
          </cell>
          <cell r="AH24" t="str">
            <v/>
          </cell>
          <cell r="AI24" t="str">
            <v/>
          </cell>
          <cell r="AJ24">
            <v>6</v>
          </cell>
        </row>
        <row r="25"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>
            <v>8</v>
          </cell>
          <cell r="AC25" t="str">
            <v/>
          </cell>
          <cell r="AD25" t="str">
            <v/>
          </cell>
          <cell r="AE25" t="str">
            <v/>
          </cell>
          <cell r="AF25" t="str">
            <v/>
          </cell>
          <cell r="AG25" t="str">
            <v/>
          </cell>
          <cell r="AH25" t="str">
            <v/>
          </cell>
          <cell r="AI25" t="str">
            <v/>
          </cell>
          <cell r="AJ25" t="str">
            <v/>
          </cell>
        </row>
        <row r="26">
          <cell r="E26">
            <v>12</v>
          </cell>
          <cell r="F26">
            <v>12</v>
          </cell>
          <cell r="G26">
            <v>12</v>
          </cell>
          <cell r="H26">
            <v>12</v>
          </cell>
          <cell r="I26">
            <v>16</v>
          </cell>
          <cell r="J26">
            <v>12</v>
          </cell>
          <cell r="K26">
            <v>12</v>
          </cell>
          <cell r="L26">
            <v>12</v>
          </cell>
          <cell r="M26">
            <v>12</v>
          </cell>
          <cell r="N26">
            <v>12</v>
          </cell>
          <cell r="O26">
            <v>12</v>
          </cell>
          <cell r="P26">
            <v>14</v>
          </cell>
          <cell r="Q26">
            <v>12</v>
          </cell>
          <cell r="R26">
            <v>12</v>
          </cell>
          <cell r="S26" t="str">
            <v/>
          </cell>
          <cell r="T26">
            <v>8</v>
          </cell>
          <cell r="U26" t="str">
            <v/>
          </cell>
          <cell r="V26" t="str">
            <v/>
          </cell>
          <cell r="W26">
            <v>12</v>
          </cell>
          <cell r="X26" t="str">
            <v/>
          </cell>
          <cell r="Y26" t="str">
            <v/>
          </cell>
          <cell r="Z26">
            <v>12</v>
          </cell>
          <cell r="AA26">
            <v>12</v>
          </cell>
          <cell r="AB26">
            <v>8</v>
          </cell>
          <cell r="AC26">
            <v>12</v>
          </cell>
          <cell r="AD26">
            <v>12</v>
          </cell>
          <cell r="AE26" t="str">
            <v/>
          </cell>
          <cell r="AF26">
            <v>12</v>
          </cell>
          <cell r="AG26" t="str">
            <v/>
          </cell>
          <cell r="AH26" t="str">
            <v/>
          </cell>
          <cell r="AI26" t="str">
            <v/>
          </cell>
          <cell r="AJ26">
            <v>12</v>
          </cell>
        </row>
        <row r="27">
          <cell r="E27">
            <v>1</v>
          </cell>
          <cell r="F27" t="str">
            <v>UPEU/UEIU/FAN only</v>
          </cell>
          <cell r="G27">
            <v>1</v>
          </cell>
          <cell r="H27">
            <v>1</v>
          </cell>
          <cell r="I27">
            <v>1</v>
          </cell>
          <cell r="J27">
            <v>1</v>
          </cell>
          <cell r="K27" t="str">
            <v/>
          </cell>
          <cell r="L27">
            <v>1</v>
          </cell>
          <cell r="M27" t="str">
            <v/>
          </cell>
          <cell r="N27">
            <v>1</v>
          </cell>
          <cell r="O27">
            <v>1</v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>
            <v>1</v>
          </cell>
          <cell r="AA27">
            <v>1</v>
          </cell>
          <cell r="AB27" t="str">
            <v>UPEU/UEIU/FAN only</v>
          </cell>
          <cell r="AC27">
            <v>1</v>
          </cell>
          <cell r="AD27">
            <v>1</v>
          </cell>
          <cell r="AE27" t="str">
            <v/>
          </cell>
          <cell r="AF27">
            <v>1</v>
          </cell>
          <cell r="AG27" t="str">
            <v/>
          </cell>
          <cell r="AH27" t="str">
            <v/>
          </cell>
          <cell r="AI27" t="str">
            <v/>
          </cell>
          <cell r="AJ27" t="str">
            <v>UPEU/UEIU/FAN only</v>
          </cell>
        </row>
        <row r="28"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 t="str">
            <v/>
          </cell>
          <cell r="AE28" t="str">
            <v/>
          </cell>
          <cell r="AF28" t="str">
            <v/>
          </cell>
          <cell r="AG28" t="str">
            <v/>
          </cell>
          <cell r="AH28" t="str">
            <v/>
          </cell>
          <cell r="AI28" t="str">
            <v/>
          </cell>
          <cell r="AJ28" t="str">
            <v/>
          </cell>
        </row>
        <row r="29"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J29">
            <v>1</v>
          </cell>
          <cell r="K29">
            <v>1</v>
          </cell>
          <cell r="L29">
            <v>1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1</v>
          </cell>
          <cell r="S29" t="str">
            <v/>
          </cell>
          <cell r="T29">
            <v>1</v>
          </cell>
          <cell r="U29" t="str">
            <v/>
          </cell>
          <cell r="V29" t="str">
            <v/>
          </cell>
          <cell r="W29">
            <v>1</v>
          </cell>
          <cell r="X29" t="str">
            <v/>
          </cell>
          <cell r="Y29" t="str">
            <v/>
          </cell>
          <cell r="Z29">
            <v>1</v>
          </cell>
          <cell r="AA29">
            <v>1</v>
          </cell>
          <cell r="AB29">
            <v>1</v>
          </cell>
          <cell r="AC29">
            <v>1</v>
          </cell>
          <cell r="AD29">
            <v>1</v>
          </cell>
          <cell r="AE29" t="str">
            <v/>
          </cell>
          <cell r="AF29">
            <v>1</v>
          </cell>
          <cell r="AG29" t="str">
            <v/>
          </cell>
          <cell r="AH29" t="str">
            <v/>
          </cell>
          <cell r="AI29" t="str">
            <v/>
          </cell>
          <cell r="AJ29">
            <v>1</v>
          </cell>
        </row>
        <row r="30"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  <cell r="J30">
            <v>1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1</v>
          </cell>
          <cell r="S30" t="str">
            <v/>
          </cell>
          <cell r="T30">
            <v>1</v>
          </cell>
          <cell r="U30" t="str">
            <v/>
          </cell>
          <cell r="V30" t="str">
            <v/>
          </cell>
          <cell r="W30">
            <v>1</v>
          </cell>
          <cell r="X30" t="str">
            <v/>
          </cell>
          <cell r="Y30" t="str">
            <v/>
          </cell>
          <cell r="Z30">
            <v>1</v>
          </cell>
          <cell r="AA30">
            <v>1</v>
          </cell>
          <cell r="AB30">
            <v>1</v>
          </cell>
          <cell r="AC30">
            <v>1</v>
          </cell>
          <cell r="AD30">
            <v>1</v>
          </cell>
          <cell r="AE30" t="str">
            <v/>
          </cell>
          <cell r="AF30">
            <v>1</v>
          </cell>
          <cell r="AG30" t="str">
            <v/>
          </cell>
          <cell r="AH30" t="str">
            <v/>
          </cell>
          <cell r="AI30" t="str">
            <v/>
          </cell>
          <cell r="AJ30">
            <v>1</v>
          </cell>
        </row>
        <row r="31">
          <cell r="E31">
            <v>1</v>
          </cell>
          <cell r="F31" t="str">
            <v/>
          </cell>
          <cell r="G31">
            <v>1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 t="str">
            <v/>
          </cell>
          <cell r="AE31" t="str">
            <v/>
          </cell>
          <cell r="AF31" t="str">
            <v/>
          </cell>
          <cell r="AG31" t="str">
            <v/>
          </cell>
          <cell r="AH31" t="str">
            <v/>
          </cell>
          <cell r="AI31" t="str">
            <v/>
          </cell>
          <cell r="AJ31" t="str">
            <v/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x Design"/>
    </sheetNames>
    <sheetDataSet>
      <sheetData sheetId="0">
        <row r="1">
          <cell r="A1" t="str">
            <v>Site  ID</v>
          </cell>
          <cell r="B1" t="str">
            <v>Site  Name</v>
          </cell>
          <cell r="C1" t="str">
            <v>Batch</v>
          </cell>
          <cell r="D1" t="str">
            <v>Technology</v>
          </cell>
          <cell r="E1" t="str">
            <v>WO ID</v>
          </cell>
        </row>
        <row r="2">
          <cell r="A2">
            <v>2</v>
          </cell>
          <cell r="B2">
            <v>2</v>
          </cell>
          <cell r="C2">
            <v>2</v>
          </cell>
          <cell r="D2">
            <v>2</v>
          </cell>
          <cell r="E2">
            <v>2</v>
          </cell>
        </row>
        <row r="3">
          <cell r="A3" t="str">
            <v>KI5029</v>
          </cell>
          <cell r="B3" t="str">
            <v>Pallikuda_Lamp</v>
          </cell>
          <cell r="C3" t="str">
            <v>2026_MBB_New Sites_Design_Batch_12</v>
          </cell>
          <cell r="D3" t="str">
            <v>MW-HYB</v>
          </cell>
          <cell r="E3" t="str">
            <v>MW_2026_1995</v>
          </cell>
        </row>
        <row r="4">
          <cell r="A4" t="str">
            <v>KI5032</v>
          </cell>
          <cell r="B4" t="str">
            <v>Pallikuda_North_Lamp</v>
          </cell>
          <cell r="C4" t="str">
            <v>2026_MBB_New Sites_Design_Batch_12</v>
          </cell>
          <cell r="D4" t="str">
            <v>MW-HYB</v>
          </cell>
          <cell r="E4" t="str">
            <v>MW_2026_1994</v>
          </cell>
        </row>
        <row r="5">
          <cell r="A5" t="str">
            <v>MA5036</v>
          </cell>
          <cell r="B5" t="str">
            <v>Madukkarai_Lamp</v>
          </cell>
          <cell r="C5" t="str">
            <v>2026_MBB_New Sites_Design_Batch_12</v>
          </cell>
          <cell r="D5" t="str">
            <v>MW-HYB</v>
          </cell>
          <cell r="E5" t="str">
            <v>MW_2026_1966</v>
          </cell>
        </row>
        <row r="6">
          <cell r="A6" t="str">
            <v>MU5054</v>
          </cell>
          <cell r="B6" t="str">
            <v>Muththuaiyankaddu_Lamp</v>
          </cell>
          <cell r="C6" t="str">
            <v>2026_MBB_New Sites_Design_Batch_13</v>
          </cell>
          <cell r="D6" t="str">
            <v>MW-HYB</v>
          </cell>
          <cell r="E6" t="str">
            <v>MW_2026_1992</v>
          </cell>
        </row>
        <row r="7">
          <cell r="A7" t="str">
            <v>KI5034</v>
          </cell>
          <cell r="B7" t="str">
            <v>Piramanthanaru_Lamp</v>
          </cell>
          <cell r="C7" t="str">
            <v>2026_MBB_New Sites_Design_Batch_13</v>
          </cell>
          <cell r="D7" t="str">
            <v>WiBAS</v>
          </cell>
          <cell r="E7" t="str">
            <v>WIBAS_2026_1678</v>
          </cell>
        </row>
        <row r="8">
          <cell r="A8" t="str">
            <v>MU5051</v>
          </cell>
          <cell r="B8" t="str">
            <v>Iyankankulam_Lamp</v>
          </cell>
          <cell r="C8" t="str">
            <v>2026_MBB_New Sites_Design_Batch_13</v>
          </cell>
          <cell r="D8" t="str">
            <v>MW-HYB</v>
          </cell>
          <cell r="E8" t="str">
            <v>MW_2026_2030</v>
          </cell>
        </row>
        <row r="9">
          <cell r="A9" t="str">
            <v>BA5051</v>
          </cell>
          <cell r="B9" t="str">
            <v>Mandur_Main_Rd_Lamp</v>
          </cell>
          <cell r="C9" t="str">
            <v>2026_MBB_New Sites_Design_Batch_14</v>
          </cell>
          <cell r="D9" t="str">
            <v>MW-HYB</v>
          </cell>
          <cell r="E9" t="str">
            <v>MW_2026_2135</v>
          </cell>
        </row>
        <row r="10">
          <cell r="A10" t="str">
            <v>BA5081</v>
          </cell>
          <cell r="B10" t="str">
            <v>Mandur_Kaneshapuram_Lamp</v>
          </cell>
          <cell r="C10" t="str">
            <v>2026_MBB_New Sites_Design_Batch_14</v>
          </cell>
          <cell r="D10" t="str">
            <v>MW-HYB</v>
          </cell>
        </row>
        <row r="11">
          <cell r="A11" t="str">
            <v>BA5086</v>
          </cell>
          <cell r="B11" t="str">
            <v>Vavunativu_Junc_Lamp</v>
          </cell>
          <cell r="C11" t="str">
            <v>2026_MBB_New Sites_Design_Batch_14</v>
          </cell>
          <cell r="D11" t="str">
            <v>WiBAS</v>
          </cell>
        </row>
        <row r="12">
          <cell r="A12" t="str">
            <v>BA5024</v>
          </cell>
          <cell r="B12" t="str">
            <v>Batti_Karaveddi_East_Lamp</v>
          </cell>
          <cell r="C12" t="str">
            <v>2026_MBB_New Sites_Design_Batch_13</v>
          </cell>
          <cell r="D12" t="str">
            <v>WiBAS</v>
          </cell>
          <cell r="E12" t="str">
            <v>WIBAS_2026_1651</v>
          </cell>
        </row>
        <row r="13">
          <cell r="A13" t="str">
            <v>KI5040</v>
          </cell>
          <cell r="B13" t="str">
            <v>Pulopalai_Lamp</v>
          </cell>
          <cell r="C13" t="str">
            <v>2026_MBB_New Sites_Design_Batch_13</v>
          </cell>
          <cell r="D13" t="str">
            <v>MW-HYB</v>
          </cell>
          <cell r="E13" t="str">
            <v>MW_2026_2123</v>
          </cell>
        </row>
        <row r="14">
          <cell r="A14" t="str">
            <v>HA5039</v>
          </cell>
          <cell r="B14" t="str">
            <v>Medaketiya_Lamp</v>
          </cell>
          <cell r="C14" t="str">
            <v>2026_MBB_New Sites_Design_Batch_10</v>
          </cell>
          <cell r="D14" t="str">
            <v>OFN</v>
          </cell>
          <cell r="E14" t="str">
            <v>OFN</v>
          </cell>
        </row>
        <row r="15">
          <cell r="A15" t="str">
            <v>BD5071</v>
          </cell>
          <cell r="B15" t="str">
            <v>Meedumpitiya_Lamp</v>
          </cell>
          <cell r="C15" t="str">
            <v>2026_MBB_New Sites_Design_Batch_10</v>
          </cell>
          <cell r="D15" t="str">
            <v>OFN</v>
          </cell>
          <cell r="E15" t="str">
            <v>OFN</v>
          </cell>
        </row>
        <row r="16">
          <cell r="A16" t="str">
            <v>MR5049</v>
          </cell>
          <cell r="B16" t="str">
            <v>Midigama_Lamp</v>
          </cell>
          <cell r="C16" t="str">
            <v>2026_MBB_New Sites_Design_Batch_13</v>
          </cell>
          <cell r="D16" t="str">
            <v>OFN</v>
          </cell>
          <cell r="E16" t="str">
            <v>OFN</v>
          </cell>
        </row>
        <row r="17">
          <cell r="A17" t="str">
            <v>MU5039</v>
          </cell>
          <cell r="B17" t="str">
            <v>Venavil_Lamp</v>
          </cell>
          <cell r="C17" t="str">
            <v>2026_MBB_New Sites_Design_Batch_13</v>
          </cell>
          <cell r="D17" t="str">
            <v>MW-HYB</v>
          </cell>
          <cell r="E17" t="str">
            <v>Pending</v>
          </cell>
        </row>
        <row r="18">
          <cell r="A18" t="str">
            <v>CM5451</v>
          </cell>
          <cell r="B18" t="str">
            <v>Bellanwila_Park_Lamp</v>
          </cell>
          <cell r="C18" t="str">
            <v>2026_MBB_New Sites_Design_Batch_14</v>
          </cell>
          <cell r="D18" t="str">
            <v>OFN</v>
          </cell>
          <cell r="E18" t="str">
            <v>OFN</v>
          </cell>
        </row>
        <row r="19">
          <cell r="A19" t="str">
            <v>VA5038</v>
          </cell>
          <cell r="B19" t="str">
            <v>Collage_Rd_Lamp</v>
          </cell>
          <cell r="C19" t="str">
            <v>2026_MBB_New Sites_Design_Batch_14</v>
          </cell>
          <cell r="D19" t="str">
            <v>OFN</v>
          </cell>
          <cell r="E19" t="str">
            <v>OFN</v>
          </cell>
        </row>
        <row r="20">
          <cell r="A20" t="str">
            <v>CM5730</v>
          </cell>
          <cell r="B20" t="str">
            <v>Araliya_Gardens_Lamp</v>
          </cell>
          <cell r="C20" t="str">
            <v>2026_MBB_New Sites_Design_Batch_14</v>
          </cell>
          <cell r="D20" t="str">
            <v>OFN</v>
          </cell>
          <cell r="E20" t="str">
            <v>OFN</v>
          </cell>
        </row>
        <row r="21">
          <cell r="A21" t="str">
            <v>PU5091</v>
          </cell>
          <cell r="B21" t="str">
            <v>Thabbowa_Juction_Lamp</v>
          </cell>
          <cell r="C21" t="str">
            <v>2026_MBB_New Sites_Design_Batch_14</v>
          </cell>
          <cell r="D21" t="str">
            <v>OFN</v>
          </cell>
          <cell r="E21" t="str">
            <v>OFN</v>
          </cell>
        </row>
        <row r="22">
          <cell r="A22" t="str">
            <v>MR5011</v>
          </cell>
          <cell r="B22" t="str">
            <v xml:space="preserve">Batawala_Lamp </v>
          </cell>
          <cell r="C22" t="str">
            <v>2026_MBB_New Sites_Design_Batch_14</v>
          </cell>
          <cell r="D22" t="str">
            <v>MW-HYB</v>
          </cell>
        </row>
        <row r="23">
          <cell r="A23" t="str">
            <v>CM5671</v>
          </cell>
          <cell r="B23" t="str">
            <v>Thotupala_Rd_Lamp</v>
          </cell>
          <cell r="C23" t="str">
            <v>2026_MBB_New Sites_Design_Batch_14</v>
          </cell>
          <cell r="D23" t="str">
            <v>MW-HYB</v>
          </cell>
        </row>
        <row r="24">
          <cell r="A24" t="str">
            <v>CM5724</v>
          </cell>
          <cell r="B24" t="str">
            <v>Angampitiya_Lamp</v>
          </cell>
          <cell r="C24" t="str">
            <v>2026_MBB_New Sites_Design_Batch_14</v>
          </cell>
          <cell r="D24" t="str">
            <v>MW-HYB</v>
          </cell>
        </row>
        <row r="25">
          <cell r="A25" t="str">
            <v>CM5756</v>
          </cell>
          <cell r="B25" t="str">
            <v>Yasorapura_Rd_Lamp</v>
          </cell>
          <cell r="C25" t="str">
            <v>2026_MBB_New Sites_Design_Batch_14</v>
          </cell>
          <cell r="D25" t="str">
            <v>OFN</v>
          </cell>
          <cell r="E25" t="str">
            <v>OFN</v>
          </cell>
        </row>
        <row r="26">
          <cell r="A26" t="str">
            <v>GA5095</v>
          </cell>
          <cell r="B26" t="str">
            <v>Yatramulla_Lamp</v>
          </cell>
          <cell r="C26" t="str">
            <v>2026_MBB_New Sites_Design_Batch_13</v>
          </cell>
          <cell r="D26" t="str">
            <v>MW-HYB</v>
          </cell>
        </row>
        <row r="27">
          <cell r="A27" t="str">
            <v>GA5093</v>
          </cell>
          <cell r="B27" t="str">
            <v>Thalpe_East_Lamp</v>
          </cell>
          <cell r="C27" t="str">
            <v>Design Pending</v>
          </cell>
          <cell r="D27" t="str">
            <v>OFN</v>
          </cell>
          <cell r="E27" t="str">
            <v>OFN</v>
          </cell>
        </row>
        <row r="28">
          <cell r="A28" t="str">
            <v>KU5180</v>
          </cell>
          <cell r="B28" t="str">
            <v>Baragedara_Lamp</v>
          </cell>
          <cell r="C28" t="str">
            <v>2026_MBB_New Sites_Design_Batch_13</v>
          </cell>
          <cell r="D28" t="str">
            <v>MW-HYB</v>
          </cell>
          <cell r="E28" t="str">
            <v>MW_2026_2011</v>
          </cell>
        </row>
        <row r="29">
          <cell r="A29" t="str">
            <v>PU5093</v>
          </cell>
          <cell r="B29" t="str">
            <v>Marawila_Hospital_Lamp</v>
          </cell>
          <cell r="C29" t="str">
            <v>2026_MBB_New Sites_Design_Batch_13</v>
          </cell>
          <cell r="D29" t="str">
            <v>OFN</v>
          </cell>
          <cell r="E29" t="str">
            <v>OFN</v>
          </cell>
        </row>
        <row r="30">
          <cell r="A30" t="str">
            <v>JA5177</v>
          </cell>
          <cell r="B30" t="str">
            <v>Manatkadu_Lamp</v>
          </cell>
          <cell r="C30" t="str">
            <v>2026_MBB_New Sites_Design_Batch_13</v>
          </cell>
          <cell r="D30" t="str">
            <v>WiBAS</v>
          </cell>
        </row>
        <row r="31">
          <cell r="A31" t="str">
            <v>JA5107</v>
          </cell>
          <cell r="B31" t="str">
            <v>Avarankal_Lamp</v>
          </cell>
          <cell r="C31" t="str">
            <v>2026_MBB_New Sites_Design_Batch_13</v>
          </cell>
          <cell r="D31" t="str">
            <v>MW-HYB</v>
          </cell>
          <cell r="E31" t="str">
            <v>MW_2026_1877</v>
          </cell>
        </row>
        <row r="32">
          <cell r="A32" t="str">
            <v>KU5071</v>
          </cell>
          <cell r="B32" t="str">
            <v>Thalgodapitiya_Junction_Lamp</v>
          </cell>
          <cell r="C32" t="str">
            <v>2026_MBB_New Sites_Design_Batch_13</v>
          </cell>
          <cell r="D32" t="str">
            <v>MW-HYB</v>
          </cell>
          <cell r="E32" t="str">
            <v>MW_2026_1991</v>
          </cell>
        </row>
        <row r="33">
          <cell r="A33" t="str">
            <v>GA5098</v>
          </cell>
          <cell r="B33" t="str">
            <v>Maha Ambalangoda_Lamp</v>
          </cell>
          <cell r="C33" t="str">
            <v>2026_MBB_New Sites_Design_Batch_12</v>
          </cell>
          <cell r="D33" t="str">
            <v>OFN</v>
          </cell>
          <cell r="E33" t="str">
            <v>OFN</v>
          </cell>
        </row>
        <row r="34">
          <cell r="A34" t="str">
            <v>JA5099</v>
          </cell>
          <cell r="B34" t="str">
            <v>Araly_North_Lamp</v>
          </cell>
          <cell r="C34" t="str">
            <v>2026_MBB_New Sites_Design_Batch_13</v>
          </cell>
          <cell r="D34" t="str">
            <v>WiBAS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3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9F31772-E9D2-4733-8FDA-970F9A76703D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5e473a0d-b7a4-4093-a383-71bc12717bb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B544-800A-4A2E-B661-C6EA0DDD8AFC}">
  <sheetPr codeName="Sheet1">
    <tabColor rgb="FF1F4E79"/>
  </sheetPr>
  <dimension ref="A1:I569"/>
  <sheetViews>
    <sheetView showGridLines="0" topLeftCell="A13" zoomScale="80" zoomScaleNormal="80" workbookViewId="0">
      <selection activeCell="A2" sqref="A2:I2"/>
    </sheetView>
  </sheetViews>
  <sheetFormatPr defaultColWidth="8.6640625" defaultRowHeight="14.4"/>
  <cols>
    <col min="1" max="9" width="25.77734375" style="33" customWidth="1"/>
    <col min="10" max="16384" width="8.6640625" style="33"/>
  </cols>
  <sheetData>
    <row r="1" spans="1:9" ht="10.050000000000001" customHeight="1" thickBot="1"/>
    <row r="2" spans="1:9" ht="40.049999999999997" customHeight="1" thickBot="1">
      <c r="A2" s="237" t="s">
        <v>129</v>
      </c>
      <c r="B2" s="238"/>
      <c r="C2" s="238"/>
      <c r="D2" s="238"/>
      <c r="E2" s="238"/>
      <c r="F2" s="238"/>
      <c r="G2" s="238"/>
      <c r="H2" s="238"/>
      <c r="I2" s="238"/>
    </row>
    <row r="3" spans="1:9" ht="10.050000000000001" customHeight="1" thickBot="1"/>
    <row r="4" spans="1:9" ht="25.05" customHeight="1" thickBot="1">
      <c r="A4" s="236" t="s">
        <v>401</v>
      </c>
      <c r="B4" s="236"/>
      <c r="C4" s="236"/>
      <c r="D4" s="236"/>
      <c r="E4" s="236"/>
      <c r="F4" s="236"/>
      <c r="G4" s="236"/>
      <c r="H4" s="236"/>
      <c r="I4" s="236"/>
    </row>
    <row r="5" spans="1:9" s="44" customFormat="1" ht="30" customHeight="1" thickBot="1">
      <c r="A5" s="243" t="s">
        <v>110</v>
      </c>
      <c r="B5" s="244" t="s">
        <v>148</v>
      </c>
      <c r="C5" s="246" t="s">
        <v>108</v>
      </c>
      <c r="D5" s="248" t="s">
        <v>435</v>
      </c>
      <c r="E5" s="250" t="s">
        <v>420</v>
      </c>
      <c r="F5" s="266" t="s">
        <v>564</v>
      </c>
      <c r="G5" s="252" t="s">
        <v>183</v>
      </c>
      <c r="H5" s="254" t="s">
        <v>17</v>
      </c>
      <c r="I5" s="256" t="s">
        <v>111</v>
      </c>
    </row>
    <row r="6" spans="1:9" ht="49.95" customHeight="1" thickBot="1">
      <c r="A6" s="261">
        <v>33</v>
      </c>
      <c r="B6" s="262">
        <v>2</v>
      </c>
      <c r="C6" s="263">
        <v>2</v>
      </c>
      <c r="D6" s="264">
        <v>2</v>
      </c>
      <c r="E6" s="265">
        <v>0</v>
      </c>
      <c r="F6" s="267">
        <v>0</v>
      </c>
      <c r="G6" s="269">
        <v>0</v>
      </c>
      <c r="H6" s="270">
        <v>18</v>
      </c>
      <c r="I6" s="271">
        <v>9</v>
      </c>
    </row>
    <row r="7" spans="1:9" s="45" customFormat="1" ht="19.95" customHeight="1" thickBot="1">
      <c r="A7" s="258" t="s">
        <v>117</v>
      </c>
      <c r="B7" s="245" t="s">
        <v>122</v>
      </c>
      <c r="C7" s="247" t="s">
        <v>539</v>
      </c>
      <c r="D7" s="249" t="s">
        <v>540</v>
      </c>
      <c r="E7" s="251" t="s">
        <v>112</v>
      </c>
      <c r="F7" s="268" t="s">
        <v>565</v>
      </c>
      <c r="G7" s="253" t="s">
        <v>114</v>
      </c>
      <c r="H7" s="255" t="s">
        <v>113</v>
      </c>
      <c r="I7" s="257" t="s">
        <v>123</v>
      </c>
    </row>
    <row r="8" spans="1:9" ht="10.050000000000001" customHeight="1" thickBot="1"/>
    <row r="9" spans="1:9" ht="25.05" customHeight="1" thickBot="1">
      <c r="A9" s="235" t="s">
        <v>130</v>
      </c>
      <c r="B9" s="236"/>
      <c r="C9" s="236"/>
      <c r="D9" s="236"/>
      <c r="E9" s="236"/>
      <c r="F9" s="236"/>
      <c r="G9" s="236"/>
      <c r="H9" s="236"/>
      <c r="I9" s="236"/>
    </row>
    <row r="10" spans="1:9" s="43" customFormat="1" ht="45" customHeight="1" thickBot="1">
      <c r="A10" s="259" t="s">
        <v>3</v>
      </c>
      <c r="B10" s="259" t="s">
        <v>110</v>
      </c>
      <c r="C10" s="259" t="s">
        <v>562</v>
      </c>
      <c r="D10" s="259" t="s">
        <v>108</v>
      </c>
      <c r="E10" s="259" t="s">
        <v>435</v>
      </c>
      <c r="F10" s="260" t="s">
        <v>420</v>
      </c>
      <c r="G10" s="259" t="s">
        <v>563</v>
      </c>
      <c r="H10" s="259" t="s">
        <v>17</v>
      </c>
      <c r="I10" s="259" t="s">
        <v>131</v>
      </c>
    </row>
    <row r="11" spans="1:9" ht="30" customHeight="1" thickBot="1">
      <c r="A11" s="198" t="s">
        <v>86</v>
      </c>
      <c r="B11" s="196">
        <v>0</v>
      </c>
      <c r="C11" s="196">
        <v>0</v>
      </c>
      <c r="D11" s="196">
        <v>0</v>
      </c>
      <c r="E11" s="196">
        <v>0</v>
      </c>
      <c r="F11" s="197">
        <v>0</v>
      </c>
      <c r="G11" s="196">
        <v>0</v>
      </c>
      <c r="H11" s="196">
        <v>0</v>
      </c>
      <c r="I11" s="101">
        <v>0</v>
      </c>
    </row>
    <row r="12" spans="1:9" ht="30" customHeight="1" thickBot="1">
      <c r="A12" s="201" t="s">
        <v>103</v>
      </c>
      <c r="B12" s="199">
        <v>0</v>
      </c>
      <c r="C12" s="199">
        <v>0</v>
      </c>
      <c r="D12" s="199">
        <v>0</v>
      </c>
      <c r="E12" s="199">
        <v>0</v>
      </c>
      <c r="F12" s="200">
        <v>0</v>
      </c>
      <c r="G12" s="200">
        <v>0</v>
      </c>
      <c r="H12" s="200">
        <v>0</v>
      </c>
      <c r="I12" s="101">
        <v>0</v>
      </c>
    </row>
    <row r="13" spans="1:9" ht="30" customHeight="1" thickBot="1">
      <c r="A13" s="198" t="s">
        <v>9</v>
      </c>
      <c r="B13" s="196">
        <v>4</v>
      </c>
      <c r="C13" s="196">
        <v>2</v>
      </c>
      <c r="D13" s="196">
        <v>0</v>
      </c>
      <c r="E13" s="196">
        <v>1</v>
      </c>
      <c r="F13" s="197">
        <v>0</v>
      </c>
      <c r="G13" s="197">
        <v>0</v>
      </c>
      <c r="H13" s="197">
        <v>1</v>
      </c>
      <c r="I13" s="272">
        <v>0.75</v>
      </c>
    </row>
    <row r="14" spans="1:9" ht="30" customHeight="1" thickBot="1">
      <c r="A14" s="201" t="s">
        <v>12</v>
      </c>
      <c r="B14" s="199">
        <v>4</v>
      </c>
      <c r="C14" s="199">
        <v>0</v>
      </c>
      <c r="D14" s="199">
        <v>2</v>
      </c>
      <c r="E14" s="199">
        <v>0</v>
      </c>
      <c r="F14" s="200">
        <v>0</v>
      </c>
      <c r="G14" s="200">
        <v>0</v>
      </c>
      <c r="H14" s="200">
        <v>1</v>
      </c>
      <c r="I14" s="153">
        <v>0.5</v>
      </c>
    </row>
    <row r="15" spans="1:9" ht="30" customHeight="1" thickBot="1">
      <c r="A15" s="198" t="s">
        <v>120</v>
      </c>
      <c r="B15" s="196">
        <v>0</v>
      </c>
      <c r="C15" s="196">
        <v>0</v>
      </c>
      <c r="D15" s="196">
        <v>0</v>
      </c>
      <c r="E15" s="196">
        <v>0</v>
      </c>
      <c r="F15" s="197">
        <v>0</v>
      </c>
      <c r="G15" s="197">
        <v>0</v>
      </c>
      <c r="H15" s="197">
        <v>0</v>
      </c>
      <c r="I15" s="101">
        <v>0</v>
      </c>
    </row>
    <row r="16" spans="1:9" ht="30" customHeight="1" thickBot="1">
      <c r="A16" s="201" t="s">
        <v>141</v>
      </c>
      <c r="B16" s="199">
        <v>0</v>
      </c>
      <c r="C16" s="199">
        <v>0</v>
      </c>
      <c r="D16" s="199">
        <v>0</v>
      </c>
      <c r="E16" s="199">
        <v>0</v>
      </c>
      <c r="F16" s="200">
        <v>0</v>
      </c>
      <c r="G16" s="200">
        <v>0</v>
      </c>
      <c r="H16" s="200">
        <v>0</v>
      </c>
      <c r="I16" s="101">
        <v>0</v>
      </c>
    </row>
    <row r="17" spans="1:9" ht="30" customHeight="1" thickBot="1">
      <c r="A17" s="198" t="s">
        <v>138</v>
      </c>
      <c r="B17" s="196">
        <v>2</v>
      </c>
      <c r="C17" s="196">
        <v>0</v>
      </c>
      <c r="D17" s="196">
        <v>0</v>
      </c>
      <c r="E17" s="196">
        <v>0</v>
      </c>
      <c r="F17" s="197">
        <v>0</v>
      </c>
      <c r="G17" s="197">
        <v>0</v>
      </c>
      <c r="H17" s="197">
        <v>2</v>
      </c>
      <c r="I17" s="101">
        <v>0</v>
      </c>
    </row>
    <row r="18" spans="1:9" ht="30" customHeight="1" thickBot="1">
      <c r="A18" s="201" t="s">
        <v>140</v>
      </c>
      <c r="B18" s="199">
        <v>5</v>
      </c>
      <c r="C18" s="199">
        <v>0</v>
      </c>
      <c r="D18" s="199">
        <v>0</v>
      </c>
      <c r="E18" s="199">
        <v>0</v>
      </c>
      <c r="F18" s="200">
        <v>0</v>
      </c>
      <c r="G18" s="200">
        <v>0</v>
      </c>
      <c r="H18" s="200">
        <v>4</v>
      </c>
      <c r="I18" s="101">
        <v>0</v>
      </c>
    </row>
    <row r="19" spans="1:9" ht="30" customHeight="1" thickBot="1">
      <c r="A19" s="198" t="s">
        <v>221</v>
      </c>
      <c r="B19" s="196">
        <v>2</v>
      </c>
      <c r="C19" s="196">
        <v>0</v>
      </c>
      <c r="D19" s="196">
        <v>0</v>
      </c>
      <c r="E19" s="196">
        <v>1</v>
      </c>
      <c r="F19" s="197">
        <v>0</v>
      </c>
      <c r="G19" s="197">
        <v>0</v>
      </c>
      <c r="H19" s="197">
        <v>1</v>
      </c>
      <c r="I19" s="153">
        <v>0.5</v>
      </c>
    </row>
    <row r="20" spans="1:9" ht="30" customHeight="1" thickBot="1">
      <c r="A20" s="201" t="s">
        <v>404</v>
      </c>
      <c r="B20" s="199">
        <v>2</v>
      </c>
      <c r="C20" s="199">
        <v>0</v>
      </c>
      <c r="D20" s="199">
        <v>0</v>
      </c>
      <c r="E20" s="199">
        <v>0</v>
      </c>
      <c r="F20" s="200">
        <v>0</v>
      </c>
      <c r="G20" s="200">
        <v>0</v>
      </c>
      <c r="H20" s="200">
        <v>2</v>
      </c>
      <c r="I20" s="101">
        <v>0</v>
      </c>
    </row>
    <row r="21" spans="1:9" ht="30" customHeight="1" thickBot="1">
      <c r="A21" s="198" t="s">
        <v>530</v>
      </c>
      <c r="B21" s="196">
        <v>3</v>
      </c>
      <c r="C21" s="196">
        <v>0</v>
      </c>
      <c r="D21" s="196">
        <v>0</v>
      </c>
      <c r="E21" s="196">
        <v>0</v>
      </c>
      <c r="F21" s="197">
        <v>0</v>
      </c>
      <c r="G21" s="197">
        <v>0</v>
      </c>
      <c r="H21" s="197">
        <v>3</v>
      </c>
      <c r="I21" s="101">
        <v>0</v>
      </c>
    </row>
    <row r="22" spans="1:9" ht="30" customHeight="1" thickBot="1">
      <c r="A22" s="201" t="s">
        <v>531</v>
      </c>
      <c r="B22" s="199">
        <v>2</v>
      </c>
      <c r="C22" s="199">
        <v>0</v>
      </c>
      <c r="D22" s="199">
        <v>0</v>
      </c>
      <c r="E22" s="199">
        <v>0</v>
      </c>
      <c r="F22" s="200">
        <v>0</v>
      </c>
      <c r="G22" s="200">
        <v>0</v>
      </c>
      <c r="H22" s="200">
        <v>0</v>
      </c>
      <c r="I22" s="101">
        <v>0</v>
      </c>
    </row>
    <row r="23" spans="1:9" ht="30" customHeight="1" thickBot="1">
      <c r="A23" s="198" t="s">
        <v>132</v>
      </c>
      <c r="B23" s="196">
        <v>9</v>
      </c>
      <c r="C23" s="196">
        <v>0</v>
      </c>
      <c r="D23" s="196">
        <v>0</v>
      </c>
      <c r="E23" s="196">
        <v>0</v>
      </c>
      <c r="F23" s="197">
        <v>0</v>
      </c>
      <c r="G23" s="197">
        <v>0</v>
      </c>
      <c r="H23" s="197">
        <v>4</v>
      </c>
      <c r="I23" s="101">
        <v>0</v>
      </c>
    </row>
    <row r="24" spans="1:9" ht="30" customHeight="1" thickBot="1">
      <c r="A24" s="202" t="s">
        <v>115</v>
      </c>
      <c r="B24" s="203">
        <v>33</v>
      </c>
      <c r="C24" s="203">
        <v>2</v>
      </c>
      <c r="D24" s="203">
        <v>2</v>
      </c>
      <c r="E24" s="203">
        <v>2</v>
      </c>
      <c r="F24" s="204">
        <v>0</v>
      </c>
      <c r="G24" s="204">
        <v>0</v>
      </c>
      <c r="H24" s="204">
        <v>18</v>
      </c>
      <c r="I24" s="102">
        <v>0.18181818181818182</v>
      </c>
    </row>
    <row r="25" spans="1:9">
      <c r="A25"/>
      <c r="B25"/>
      <c r="C25"/>
      <c r="D25"/>
      <c r="E25"/>
    </row>
    <row r="26" spans="1:9">
      <c r="A26"/>
      <c r="B26"/>
      <c r="C26" s="66"/>
      <c r="D26" s="66"/>
      <c r="E26" s="66"/>
      <c r="F26" s="67"/>
    </row>
    <row r="27" spans="1:9">
      <c r="A27"/>
      <c r="B27"/>
      <c r="C27" s="66"/>
      <c r="D27" s="66"/>
      <c r="E27" s="66"/>
      <c r="F27" s="67"/>
    </row>
    <row r="28" spans="1:9">
      <c r="A28"/>
      <c r="B28"/>
      <c r="C28" s="66"/>
      <c r="D28" s="66"/>
      <c r="E28" s="66"/>
      <c r="F28" s="67"/>
    </row>
    <row r="29" spans="1:9">
      <c r="A29"/>
      <c r="B29"/>
      <c r="C29" s="66"/>
      <c r="D29" s="66"/>
      <c r="E29" s="66"/>
      <c r="F29" s="67"/>
    </row>
    <row r="30" spans="1:9">
      <c r="A30"/>
      <c r="B30"/>
      <c r="C30" s="66"/>
      <c r="D30" s="66"/>
      <c r="E30" s="66"/>
      <c r="F30" s="67"/>
    </row>
    <row r="31" spans="1:9">
      <c r="A31"/>
      <c r="B31"/>
      <c r="C31" s="66"/>
      <c r="D31" s="66"/>
      <c r="E31" s="66"/>
      <c r="F31" s="67"/>
    </row>
    <row r="32" spans="1:9">
      <c r="A32"/>
      <c r="B32"/>
      <c r="C32" s="66"/>
      <c r="D32" s="66"/>
      <c r="E32" s="66"/>
      <c r="F32" s="67"/>
    </row>
    <row r="33" spans="1:6">
      <c r="A33"/>
      <c r="B33"/>
      <c r="C33" s="66"/>
      <c r="D33" s="66"/>
      <c r="E33" s="66"/>
      <c r="F33" s="67"/>
    </row>
    <row r="34" spans="1:6">
      <c r="A34"/>
      <c r="B34"/>
      <c r="C34" s="66"/>
      <c r="D34" s="66"/>
      <c r="E34" s="66"/>
      <c r="F34" s="67"/>
    </row>
    <row r="35" spans="1:6">
      <c r="A35"/>
      <c r="B35"/>
      <c r="C35" s="66"/>
      <c r="D35" s="66"/>
      <c r="E35" s="66"/>
      <c r="F35" s="67"/>
    </row>
    <row r="36" spans="1:6">
      <c r="A36"/>
      <c r="B36"/>
      <c r="C36" s="66"/>
      <c r="D36" s="66"/>
      <c r="E36" s="66"/>
      <c r="F36" s="67"/>
    </row>
    <row r="37" spans="1:6">
      <c r="A37"/>
      <c r="B37"/>
      <c r="C37" s="66"/>
      <c r="D37" s="66"/>
      <c r="E37" s="66"/>
      <c r="F37" s="67"/>
    </row>
    <row r="38" spans="1:6">
      <c r="A38"/>
      <c r="B38"/>
      <c r="C38" s="66"/>
      <c r="D38" s="66"/>
      <c r="E38" s="66"/>
      <c r="F38" s="67"/>
    </row>
    <row r="39" spans="1:6">
      <c r="A39"/>
      <c r="B39"/>
      <c r="C39" s="66"/>
      <c r="D39" s="66"/>
      <c r="E39" s="66"/>
      <c r="F39" s="67"/>
    </row>
    <row r="40" spans="1:6">
      <c r="A40"/>
      <c r="B40"/>
      <c r="C40" s="66"/>
      <c r="D40" s="66"/>
      <c r="E40" s="66"/>
      <c r="F40" s="67"/>
    </row>
    <row r="41" spans="1:6">
      <c r="A41"/>
      <c r="B41"/>
      <c r="C41" s="66"/>
      <c r="D41" s="66"/>
      <c r="E41" s="66"/>
      <c r="F41" s="67"/>
    </row>
    <row r="42" spans="1:6">
      <c r="A42"/>
      <c r="B42"/>
      <c r="C42" s="66"/>
      <c r="D42" s="66"/>
      <c r="E42" s="66"/>
      <c r="F42" s="67"/>
    </row>
    <row r="43" spans="1:6">
      <c r="A43"/>
      <c r="B43"/>
      <c r="C43" s="66"/>
      <c r="D43" s="66"/>
      <c r="E43" s="66"/>
      <c r="F43" s="67"/>
    </row>
    <row r="44" spans="1:6">
      <c r="A44"/>
      <c r="B44"/>
      <c r="C44" s="66"/>
      <c r="D44" s="66"/>
      <c r="E44" s="66"/>
      <c r="F44" s="67"/>
    </row>
    <row r="45" spans="1:6">
      <c r="A45"/>
      <c r="B45"/>
      <c r="C45" s="66"/>
      <c r="D45" s="66"/>
      <c r="E45" s="66"/>
      <c r="F45" s="67"/>
    </row>
    <row r="46" spans="1:6">
      <c r="A46"/>
      <c r="B46"/>
      <c r="C46" s="66"/>
      <c r="D46" s="66"/>
      <c r="E46" s="66"/>
      <c r="F46" s="67"/>
    </row>
    <row r="47" spans="1:6">
      <c r="A47"/>
      <c r="B47"/>
      <c r="C47" s="66"/>
      <c r="D47" s="66"/>
      <c r="E47" s="66"/>
      <c r="F47" s="67"/>
    </row>
    <row r="48" spans="1:6">
      <c r="A48"/>
      <c r="B48"/>
      <c r="C48" s="66"/>
      <c r="D48" s="66"/>
      <c r="E48" s="66"/>
      <c r="F48" s="67"/>
    </row>
    <row r="49" spans="1:6">
      <c r="A49"/>
      <c r="B49"/>
      <c r="C49" s="66"/>
      <c r="D49" s="66"/>
      <c r="E49" s="66"/>
      <c r="F49" s="67"/>
    </row>
    <row r="50" spans="1:6">
      <c r="A50"/>
      <c r="B50"/>
      <c r="C50" s="66"/>
      <c r="D50" s="66"/>
      <c r="E50" s="66"/>
      <c r="F50" s="67"/>
    </row>
    <row r="51" spans="1:6">
      <c r="A51"/>
      <c r="B51"/>
      <c r="C51" s="66"/>
      <c r="D51" s="66"/>
      <c r="E51" s="66"/>
      <c r="F51" s="67"/>
    </row>
    <row r="52" spans="1:6">
      <c r="A52"/>
      <c r="B52"/>
      <c r="C52" s="66"/>
      <c r="D52" s="66"/>
      <c r="E52" s="66"/>
      <c r="F52" s="67"/>
    </row>
    <row r="53" spans="1:6">
      <c r="A53"/>
      <c r="B53"/>
      <c r="C53" s="66"/>
      <c r="D53" s="66"/>
      <c r="E53" s="66"/>
      <c r="F53" s="67"/>
    </row>
    <row r="54" spans="1:6">
      <c r="A54"/>
      <c r="B54"/>
      <c r="C54" s="66"/>
      <c r="D54" s="66"/>
      <c r="E54" s="66"/>
      <c r="F54" s="67"/>
    </row>
    <row r="55" spans="1:6">
      <c r="A55"/>
      <c r="B55"/>
      <c r="C55" s="66"/>
      <c r="D55" s="66"/>
      <c r="E55" s="66"/>
      <c r="F55" s="67"/>
    </row>
    <row r="56" spans="1:6">
      <c r="A56"/>
      <c r="B56"/>
      <c r="C56" s="66"/>
      <c r="D56" s="66"/>
      <c r="E56" s="66"/>
      <c r="F56" s="67"/>
    </row>
    <row r="57" spans="1:6">
      <c r="A57"/>
      <c r="B57"/>
      <c r="C57" s="66"/>
      <c r="D57" s="66"/>
      <c r="E57" s="66"/>
      <c r="F57" s="67"/>
    </row>
    <row r="58" spans="1:6">
      <c r="A58"/>
      <c r="B58"/>
      <c r="C58" s="66"/>
      <c r="D58" s="66"/>
      <c r="E58" s="66"/>
      <c r="F58" s="67"/>
    </row>
    <row r="59" spans="1:6">
      <c r="A59"/>
      <c r="B59"/>
      <c r="C59" s="66"/>
      <c r="D59" s="66"/>
      <c r="E59" s="66"/>
      <c r="F59" s="67"/>
    </row>
    <row r="60" spans="1:6">
      <c r="A60"/>
      <c r="B60"/>
      <c r="C60" s="66"/>
      <c r="D60" s="66"/>
      <c r="E60" s="66"/>
      <c r="F60" s="67"/>
    </row>
    <row r="61" spans="1:6">
      <c r="A61"/>
      <c r="B61"/>
      <c r="C61" s="66"/>
      <c r="D61" s="66"/>
      <c r="E61" s="66"/>
      <c r="F61" s="67"/>
    </row>
    <row r="62" spans="1:6">
      <c r="A62"/>
      <c r="B62"/>
      <c r="C62" s="66"/>
      <c r="D62" s="66"/>
      <c r="E62" s="66"/>
      <c r="F62" s="67"/>
    </row>
    <row r="63" spans="1:6">
      <c r="A63"/>
      <c r="B63"/>
      <c r="C63" s="66"/>
      <c r="D63" s="66"/>
      <c r="E63" s="66"/>
      <c r="F63" s="67"/>
    </row>
    <row r="64" spans="1:6">
      <c r="A64"/>
      <c r="B64"/>
      <c r="C64" s="66"/>
      <c r="D64" s="66"/>
      <c r="E64" s="66"/>
      <c r="F64" s="67"/>
    </row>
    <row r="65" spans="1:6">
      <c r="A65"/>
      <c r="B65"/>
      <c r="C65" s="66"/>
      <c r="D65" s="66"/>
      <c r="E65" s="66"/>
      <c r="F65" s="67"/>
    </row>
    <row r="66" spans="1:6">
      <c r="A66"/>
      <c r="B66"/>
      <c r="C66" s="66"/>
      <c r="D66" s="66"/>
      <c r="E66" s="66"/>
      <c r="F66" s="67"/>
    </row>
    <row r="67" spans="1:6">
      <c r="A67"/>
      <c r="B67"/>
      <c r="C67" s="66"/>
      <c r="D67" s="66"/>
      <c r="E67" s="66"/>
      <c r="F67" s="67"/>
    </row>
    <row r="68" spans="1:6">
      <c r="A68"/>
      <c r="B68"/>
      <c r="C68" s="66"/>
      <c r="D68" s="66"/>
      <c r="E68" s="66"/>
      <c r="F68" s="67"/>
    </row>
    <row r="69" spans="1:6">
      <c r="A69"/>
      <c r="B69"/>
      <c r="C69" s="66"/>
      <c r="D69" s="66"/>
      <c r="E69" s="66"/>
      <c r="F69" s="67"/>
    </row>
    <row r="70" spans="1:6">
      <c r="A70"/>
      <c r="B70"/>
      <c r="C70" s="66"/>
      <c r="D70" s="66"/>
      <c r="E70" s="66"/>
      <c r="F70" s="67"/>
    </row>
    <row r="71" spans="1:6">
      <c r="A71"/>
      <c r="B71"/>
      <c r="C71" s="66"/>
      <c r="D71" s="66"/>
      <c r="E71" s="66"/>
      <c r="F71" s="67"/>
    </row>
    <row r="72" spans="1:6">
      <c r="A72"/>
      <c r="B72"/>
      <c r="C72" s="66"/>
      <c r="D72" s="66"/>
      <c r="E72" s="66"/>
      <c r="F72" s="67"/>
    </row>
    <row r="73" spans="1:6">
      <c r="A73"/>
      <c r="B73"/>
      <c r="C73" s="66"/>
      <c r="D73" s="66"/>
      <c r="E73" s="66"/>
      <c r="F73" s="67"/>
    </row>
    <row r="74" spans="1:6">
      <c r="A74"/>
      <c r="B74"/>
      <c r="C74" s="66"/>
      <c r="D74" s="66"/>
      <c r="E74" s="66"/>
      <c r="F74" s="67"/>
    </row>
    <row r="75" spans="1:6">
      <c r="A75"/>
      <c r="B75"/>
      <c r="C75" s="66"/>
      <c r="D75" s="66"/>
      <c r="E75" s="66"/>
      <c r="F75" s="67"/>
    </row>
    <row r="76" spans="1:6">
      <c r="A76"/>
      <c r="B76"/>
      <c r="C76" s="66"/>
      <c r="D76" s="66"/>
      <c r="E76" s="66"/>
      <c r="F76" s="67"/>
    </row>
    <row r="77" spans="1:6">
      <c r="A77"/>
      <c r="B77"/>
      <c r="C77" s="66"/>
      <c r="D77" s="66"/>
      <c r="E77" s="66"/>
      <c r="F77" s="67"/>
    </row>
    <row r="78" spans="1:6">
      <c r="A78"/>
      <c r="B78"/>
      <c r="C78" s="66"/>
      <c r="D78" s="66"/>
      <c r="E78" s="66"/>
      <c r="F78" s="67"/>
    </row>
    <row r="79" spans="1:6">
      <c r="A79"/>
      <c r="B79"/>
      <c r="C79" s="66"/>
      <c r="D79" s="66"/>
      <c r="E79" s="66"/>
      <c r="F79" s="67"/>
    </row>
    <row r="80" spans="1:6">
      <c r="A80"/>
      <c r="B80"/>
      <c r="C80" s="66"/>
      <c r="D80" s="66"/>
      <c r="E80" s="66"/>
      <c r="F80" s="67"/>
    </row>
    <row r="81" spans="1:6">
      <c r="A81"/>
      <c r="B81"/>
      <c r="C81" s="66"/>
      <c r="D81" s="66"/>
      <c r="E81" s="66"/>
      <c r="F81" s="67"/>
    </row>
    <row r="82" spans="1:6">
      <c r="A82"/>
      <c r="B82"/>
      <c r="C82" s="66"/>
      <c r="D82" s="66"/>
      <c r="E82" s="66"/>
      <c r="F82" s="67"/>
    </row>
    <row r="83" spans="1:6">
      <c r="A83"/>
      <c r="B83"/>
      <c r="C83" s="66"/>
      <c r="D83" s="66"/>
      <c r="E83" s="66"/>
      <c r="F83" s="67"/>
    </row>
    <row r="84" spans="1:6">
      <c r="A84"/>
      <c r="B84"/>
      <c r="C84" s="66"/>
      <c r="D84" s="66"/>
      <c r="E84" s="66"/>
      <c r="F84" s="67"/>
    </row>
    <row r="85" spans="1:6">
      <c r="A85"/>
      <c r="B85"/>
      <c r="C85" s="66"/>
      <c r="D85" s="66"/>
      <c r="E85" s="66"/>
      <c r="F85" s="67"/>
    </row>
    <row r="86" spans="1:6">
      <c r="A86"/>
      <c r="B86"/>
      <c r="C86" s="66"/>
      <c r="D86" s="66"/>
      <c r="E86" s="66"/>
      <c r="F86" s="67"/>
    </row>
    <row r="87" spans="1:6">
      <c r="A87"/>
      <c r="B87"/>
      <c r="C87" s="66"/>
      <c r="D87" s="66"/>
      <c r="E87" s="66"/>
      <c r="F87" s="67"/>
    </row>
    <row r="88" spans="1:6">
      <c r="A88"/>
      <c r="B88"/>
      <c r="C88" s="66"/>
      <c r="D88" s="66"/>
      <c r="E88" s="66"/>
      <c r="F88" s="67"/>
    </row>
    <row r="89" spans="1:6">
      <c r="A89"/>
      <c r="B89"/>
      <c r="C89" s="66"/>
      <c r="D89" s="66"/>
      <c r="E89" s="66"/>
      <c r="F89" s="67"/>
    </row>
    <row r="90" spans="1:6">
      <c r="A90"/>
      <c r="B90"/>
      <c r="C90" s="66"/>
      <c r="D90" s="66"/>
      <c r="E90" s="66"/>
      <c r="F90" s="67"/>
    </row>
    <row r="91" spans="1:6">
      <c r="A91"/>
      <c r="B91"/>
      <c r="C91" s="66"/>
      <c r="D91" s="66"/>
      <c r="E91" s="66"/>
      <c r="F91" s="67"/>
    </row>
    <row r="92" spans="1:6">
      <c r="A92"/>
      <c r="B92"/>
      <c r="C92" s="66"/>
      <c r="D92" s="66"/>
      <c r="E92" s="66"/>
      <c r="F92" s="67"/>
    </row>
    <row r="93" spans="1:6">
      <c r="A93"/>
      <c r="B93"/>
      <c r="C93" s="66"/>
      <c r="D93" s="66"/>
      <c r="E93" s="66"/>
      <c r="F93" s="67"/>
    </row>
    <row r="94" spans="1:6">
      <c r="A94"/>
      <c r="B94"/>
      <c r="C94" s="66"/>
      <c r="D94" s="66"/>
      <c r="E94" s="66"/>
      <c r="F94" s="67"/>
    </row>
    <row r="95" spans="1:6">
      <c r="A95"/>
      <c r="B95"/>
      <c r="C95" s="66"/>
      <c r="D95" s="66"/>
      <c r="E95" s="66"/>
      <c r="F95" s="67"/>
    </row>
    <row r="96" spans="1:6">
      <c r="A96"/>
      <c r="B96"/>
      <c r="C96" s="66"/>
      <c r="D96" s="66"/>
      <c r="E96" s="66"/>
      <c r="F96" s="67"/>
    </row>
    <row r="97" spans="1:6">
      <c r="A97"/>
      <c r="B97"/>
      <c r="C97" s="66"/>
      <c r="D97" s="66"/>
      <c r="E97" s="66"/>
      <c r="F97" s="67"/>
    </row>
    <row r="98" spans="1:6">
      <c r="A98"/>
      <c r="B98"/>
      <c r="C98" s="66"/>
      <c r="D98" s="66"/>
      <c r="E98" s="66"/>
      <c r="F98" s="67"/>
    </row>
    <row r="99" spans="1:6">
      <c r="A99"/>
      <c r="B99"/>
      <c r="C99" s="66"/>
      <c r="D99" s="66"/>
      <c r="E99" s="66"/>
      <c r="F99" s="67"/>
    </row>
    <row r="100" spans="1:6">
      <c r="A100"/>
      <c r="B100"/>
      <c r="C100" s="66"/>
      <c r="D100" s="66"/>
      <c r="E100" s="66"/>
      <c r="F100" s="67"/>
    </row>
    <row r="101" spans="1:6">
      <c r="A101"/>
      <c r="B101"/>
      <c r="C101" s="66"/>
      <c r="D101" s="66"/>
      <c r="E101" s="66"/>
      <c r="F101" s="67"/>
    </row>
    <row r="102" spans="1:6">
      <c r="A102"/>
      <c r="B102"/>
      <c r="C102" s="66"/>
      <c r="D102" s="66"/>
      <c r="E102" s="66"/>
      <c r="F102" s="67"/>
    </row>
    <row r="103" spans="1:6">
      <c r="A103"/>
      <c r="B103"/>
      <c r="C103" s="66"/>
      <c r="D103" s="66"/>
      <c r="E103" s="66"/>
      <c r="F103" s="67"/>
    </row>
    <row r="104" spans="1:6">
      <c r="A104"/>
      <c r="B104"/>
      <c r="C104" s="66"/>
      <c r="D104" s="66"/>
      <c r="E104" s="66"/>
      <c r="F104" s="67"/>
    </row>
    <row r="105" spans="1:6">
      <c r="A105"/>
      <c r="B105"/>
      <c r="C105" s="66"/>
      <c r="D105" s="66"/>
      <c r="E105" s="66"/>
      <c r="F105" s="67"/>
    </row>
    <row r="106" spans="1:6">
      <c r="A106"/>
      <c r="B106"/>
      <c r="C106" s="66"/>
      <c r="D106" s="66"/>
      <c r="E106" s="66"/>
      <c r="F106" s="67"/>
    </row>
    <row r="107" spans="1:6">
      <c r="A107"/>
      <c r="B107"/>
      <c r="C107" s="66"/>
      <c r="D107" s="66"/>
      <c r="E107" s="66"/>
      <c r="F107" s="67"/>
    </row>
    <row r="108" spans="1:6">
      <c r="A108"/>
      <c r="B108"/>
      <c r="C108" s="66"/>
      <c r="D108" s="66"/>
      <c r="E108" s="66"/>
      <c r="F108" s="67"/>
    </row>
    <row r="109" spans="1:6">
      <c r="A109"/>
      <c r="B109"/>
      <c r="C109" s="66"/>
      <c r="D109" s="66"/>
      <c r="E109" s="66"/>
      <c r="F109" s="67"/>
    </row>
    <row r="110" spans="1:6">
      <c r="A110"/>
      <c r="B110"/>
      <c r="C110" s="66"/>
      <c r="D110" s="66"/>
      <c r="E110" s="66"/>
      <c r="F110" s="67"/>
    </row>
    <row r="111" spans="1:6">
      <c r="A111"/>
      <c r="B111"/>
      <c r="C111" s="66"/>
      <c r="D111" s="66"/>
      <c r="E111" s="66"/>
      <c r="F111" s="67"/>
    </row>
    <row r="112" spans="1:6">
      <c r="A112"/>
      <c r="B112"/>
      <c r="C112" s="66"/>
      <c r="D112" s="66"/>
      <c r="E112" s="66"/>
      <c r="F112" s="67"/>
    </row>
    <row r="113" spans="1:6">
      <c r="A113"/>
      <c r="B113"/>
      <c r="C113" s="66"/>
      <c r="D113" s="66"/>
      <c r="E113" s="66"/>
      <c r="F113" s="67"/>
    </row>
    <row r="114" spans="1:6">
      <c r="A114"/>
      <c r="B114"/>
      <c r="C114" s="66"/>
      <c r="D114" s="66"/>
      <c r="E114" s="66"/>
      <c r="F114" s="67"/>
    </row>
    <row r="115" spans="1:6">
      <c r="A115"/>
      <c r="B115"/>
      <c r="C115" s="66"/>
      <c r="D115" s="66"/>
      <c r="E115" s="66"/>
      <c r="F115" s="67"/>
    </row>
    <row r="116" spans="1:6">
      <c r="A116"/>
      <c r="B116"/>
      <c r="C116" s="66"/>
      <c r="D116" s="66"/>
      <c r="E116" s="66"/>
      <c r="F116" s="67"/>
    </row>
    <row r="117" spans="1:6">
      <c r="A117"/>
      <c r="B117"/>
      <c r="C117" s="66"/>
      <c r="D117" s="66"/>
      <c r="E117" s="66"/>
      <c r="F117" s="67"/>
    </row>
    <row r="118" spans="1:6">
      <c r="A118"/>
      <c r="B118"/>
      <c r="C118" s="66"/>
      <c r="D118" s="66"/>
      <c r="E118" s="66"/>
      <c r="F118" s="67"/>
    </row>
    <row r="119" spans="1:6">
      <c r="A119"/>
      <c r="B119"/>
      <c r="C119" s="66"/>
      <c r="D119" s="66"/>
      <c r="E119" s="66"/>
      <c r="F119" s="67"/>
    </row>
    <row r="120" spans="1:6">
      <c r="A120"/>
      <c r="B120"/>
      <c r="C120" s="66"/>
      <c r="D120" s="66"/>
      <c r="E120" s="66"/>
      <c r="F120" s="67"/>
    </row>
    <row r="121" spans="1:6">
      <c r="A121"/>
      <c r="B121"/>
      <c r="C121" s="66"/>
      <c r="D121" s="66"/>
      <c r="E121" s="66"/>
      <c r="F121" s="67"/>
    </row>
    <row r="122" spans="1:6">
      <c r="A122"/>
      <c r="B122"/>
      <c r="C122" s="66"/>
      <c r="D122" s="66"/>
      <c r="E122" s="66"/>
      <c r="F122" s="67"/>
    </row>
    <row r="123" spans="1:6">
      <c r="A123"/>
      <c r="B123"/>
      <c r="C123" s="66"/>
      <c r="D123" s="66"/>
      <c r="E123" s="66"/>
      <c r="F123" s="67"/>
    </row>
    <row r="124" spans="1:6">
      <c r="A124"/>
      <c r="B124"/>
      <c r="C124" s="66"/>
      <c r="D124" s="66"/>
      <c r="E124" s="66"/>
      <c r="F124" s="67"/>
    </row>
    <row r="125" spans="1:6">
      <c r="A125"/>
      <c r="B125"/>
      <c r="C125" s="66"/>
      <c r="D125" s="66"/>
      <c r="E125" s="66"/>
      <c r="F125" s="67"/>
    </row>
    <row r="126" spans="1:6">
      <c r="A126"/>
      <c r="B126"/>
      <c r="C126" s="66"/>
      <c r="D126" s="66"/>
      <c r="E126" s="66"/>
      <c r="F126" s="67"/>
    </row>
    <row r="127" spans="1:6">
      <c r="A127"/>
      <c r="B127"/>
      <c r="C127" s="66"/>
      <c r="D127" s="66"/>
      <c r="E127" s="66"/>
      <c r="F127" s="67"/>
    </row>
    <row r="128" spans="1:6">
      <c r="A128"/>
      <c r="B128"/>
      <c r="C128" s="66"/>
      <c r="D128" s="66"/>
      <c r="E128" s="66"/>
      <c r="F128" s="67"/>
    </row>
    <row r="129" spans="1:6">
      <c r="A129"/>
      <c r="B129"/>
      <c r="C129" s="66"/>
      <c r="D129" s="66"/>
      <c r="E129" s="66"/>
      <c r="F129" s="67"/>
    </row>
    <row r="130" spans="1:6">
      <c r="A130"/>
      <c r="B130"/>
      <c r="C130" s="66"/>
      <c r="D130" s="66"/>
      <c r="E130" s="66"/>
      <c r="F130" s="67"/>
    </row>
    <row r="131" spans="1:6">
      <c r="A131"/>
      <c r="B131"/>
      <c r="C131" s="66"/>
      <c r="D131" s="66"/>
      <c r="E131" s="66"/>
      <c r="F131" s="67"/>
    </row>
    <row r="132" spans="1:6">
      <c r="A132"/>
      <c r="B132"/>
      <c r="C132" s="66"/>
      <c r="D132" s="66"/>
      <c r="E132" s="66"/>
      <c r="F132" s="67"/>
    </row>
    <row r="133" spans="1:6">
      <c r="A133"/>
      <c r="B133"/>
      <c r="C133" s="66"/>
      <c r="D133" s="66"/>
      <c r="E133" s="66"/>
      <c r="F133" s="67"/>
    </row>
    <row r="134" spans="1:6">
      <c r="A134"/>
      <c r="B134"/>
      <c r="C134" s="66"/>
      <c r="D134" s="66"/>
      <c r="E134" s="66"/>
      <c r="F134" s="67"/>
    </row>
    <row r="135" spans="1:6">
      <c r="A135"/>
      <c r="B135"/>
      <c r="C135" s="66"/>
      <c r="D135" s="66"/>
      <c r="E135" s="66"/>
      <c r="F135" s="67"/>
    </row>
    <row r="136" spans="1:6">
      <c r="A136"/>
      <c r="B136"/>
      <c r="C136" s="66"/>
      <c r="D136" s="66"/>
      <c r="E136" s="66"/>
      <c r="F136" s="67"/>
    </row>
    <row r="137" spans="1:6">
      <c r="A137"/>
      <c r="B137"/>
      <c r="C137" s="66"/>
      <c r="D137" s="66"/>
      <c r="E137" s="66"/>
      <c r="F137" s="67"/>
    </row>
    <row r="138" spans="1:6">
      <c r="A138"/>
      <c r="B138"/>
      <c r="C138" s="66"/>
      <c r="D138" s="66"/>
      <c r="E138" s="66"/>
      <c r="F138" s="67"/>
    </row>
    <row r="139" spans="1:6">
      <c r="A139"/>
      <c r="B139"/>
      <c r="C139" s="66"/>
      <c r="D139" s="66"/>
      <c r="E139" s="66"/>
      <c r="F139" s="67"/>
    </row>
    <row r="140" spans="1:6">
      <c r="A140"/>
      <c r="B140"/>
      <c r="C140" s="66"/>
      <c r="D140" s="66"/>
      <c r="E140" s="66"/>
      <c r="F140" s="67"/>
    </row>
    <row r="141" spans="1:6">
      <c r="A141"/>
      <c r="B141"/>
      <c r="C141" s="66"/>
      <c r="D141" s="66"/>
      <c r="E141" s="66"/>
      <c r="F141" s="67"/>
    </row>
    <row r="142" spans="1:6">
      <c r="A142"/>
      <c r="B142"/>
      <c r="C142" s="66"/>
      <c r="D142" s="66"/>
      <c r="E142" s="66"/>
      <c r="F142" s="67"/>
    </row>
    <row r="143" spans="1:6">
      <c r="A143"/>
      <c r="B143"/>
      <c r="C143" s="66"/>
      <c r="D143" s="66"/>
      <c r="E143" s="66"/>
      <c r="F143" s="67"/>
    </row>
    <row r="144" spans="1:6">
      <c r="A144"/>
      <c r="B144"/>
      <c r="C144" s="66"/>
      <c r="D144" s="66"/>
      <c r="E144" s="66"/>
      <c r="F144" s="67"/>
    </row>
    <row r="145" spans="1:6">
      <c r="A145"/>
      <c r="B145"/>
      <c r="C145" s="66"/>
      <c r="D145" s="66"/>
      <c r="E145" s="66"/>
      <c r="F145" s="67"/>
    </row>
    <row r="146" spans="1:6">
      <c r="A146"/>
      <c r="B146"/>
      <c r="C146" s="66"/>
      <c r="D146" s="66"/>
      <c r="E146" s="66"/>
      <c r="F146" s="67"/>
    </row>
    <row r="147" spans="1:6">
      <c r="A147"/>
      <c r="B147"/>
      <c r="C147" s="66"/>
      <c r="D147" s="66"/>
      <c r="E147" s="66"/>
      <c r="F147" s="67"/>
    </row>
    <row r="148" spans="1:6">
      <c r="A148"/>
      <c r="B148"/>
      <c r="C148" s="66"/>
      <c r="D148" s="66"/>
      <c r="E148" s="66"/>
      <c r="F148" s="67"/>
    </row>
    <row r="149" spans="1:6">
      <c r="A149"/>
      <c r="B149"/>
      <c r="C149" s="66"/>
      <c r="D149" s="66"/>
      <c r="E149" s="66"/>
      <c r="F149" s="67"/>
    </row>
    <row r="150" spans="1:6">
      <c r="A150"/>
      <c r="B150"/>
      <c r="C150" s="66"/>
      <c r="D150" s="66"/>
      <c r="E150" s="66"/>
      <c r="F150" s="67"/>
    </row>
    <row r="151" spans="1:6">
      <c r="A151"/>
      <c r="B151"/>
      <c r="C151" s="66"/>
      <c r="D151" s="66"/>
      <c r="E151" s="66"/>
      <c r="F151" s="67"/>
    </row>
    <row r="152" spans="1:6">
      <c r="A152"/>
      <c r="B152"/>
      <c r="C152" s="66"/>
      <c r="D152" s="66"/>
      <c r="E152" s="66"/>
      <c r="F152" s="67"/>
    </row>
    <row r="153" spans="1:6">
      <c r="A153"/>
      <c r="B153"/>
      <c r="C153" s="66"/>
      <c r="D153" s="66"/>
      <c r="E153" s="66"/>
      <c r="F153" s="67"/>
    </row>
    <row r="154" spans="1:6">
      <c r="A154"/>
      <c r="B154"/>
      <c r="C154" s="66"/>
      <c r="D154" s="66"/>
      <c r="E154" s="66"/>
      <c r="F154" s="67"/>
    </row>
    <row r="155" spans="1:6">
      <c r="A155"/>
      <c r="B155"/>
      <c r="C155" s="66"/>
      <c r="D155" s="66"/>
      <c r="E155" s="66"/>
      <c r="F155" s="67"/>
    </row>
    <row r="156" spans="1:6">
      <c r="A156"/>
      <c r="B156"/>
      <c r="C156" s="66"/>
      <c r="D156" s="66"/>
      <c r="E156" s="66"/>
      <c r="F156" s="67"/>
    </row>
    <row r="157" spans="1:6">
      <c r="A157"/>
      <c r="B157"/>
      <c r="C157" s="66"/>
      <c r="D157" s="66"/>
      <c r="E157" s="66"/>
      <c r="F157" s="67"/>
    </row>
    <row r="158" spans="1:6">
      <c r="A158"/>
      <c r="B158"/>
      <c r="C158" s="66"/>
      <c r="D158" s="66"/>
      <c r="E158" s="66"/>
      <c r="F158" s="67"/>
    </row>
    <row r="159" spans="1:6">
      <c r="A159"/>
      <c r="B159"/>
      <c r="C159" s="66"/>
      <c r="D159" s="66"/>
      <c r="E159" s="66"/>
      <c r="F159" s="67"/>
    </row>
    <row r="160" spans="1:6">
      <c r="A160"/>
      <c r="B160"/>
      <c r="C160" s="66"/>
      <c r="D160" s="66"/>
      <c r="E160" s="66"/>
      <c r="F160" s="67"/>
    </row>
    <row r="161" spans="1:6">
      <c r="A161"/>
      <c r="B161"/>
      <c r="C161" s="66"/>
      <c r="D161" s="66"/>
      <c r="E161" s="66"/>
      <c r="F161" s="67"/>
    </row>
    <row r="162" spans="1:6">
      <c r="A162"/>
      <c r="B162"/>
      <c r="C162" s="66"/>
      <c r="D162" s="66"/>
      <c r="E162" s="66"/>
      <c r="F162" s="67"/>
    </row>
    <row r="163" spans="1:6">
      <c r="A163"/>
      <c r="B163"/>
      <c r="C163" s="66"/>
      <c r="D163" s="66"/>
      <c r="E163" s="66"/>
      <c r="F163" s="67"/>
    </row>
    <row r="164" spans="1:6">
      <c r="A164"/>
      <c r="B164"/>
      <c r="C164" s="66"/>
      <c r="D164" s="66"/>
      <c r="E164" s="66"/>
      <c r="F164" s="67"/>
    </row>
    <row r="165" spans="1:6">
      <c r="A165"/>
      <c r="B165"/>
      <c r="C165" s="66"/>
      <c r="D165" s="66"/>
      <c r="E165" s="66"/>
      <c r="F165" s="67"/>
    </row>
    <row r="166" spans="1:6">
      <c r="A166"/>
      <c r="B166"/>
      <c r="C166" s="66"/>
      <c r="D166" s="66"/>
      <c r="E166" s="66"/>
      <c r="F166" s="67"/>
    </row>
    <row r="167" spans="1:6">
      <c r="A167"/>
      <c r="B167"/>
      <c r="C167" s="66"/>
      <c r="D167" s="66"/>
      <c r="E167" s="66"/>
      <c r="F167" s="67"/>
    </row>
    <row r="168" spans="1:6">
      <c r="A168"/>
      <c r="B168"/>
      <c r="C168" s="66"/>
      <c r="D168" s="66"/>
      <c r="E168" s="66"/>
      <c r="F168" s="67"/>
    </row>
    <row r="169" spans="1:6">
      <c r="A169"/>
      <c r="B169"/>
      <c r="C169" s="66"/>
      <c r="D169" s="66"/>
      <c r="E169" s="66"/>
      <c r="F169" s="67"/>
    </row>
    <row r="170" spans="1:6">
      <c r="A170"/>
      <c r="B170"/>
      <c r="C170" s="66"/>
      <c r="D170" s="66"/>
      <c r="E170" s="66"/>
      <c r="F170" s="67"/>
    </row>
    <row r="171" spans="1:6">
      <c r="A171"/>
      <c r="B171"/>
      <c r="C171" s="66"/>
      <c r="D171" s="66"/>
      <c r="E171" s="66"/>
      <c r="F171" s="67"/>
    </row>
    <row r="172" spans="1:6">
      <c r="A172"/>
      <c r="B172"/>
      <c r="C172" s="66"/>
      <c r="D172" s="66"/>
      <c r="E172" s="66"/>
      <c r="F172" s="67"/>
    </row>
    <row r="173" spans="1:6">
      <c r="A173"/>
      <c r="B173"/>
      <c r="C173" s="66"/>
      <c r="D173" s="66"/>
      <c r="E173" s="66"/>
      <c r="F173" s="67"/>
    </row>
    <row r="174" spans="1:6">
      <c r="A174"/>
      <c r="B174"/>
      <c r="C174" s="66"/>
      <c r="D174" s="66"/>
      <c r="E174" s="66"/>
      <c r="F174" s="67"/>
    </row>
    <row r="175" spans="1:6">
      <c r="A175"/>
      <c r="B175"/>
      <c r="C175" s="66"/>
      <c r="D175" s="66"/>
      <c r="E175" s="66"/>
      <c r="F175" s="67"/>
    </row>
    <row r="176" spans="1:6">
      <c r="A176"/>
      <c r="B176"/>
      <c r="C176" s="66"/>
      <c r="D176" s="66"/>
      <c r="E176" s="66"/>
      <c r="F176" s="67"/>
    </row>
    <row r="177" spans="1:6">
      <c r="A177"/>
      <c r="B177"/>
      <c r="C177" s="66"/>
      <c r="D177" s="66"/>
      <c r="E177" s="66"/>
      <c r="F177" s="67"/>
    </row>
    <row r="178" spans="1:6">
      <c r="A178"/>
      <c r="B178"/>
      <c r="C178" s="66"/>
      <c r="D178" s="66"/>
      <c r="E178" s="66"/>
      <c r="F178" s="67"/>
    </row>
    <row r="179" spans="1:6">
      <c r="A179"/>
      <c r="B179"/>
      <c r="C179" s="66"/>
      <c r="D179" s="66"/>
      <c r="E179" s="66"/>
      <c r="F179" s="67"/>
    </row>
    <row r="180" spans="1:6">
      <c r="A180"/>
      <c r="B180"/>
      <c r="C180" s="66"/>
      <c r="D180" s="66"/>
      <c r="E180" s="66"/>
      <c r="F180" s="67"/>
    </row>
    <row r="181" spans="1:6">
      <c r="A181"/>
      <c r="B181"/>
      <c r="C181" s="66"/>
      <c r="D181" s="66"/>
      <c r="E181" s="66"/>
      <c r="F181" s="67"/>
    </row>
    <row r="182" spans="1:6">
      <c r="A182"/>
      <c r="B182"/>
      <c r="C182" s="66"/>
      <c r="D182" s="66"/>
      <c r="E182" s="66"/>
      <c r="F182" s="67"/>
    </row>
    <row r="183" spans="1:6">
      <c r="A183"/>
      <c r="B183"/>
      <c r="C183" s="66"/>
      <c r="D183" s="66"/>
      <c r="E183" s="66"/>
      <c r="F183" s="67"/>
    </row>
    <row r="184" spans="1:6">
      <c r="A184"/>
      <c r="B184"/>
      <c r="C184" s="66"/>
      <c r="D184" s="66"/>
      <c r="E184" s="66"/>
      <c r="F184" s="67"/>
    </row>
    <row r="185" spans="1:6">
      <c r="A185"/>
      <c r="B185"/>
      <c r="C185" s="66"/>
      <c r="D185" s="66"/>
      <c r="E185" s="66"/>
      <c r="F185" s="67"/>
    </row>
    <row r="186" spans="1:6">
      <c r="A186"/>
      <c r="B186"/>
      <c r="C186" s="66"/>
      <c r="D186" s="66"/>
      <c r="E186" s="66"/>
      <c r="F186" s="67"/>
    </row>
    <row r="187" spans="1:6">
      <c r="A187"/>
      <c r="B187"/>
      <c r="C187" s="66"/>
      <c r="D187" s="66"/>
      <c r="E187" s="66"/>
      <c r="F187" s="67"/>
    </row>
    <row r="188" spans="1:6">
      <c r="A188"/>
      <c r="B188"/>
      <c r="C188" s="66"/>
      <c r="D188" s="66"/>
      <c r="E188" s="66"/>
      <c r="F188" s="67"/>
    </row>
    <row r="189" spans="1:6">
      <c r="A189"/>
      <c r="B189"/>
      <c r="C189" s="66"/>
      <c r="D189" s="66"/>
      <c r="E189" s="66"/>
      <c r="F189" s="67"/>
    </row>
    <row r="190" spans="1:6">
      <c r="A190"/>
      <c r="B190"/>
      <c r="C190" s="66"/>
      <c r="D190" s="66"/>
      <c r="E190" s="66"/>
      <c r="F190" s="67"/>
    </row>
    <row r="191" spans="1:6">
      <c r="A191"/>
      <c r="B191"/>
      <c r="C191" s="66"/>
      <c r="D191" s="66"/>
      <c r="E191" s="66"/>
      <c r="F191" s="67"/>
    </row>
    <row r="192" spans="1:6">
      <c r="A192"/>
      <c r="B192"/>
      <c r="C192" s="66"/>
      <c r="D192" s="66"/>
      <c r="E192" s="66"/>
      <c r="F192" s="67"/>
    </row>
    <row r="193" spans="1:6">
      <c r="A193"/>
      <c r="B193"/>
      <c r="C193" s="66"/>
      <c r="D193" s="66"/>
      <c r="E193" s="66"/>
      <c r="F193" s="67"/>
    </row>
    <row r="194" spans="1:6">
      <c r="A194"/>
      <c r="B194"/>
      <c r="C194" s="66"/>
      <c r="D194" s="66"/>
      <c r="E194" s="66"/>
      <c r="F194" s="67"/>
    </row>
    <row r="195" spans="1:6">
      <c r="A195"/>
      <c r="B195"/>
      <c r="C195" s="66"/>
      <c r="D195" s="66"/>
      <c r="E195" s="66"/>
      <c r="F195" s="67"/>
    </row>
    <row r="196" spans="1:6">
      <c r="A196"/>
      <c r="B196"/>
      <c r="C196" s="66"/>
      <c r="D196" s="66"/>
      <c r="E196" s="66"/>
      <c r="F196" s="67"/>
    </row>
    <row r="197" spans="1:6">
      <c r="A197"/>
      <c r="B197"/>
      <c r="C197" s="66"/>
      <c r="D197" s="66"/>
      <c r="E197" s="66"/>
      <c r="F197" s="67"/>
    </row>
    <row r="198" spans="1:6">
      <c r="A198"/>
      <c r="B198"/>
      <c r="C198" s="66"/>
      <c r="D198" s="66"/>
      <c r="E198" s="66"/>
      <c r="F198" s="67"/>
    </row>
    <row r="199" spans="1:6">
      <c r="A199"/>
      <c r="B199"/>
      <c r="C199" s="66"/>
      <c r="D199" s="66"/>
      <c r="E199" s="66"/>
      <c r="F199" s="67"/>
    </row>
    <row r="200" spans="1:6">
      <c r="A200"/>
      <c r="B200"/>
      <c r="C200" s="66"/>
      <c r="D200" s="66"/>
      <c r="E200" s="66"/>
      <c r="F200" s="67"/>
    </row>
    <row r="201" spans="1:6">
      <c r="A201"/>
      <c r="B201"/>
      <c r="C201" s="66"/>
      <c r="D201" s="66"/>
      <c r="E201" s="66"/>
      <c r="F201" s="67"/>
    </row>
    <row r="202" spans="1:6">
      <c r="A202"/>
      <c r="B202"/>
      <c r="C202" s="66"/>
      <c r="D202" s="66"/>
      <c r="E202" s="66"/>
      <c r="F202" s="67"/>
    </row>
    <row r="203" spans="1:6">
      <c r="A203"/>
      <c r="B203"/>
      <c r="C203" s="66"/>
      <c r="D203" s="66"/>
      <c r="E203" s="66"/>
      <c r="F203" s="67"/>
    </row>
    <row r="204" spans="1:6">
      <c r="A204"/>
      <c r="B204"/>
      <c r="C204" s="66"/>
      <c r="D204" s="66"/>
      <c r="E204" s="66"/>
      <c r="F204" s="67"/>
    </row>
    <row r="205" spans="1:6">
      <c r="A205"/>
      <c r="B205"/>
      <c r="C205" s="66"/>
      <c r="D205" s="66"/>
      <c r="E205" s="66"/>
      <c r="F205" s="67"/>
    </row>
    <row r="206" spans="1:6">
      <c r="A206"/>
      <c r="B206"/>
      <c r="C206" s="66"/>
      <c r="D206" s="66"/>
      <c r="E206" s="66"/>
      <c r="F206" s="67"/>
    </row>
    <row r="207" spans="1:6">
      <c r="A207"/>
      <c r="B207"/>
      <c r="C207" s="66"/>
      <c r="D207" s="66"/>
      <c r="E207" s="66"/>
      <c r="F207" s="67"/>
    </row>
    <row r="208" spans="1:6">
      <c r="A208"/>
      <c r="B208"/>
      <c r="C208" s="66"/>
      <c r="D208" s="66"/>
      <c r="E208" s="66"/>
      <c r="F208" s="67"/>
    </row>
    <row r="209" spans="1:6">
      <c r="A209"/>
      <c r="B209"/>
      <c r="C209" s="66"/>
      <c r="D209" s="66"/>
      <c r="E209" s="66"/>
      <c r="F209" s="67"/>
    </row>
    <row r="210" spans="1:6">
      <c r="A210"/>
      <c r="B210"/>
      <c r="C210" s="66"/>
      <c r="D210" s="66"/>
      <c r="E210" s="66"/>
      <c r="F210" s="67"/>
    </row>
    <row r="211" spans="1:6">
      <c r="A211"/>
      <c r="B211"/>
      <c r="C211" s="66"/>
      <c r="D211" s="66"/>
      <c r="E211" s="66"/>
      <c r="F211" s="67"/>
    </row>
    <row r="212" spans="1:6">
      <c r="A212"/>
      <c r="B212"/>
      <c r="C212" s="66"/>
      <c r="D212" s="66"/>
      <c r="E212" s="66"/>
      <c r="F212" s="67"/>
    </row>
    <row r="213" spans="1:6">
      <c r="A213"/>
      <c r="B213"/>
      <c r="C213" s="66"/>
      <c r="D213" s="66"/>
      <c r="E213" s="66"/>
      <c r="F213" s="67"/>
    </row>
    <row r="214" spans="1:6">
      <c r="A214"/>
      <c r="B214"/>
      <c r="C214" s="66"/>
      <c r="D214" s="66"/>
      <c r="E214" s="66"/>
      <c r="F214" s="67"/>
    </row>
    <row r="215" spans="1:6">
      <c r="A215"/>
      <c r="B215"/>
      <c r="C215" s="66"/>
      <c r="D215" s="66"/>
      <c r="E215" s="66"/>
      <c r="F215" s="67"/>
    </row>
    <row r="216" spans="1:6">
      <c r="A216"/>
      <c r="B216"/>
      <c r="C216" s="66"/>
      <c r="D216" s="66"/>
      <c r="E216" s="66"/>
      <c r="F216" s="67"/>
    </row>
    <row r="217" spans="1:6">
      <c r="A217"/>
      <c r="B217"/>
      <c r="C217" s="66"/>
      <c r="D217" s="66"/>
      <c r="E217" s="66"/>
      <c r="F217" s="67"/>
    </row>
    <row r="218" spans="1:6">
      <c r="A218"/>
      <c r="B218"/>
      <c r="C218" s="66"/>
      <c r="D218" s="66"/>
      <c r="E218" s="66"/>
      <c r="F218" s="67"/>
    </row>
    <row r="219" spans="1:6">
      <c r="A219"/>
      <c r="B219"/>
      <c r="C219" s="66"/>
      <c r="D219" s="66"/>
      <c r="E219" s="66"/>
      <c r="F219" s="67"/>
    </row>
    <row r="220" spans="1:6">
      <c r="A220"/>
      <c r="B220"/>
      <c r="C220" s="66"/>
      <c r="D220" s="66"/>
      <c r="E220" s="66"/>
      <c r="F220" s="67"/>
    </row>
    <row r="221" spans="1:6">
      <c r="A221"/>
      <c r="B221"/>
      <c r="C221" s="66"/>
      <c r="D221" s="66"/>
      <c r="E221" s="66"/>
      <c r="F221" s="67"/>
    </row>
    <row r="222" spans="1:6">
      <c r="A222"/>
      <c r="B222"/>
      <c r="C222" s="66"/>
      <c r="D222" s="66"/>
      <c r="E222" s="66"/>
      <c r="F222" s="67"/>
    </row>
    <row r="223" spans="1:6">
      <c r="A223"/>
      <c r="B223"/>
      <c r="C223" s="66"/>
      <c r="D223" s="66"/>
      <c r="E223" s="66"/>
      <c r="F223" s="67"/>
    </row>
    <row r="224" spans="1:6">
      <c r="A224"/>
      <c r="B224"/>
      <c r="C224" s="66"/>
      <c r="D224" s="66"/>
      <c r="E224" s="66"/>
      <c r="F224" s="67"/>
    </row>
    <row r="225" spans="1:6">
      <c r="A225"/>
      <c r="B225"/>
      <c r="C225" s="66"/>
      <c r="D225" s="66"/>
      <c r="E225" s="66"/>
      <c r="F225" s="67"/>
    </row>
    <row r="226" spans="1:6">
      <c r="A226"/>
      <c r="B226"/>
      <c r="C226" s="66"/>
      <c r="D226" s="66"/>
      <c r="E226" s="66"/>
      <c r="F226" s="67"/>
    </row>
    <row r="227" spans="1:6">
      <c r="A227"/>
      <c r="B227"/>
      <c r="C227" s="66"/>
      <c r="D227" s="66"/>
      <c r="E227" s="66"/>
      <c r="F227" s="67"/>
    </row>
    <row r="228" spans="1:6">
      <c r="A228"/>
      <c r="B228"/>
      <c r="C228" s="66"/>
      <c r="D228" s="66"/>
      <c r="E228" s="66"/>
      <c r="F228" s="67"/>
    </row>
    <row r="229" spans="1:6">
      <c r="A229"/>
      <c r="B229"/>
      <c r="C229" s="66"/>
      <c r="D229" s="66"/>
      <c r="E229" s="66"/>
      <c r="F229" s="67"/>
    </row>
    <row r="230" spans="1:6">
      <c r="A230"/>
      <c r="B230"/>
      <c r="C230" s="66"/>
      <c r="D230" s="66"/>
      <c r="E230" s="66"/>
      <c r="F230" s="67"/>
    </row>
    <row r="231" spans="1:6">
      <c r="A231"/>
      <c r="B231"/>
      <c r="C231" s="66"/>
      <c r="D231" s="66"/>
      <c r="E231" s="66"/>
      <c r="F231" s="67"/>
    </row>
    <row r="232" spans="1:6">
      <c r="A232"/>
      <c r="B232"/>
      <c r="C232" s="66"/>
      <c r="D232" s="66"/>
      <c r="E232" s="66"/>
      <c r="F232" s="67"/>
    </row>
    <row r="233" spans="1:6">
      <c r="A233"/>
      <c r="B233"/>
      <c r="C233" s="66"/>
      <c r="D233" s="66"/>
      <c r="E233" s="66"/>
      <c r="F233" s="67"/>
    </row>
    <row r="234" spans="1:6">
      <c r="A234"/>
      <c r="B234"/>
      <c r="C234" s="66"/>
      <c r="D234" s="66"/>
      <c r="E234" s="66"/>
      <c r="F234" s="67"/>
    </row>
    <row r="235" spans="1:6">
      <c r="A235"/>
      <c r="B235"/>
      <c r="C235" s="66"/>
      <c r="D235" s="66"/>
      <c r="E235" s="66"/>
      <c r="F235" s="67"/>
    </row>
    <row r="236" spans="1:6">
      <c r="A236"/>
      <c r="B236"/>
      <c r="C236" s="66"/>
      <c r="D236" s="66"/>
      <c r="E236" s="66"/>
      <c r="F236" s="67"/>
    </row>
    <row r="237" spans="1:6">
      <c r="A237"/>
      <c r="B237"/>
      <c r="C237" s="66"/>
      <c r="D237" s="66"/>
      <c r="E237" s="66"/>
      <c r="F237" s="67"/>
    </row>
    <row r="238" spans="1:6">
      <c r="A238"/>
      <c r="B238"/>
      <c r="C238" s="66"/>
      <c r="D238" s="66"/>
      <c r="E238" s="66"/>
      <c r="F238" s="67"/>
    </row>
    <row r="239" spans="1:6">
      <c r="A239"/>
      <c r="B239"/>
      <c r="C239" s="66"/>
      <c r="D239" s="66"/>
      <c r="E239" s="66"/>
      <c r="F239" s="67"/>
    </row>
    <row r="240" spans="1:6">
      <c r="A240"/>
      <c r="B240"/>
      <c r="C240" s="66"/>
      <c r="D240" s="66"/>
      <c r="E240" s="66"/>
      <c r="F240" s="67"/>
    </row>
    <row r="241" spans="1:6">
      <c r="A241"/>
      <c r="B241"/>
      <c r="C241" s="66"/>
      <c r="D241" s="66"/>
      <c r="E241" s="66"/>
      <c r="F241" s="67"/>
    </row>
    <row r="242" spans="1:6">
      <c r="A242"/>
      <c r="B242"/>
      <c r="C242" s="66"/>
      <c r="D242" s="66"/>
      <c r="E242" s="66"/>
      <c r="F242" s="67"/>
    </row>
    <row r="243" spans="1:6">
      <c r="A243"/>
      <c r="B243"/>
      <c r="C243" s="66"/>
      <c r="D243" s="66"/>
      <c r="E243" s="66"/>
      <c r="F243" s="67"/>
    </row>
    <row r="244" spans="1:6">
      <c r="A244"/>
      <c r="B244"/>
      <c r="C244" s="66"/>
      <c r="D244" s="66"/>
      <c r="E244" s="66"/>
      <c r="F244" s="67"/>
    </row>
    <row r="245" spans="1:6">
      <c r="A245"/>
      <c r="B245"/>
      <c r="C245" s="66"/>
      <c r="D245" s="66"/>
      <c r="E245" s="66"/>
      <c r="F245" s="67"/>
    </row>
    <row r="246" spans="1:6">
      <c r="A246"/>
      <c r="B246"/>
      <c r="C246" s="66"/>
      <c r="D246" s="66"/>
      <c r="E246" s="66"/>
      <c r="F246" s="67"/>
    </row>
    <row r="247" spans="1:6">
      <c r="A247"/>
      <c r="B247"/>
      <c r="C247" s="66"/>
      <c r="D247" s="66"/>
      <c r="E247" s="66"/>
      <c r="F247" s="67"/>
    </row>
    <row r="248" spans="1:6">
      <c r="A248"/>
      <c r="B248"/>
      <c r="C248" s="66"/>
      <c r="D248" s="66"/>
      <c r="E248" s="66"/>
      <c r="F248" s="67"/>
    </row>
    <row r="249" spans="1:6">
      <c r="A249"/>
      <c r="B249"/>
      <c r="C249" s="66"/>
      <c r="D249" s="66"/>
      <c r="E249" s="66"/>
      <c r="F249" s="67"/>
    </row>
    <row r="250" spans="1:6">
      <c r="A250"/>
      <c r="B250"/>
      <c r="C250" s="66"/>
      <c r="D250" s="66"/>
      <c r="E250" s="66"/>
      <c r="F250" s="67"/>
    </row>
    <row r="251" spans="1:6">
      <c r="A251"/>
      <c r="B251"/>
      <c r="C251" s="66"/>
      <c r="D251" s="66"/>
      <c r="E251" s="66"/>
      <c r="F251" s="67"/>
    </row>
    <row r="252" spans="1:6">
      <c r="A252"/>
      <c r="B252"/>
      <c r="C252" s="66"/>
      <c r="D252" s="66"/>
      <c r="E252" s="66"/>
      <c r="F252" s="67"/>
    </row>
    <row r="253" spans="1:6">
      <c r="A253"/>
      <c r="B253"/>
      <c r="C253" s="66"/>
      <c r="D253" s="66"/>
      <c r="E253" s="66"/>
      <c r="F253" s="67"/>
    </row>
    <row r="254" spans="1:6">
      <c r="A254"/>
      <c r="B254"/>
      <c r="C254" s="66"/>
      <c r="D254" s="66"/>
      <c r="E254" s="66"/>
      <c r="F254" s="67"/>
    </row>
    <row r="255" spans="1:6">
      <c r="A255"/>
      <c r="B255"/>
      <c r="C255" s="66"/>
      <c r="D255" s="66"/>
      <c r="E255" s="66"/>
      <c r="F255" s="67"/>
    </row>
    <row r="256" spans="1:6">
      <c r="A256"/>
      <c r="B256"/>
      <c r="C256" s="66"/>
      <c r="D256" s="66"/>
      <c r="E256" s="66"/>
      <c r="F256" s="67"/>
    </row>
    <row r="257" spans="1:6">
      <c r="A257"/>
      <c r="B257"/>
      <c r="C257" s="66"/>
      <c r="D257" s="66"/>
      <c r="E257" s="66"/>
      <c r="F257" s="67"/>
    </row>
    <row r="258" spans="1:6">
      <c r="A258"/>
      <c r="B258"/>
      <c r="C258" s="66"/>
      <c r="D258" s="66"/>
      <c r="E258" s="66"/>
      <c r="F258" s="67"/>
    </row>
    <row r="259" spans="1:6">
      <c r="A259"/>
      <c r="B259"/>
      <c r="C259" s="66"/>
      <c r="D259" s="66"/>
      <c r="E259" s="66"/>
      <c r="F259" s="67"/>
    </row>
    <row r="260" spans="1:6">
      <c r="A260"/>
      <c r="B260"/>
      <c r="C260" s="66"/>
      <c r="D260" s="66"/>
      <c r="E260" s="66"/>
      <c r="F260" s="67"/>
    </row>
    <row r="261" spans="1:6">
      <c r="A261"/>
      <c r="B261"/>
      <c r="C261" s="66"/>
      <c r="D261" s="66"/>
      <c r="E261" s="66"/>
      <c r="F261" s="67"/>
    </row>
    <row r="262" spans="1:6">
      <c r="A262"/>
      <c r="B262"/>
      <c r="C262" s="66"/>
      <c r="D262" s="66"/>
      <c r="E262" s="66"/>
      <c r="F262" s="67"/>
    </row>
    <row r="263" spans="1:6">
      <c r="A263"/>
      <c r="B263"/>
      <c r="C263" s="66"/>
      <c r="D263" s="66"/>
      <c r="E263" s="66"/>
      <c r="F263" s="67"/>
    </row>
    <row r="264" spans="1:6">
      <c r="A264"/>
      <c r="B264"/>
      <c r="C264" s="66"/>
      <c r="D264" s="66"/>
      <c r="E264" s="66"/>
      <c r="F264" s="67"/>
    </row>
    <row r="265" spans="1:6">
      <c r="A265"/>
      <c r="B265"/>
      <c r="C265" s="66"/>
      <c r="D265" s="66"/>
      <c r="E265" s="66"/>
      <c r="F265" s="67"/>
    </row>
    <row r="266" spans="1:6">
      <c r="A266"/>
      <c r="B266"/>
      <c r="C266" s="66"/>
      <c r="D266" s="66"/>
      <c r="E266" s="66"/>
      <c r="F266" s="67"/>
    </row>
    <row r="267" spans="1:6">
      <c r="A267"/>
      <c r="B267"/>
      <c r="C267" s="66"/>
      <c r="D267" s="66"/>
      <c r="E267" s="66"/>
      <c r="F267" s="67"/>
    </row>
    <row r="268" spans="1:6">
      <c r="A268"/>
      <c r="B268"/>
      <c r="C268" s="66"/>
      <c r="D268" s="66"/>
      <c r="E268" s="66"/>
      <c r="F268" s="67"/>
    </row>
    <row r="269" spans="1:6">
      <c r="A269"/>
      <c r="B269"/>
      <c r="C269" s="66"/>
      <c r="D269" s="66"/>
      <c r="E269" s="66"/>
      <c r="F269" s="67"/>
    </row>
    <row r="270" spans="1:6">
      <c r="A270"/>
      <c r="B270"/>
      <c r="C270" s="66"/>
      <c r="D270" s="66"/>
      <c r="E270" s="66"/>
      <c r="F270" s="67"/>
    </row>
    <row r="271" spans="1:6">
      <c r="A271"/>
      <c r="B271"/>
      <c r="C271" s="66"/>
      <c r="D271" s="66"/>
      <c r="E271" s="66"/>
      <c r="F271" s="67"/>
    </row>
    <row r="272" spans="1:6">
      <c r="A272"/>
      <c r="B272"/>
      <c r="C272" s="66"/>
      <c r="D272" s="66"/>
      <c r="E272" s="66"/>
      <c r="F272" s="67"/>
    </row>
    <row r="273" spans="1:6">
      <c r="A273"/>
      <c r="B273"/>
      <c r="C273" s="66"/>
      <c r="D273" s="66"/>
      <c r="E273" s="66"/>
      <c r="F273" s="67"/>
    </row>
    <row r="274" spans="1:6">
      <c r="A274"/>
      <c r="B274"/>
      <c r="C274" s="66"/>
      <c r="D274" s="66"/>
      <c r="E274" s="66"/>
      <c r="F274" s="67"/>
    </row>
    <row r="275" spans="1:6">
      <c r="A275"/>
      <c r="B275"/>
      <c r="C275" s="66"/>
      <c r="D275" s="66"/>
      <c r="E275" s="66"/>
      <c r="F275" s="67"/>
    </row>
    <row r="276" spans="1:6">
      <c r="A276"/>
      <c r="B276"/>
      <c r="C276" s="66"/>
      <c r="D276" s="66"/>
      <c r="E276" s="66"/>
      <c r="F276" s="67"/>
    </row>
    <row r="277" spans="1:6">
      <c r="A277"/>
      <c r="B277"/>
      <c r="C277" s="66"/>
      <c r="D277" s="66"/>
      <c r="E277" s="66"/>
      <c r="F277" s="67"/>
    </row>
    <row r="278" spans="1:6">
      <c r="A278"/>
      <c r="B278"/>
      <c r="C278" s="66"/>
      <c r="D278" s="66"/>
      <c r="E278" s="66"/>
      <c r="F278" s="67"/>
    </row>
    <row r="279" spans="1:6">
      <c r="A279"/>
      <c r="B279"/>
      <c r="C279" s="66"/>
      <c r="D279" s="66"/>
      <c r="E279" s="66"/>
      <c r="F279" s="67"/>
    </row>
    <row r="280" spans="1:6">
      <c r="A280"/>
      <c r="B280"/>
      <c r="C280" s="66"/>
      <c r="D280" s="66"/>
      <c r="E280" s="66"/>
      <c r="F280" s="67"/>
    </row>
    <row r="281" spans="1:6">
      <c r="A281"/>
      <c r="B281"/>
      <c r="C281" s="66"/>
      <c r="D281" s="66"/>
      <c r="E281" s="66"/>
      <c r="F281" s="67"/>
    </row>
    <row r="282" spans="1:6">
      <c r="A282"/>
      <c r="B282"/>
      <c r="C282" s="66"/>
      <c r="D282" s="66"/>
      <c r="E282" s="66"/>
      <c r="F282" s="67"/>
    </row>
    <row r="283" spans="1:6">
      <c r="A283"/>
      <c r="B283"/>
      <c r="C283" s="66"/>
      <c r="D283" s="66"/>
      <c r="E283" s="66"/>
      <c r="F283" s="67"/>
    </row>
    <row r="284" spans="1:6">
      <c r="A284"/>
      <c r="B284"/>
      <c r="C284" s="66"/>
      <c r="D284" s="66"/>
      <c r="E284" s="66"/>
      <c r="F284" s="67"/>
    </row>
    <row r="285" spans="1:6">
      <c r="A285"/>
      <c r="B285"/>
      <c r="C285" s="66"/>
      <c r="D285" s="66"/>
      <c r="E285" s="66"/>
      <c r="F285" s="67"/>
    </row>
    <row r="286" spans="1:6">
      <c r="A286"/>
      <c r="B286"/>
      <c r="C286" s="66"/>
      <c r="D286" s="66"/>
      <c r="E286" s="66"/>
      <c r="F286" s="67"/>
    </row>
    <row r="287" spans="1:6">
      <c r="A287"/>
      <c r="B287"/>
      <c r="C287" s="66"/>
      <c r="D287" s="66"/>
      <c r="E287" s="66"/>
      <c r="F287" s="67"/>
    </row>
    <row r="288" spans="1:6">
      <c r="A288"/>
      <c r="B288"/>
      <c r="C288" s="66"/>
      <c r="D288" s="66"/>
      <c r="E288" s="66"/>
      <c r="F288" s="67"/>
    </row>
    <row r="289" spans="1:6">
      <c r="A289"/>
      <c r="B289"/>
      <c r="C289" s="66"/>
      <c r="D289" s="66"/>
      <c r="E289" s="66"/>
      <c r="F289" s="67"/>
    </row>
    <row r="290" spans="1:6">
      <c r="A290"/>
      <c r="B290"/>
      <c r="C290" s="66"/>
      <c r="D290" s="66"/>
      <c r="E290" s="66"/>
      <c r="F290" s="67"/>
    </row>
    <row r="291" spans="1:6">
      <c r="A291"/>
      <c r="B291"/>
      <c r="C291" s="66"/>
      <c r="D291" s="66"/>
      <c r="E291" s="66"/>
      <c r="F291" s="67"/>
    </row>
    <row r="292" spans="1:6">
      <c r="A292"/>
      <c r="B292"/>
      <c r="C292" s="66"/>
      <c r="D292" s="66"/>
      <c r="E292" s="66"/>
      <c r="F292" s="67"/>
    </row>
    <row r="293" spans="1:6">
      <c r="A293"/>
      <c r="B293"/>
      <c r="C293" s="66"/>
      <c r="D293" s="66"/>
      <c r="E293" s="66"/>
      <c r="F293" s="67"/>
    </row>
    <row r="294" spans="1:6">
      <c r="A294"/>
      <c r="B294"/>
      <c r="C294" s="66"/>
      <c r="D294" s="66"/>
      <c r="E294" s="66"/>
      <c r="F294" s="67"/>
    </row>
    <row r="295" spans="1:6">
      <c r="A295"/>
      <c r="B295"/>
      <c r="C295" s="66"/>
      <c r="D295" s="66"/>
      <c r="E295" s="66"/>
      <c r="F295" s="67"/>
    </row>
    <row r="296" spans="1:6">
      <c r="A296"/>
      <c r="B296"/>
      <c r="C296" s="66"/>
      <c r="D296" s="66"/>
      <c r="E296" s="66"/>
      <c r="F296" s="67"/>
    </row>
    <row r="297" spans="1:6">
      <c r="A297"/>
      <c r="B297"/>
      <c r="C297" s="66"/>
      <c r="D297" s="66"/>
      <c r="E297" s="66"/>
      <c r="F297" s="67"/>
    </row>
    <row r="298" spans="1:6">
      <c r="A298"/>
      <c r="B298"/>
      <c r="C298" s="66"/>
      <c r="D298" s="66"/>
      <c r="E298" s="66"/>
      <c r="F298" s="67"/>
    </row>
    <row r="299" spans="1:6">
      <c r="A299"/>
      <c r="B299"/>
      <c r="C299" s="66"/>
      <c r="D299" s="66"/>
      <c r="E299" s="66"/>
      <c r="F299" s="67"/>
    </row>
    <row r="300" spans="1:6">
      <c r="A300"/>
      <c r="B300"/>
      <c r="C300" s="66"/>
      <c r="D300" s="66"/>
      <c r="E300" s="66"/>
      <c r="F300" s="67"/>
    </row>
    <row r="301" spans="1:6">
      <c r="A301"/>
      <c r="B301"/>
      <c r="C301" s="66"/>
      <c r="D301" s="66"/>
      <c r="E301" s="66"/>
      <c r="F301" s="67"/>
    </row>
    <row r="302" spans="1:6">
      <c r="A302"/>
      <c r="B302"/>
      <c r="C302" s="66"/>
      <c r="D302" s="66"/>
      <c r="E302" s="66"/>
      <c r="F302" s="67"/>
    </row>
    <row r="303" spans="1:6">
      <c r="A303"/>
      <c r="B303"/>
      <c r="C303" s="66"/>
      <c r="D303" s="66"/>
      <c r="E303" s="66"/>
      <c r="F303" s="67"/>
    </row>
    <row r="304" spans="1:6">
      <c r="A304"/>
      <c r="B304"/>
      <c r="C304" s="66"/>
      <c r="D304" s="66"/>
      <c r="E304" s="66"/>
      <c r="F304" s="67"/>
    </row>
    <row r="305" spans="1:6">
      <c r="A305"/>
      <c r="B305"/>
      <c r="C305" s="66"/>
      <c r="D305" s="66"/>
      <c r="E305" s="66"/>
      <c r="F305" s="67"/>
    </row>
    <row r="306" spans="1:6">
      <c r="A306"/>
      <c r="B306"/>
      <c r="C306" s="66"/>
      <c r="D306" s="66"/>
      <c r="E306" s="66"/>
      <c r="F306" s="67"/>
    </row>
    <row r="307" spans="1:6">
      <c r="A307"/>
      <c r="B307"/>
      <c r="C307" s="66"/>
      <c r="D307" s="66"/>
      <c r="E307" s="66"/>
      <c r="F307" s="67"/>
    </row>
    <row r="308" spans="1:6">
      <c r="A308"/>
      <c r="B308"/>
      <c r="C308" s="66"/>
      <c r="D308" s="66"/>
      <c r="E308" s="66"/>
      <c r="F308" s="67"/>
    </row>
    <row r="309" spans="1:6">
      <c r="A309"/>
      <c r="B309"/>
      <c r="C309" s="66"/>
      <c r="D309" s="66"/>
      <c r="E309" s="66"/>
      <c r="F309" s="67"/>
    </row>
    <row r="310" spans="1:6">
      <c r="A310"/>
      <c r="B310"/>
      <c r="C310" s="66"/>
      <c r="D310" s="66"/>
      <c r="E310" s="66"/>
      <c r="F310" s="67"/>
    </row>
    <row r="311" spans="1:6">
      <c r="A311"/>
      <c r="B311"/>
      <c r="C311" s="66"/>
      <c r="D311" s="66"/>
      <c r="E311" s="66"/>
      <c r="F311" s="67"/>
    </row>
    <row r="312" spans="1:6">
      <c r="A312"/>
      <c r="B312"/>
      <c r="C312" s="66"/>
      <c r="D312" s="66"/>
      <c r="E312" s="66"/>
      <c r="F312" s="67"/>
    </row>
    <row r="313" spans="1:6">
      <c r="A313"/>
      <c r="B313"/>
      <c r="C313" s="66"/>
      <c r="D313" s="66"/>
      <c r="E313" s="66"/>
      <c r="F313" s="67"/>
    </row>
    <row r="314" spans="1:6">
      <c r="A314"/>
      <c r="B314"/>
      <c r="C314" s="66"/>
      <c r="D314" s="66"/>
      <c r="E314" s="66"/>
      <c r="F314" s="67"/>
    </row>
    <row r="315" spans="1:6">
      <c r="A315"/>
      <c r="B315"/>
      <c r="C315" s="66"/>
      <c r="D315" s="66"/>
      <c r="E315" s="66"/>
      <c r="F315" s="67"/>
    </row>
    <row r="316" spans="1:6">
      <c r="A316"/>
      <c r="B316"/>
      <c r="C316" s="66"/>
      <c r="D316" s="66"/>
      <c r="E316" s="66"/>
      <c r="F316" s="67"/>
    </row>
    <row r="317" spans="1:6">
      <c r="A317"/>
      <c r="B317"/>
      <c r="C317" s="66"/>
      <c r="D317" s="66"/>
      <c r="E317" s="66"/>
      <c r="F317" s="67"/>
    </row>
    <row r="318" spans="1:6">
      <c r="A318"/>
      <c r="B318"/>
      <c r="C318" s="66"/>
      <c r="D318" s="66"/>
      <c r="E318" s="66"/>
      <c r="F318" s="67"/>
    </row>
    <row r="319" spans="1:6">
      <c r="A319"/>
      <c r="B319"/>
      <c r="C319" s="66"/>
      <c r="D319" s="66"/>
      <c r="E319" s="66"/>
      <c r="F319" s="67"/>
    </row>
    <row r="320" spans="1:6">
      <c r="C320" s="67"/>
      <c r="D320" s="67"/>
      <c r="E320" s="67"/>
      <c r="F320" s="67"/>
    </row>
    <row r="321" spans="3:6">
      <c r="C321" s="67"/>
      <c r="D321" s="67"/>
      <c r="E321" s="67"/>
      <c r="F321" s="67"/>
    </row>
    <row r="322" spans="3:6">
      <c r="C322" s="67"/>
      <c r="D322" s="67"/>
      <c r="E322" s="67"/>
      <c r="F322" s="67"/>
    </row>
    <row r="323" spans="3:6">
      <c r="C323" s="67"/>
      <c r="D323" s="67"/>
      <c r="E323" s="67"/>
      <c r="F323" s="67"/>
    </row>
    <row r="324" spans="3:6">
      <c r="C324" s="67"/>
      <c r="D324" s="67"/>
      <c r="E324" s="67"/>
      <c r="F324" s="67"/>
    </row>
    <row r="325" spans="3:6">
      <c r="C325" s="67"/>
      <c r="D325" s="67"/>
      <c r="E325" s="67"/>
      <c r="F325" s="67"/>
    </row>
    <row r="326" spans="3:6">
      <c r="C326" s="67"/>
      <c r="D326" s="67"/>
      <c r="E326" s="67"/>
      <c r="F326" s="67"/>
    </row>
    <row r="327" spans="3:6">
      <c r="C327" s="67"/>
      <c r="D327" s="67"/>
      <c r="E327" s="67"/>
      <c r="F327" s="67"/>
    </row>
    <row r="328" spans="3:6">
      <c r="C328" s="67"/>
      <c r="D328" s="67"/>
      <c r="E328" s="67"/>
      <c r="F328" s="67"/>
    </row>
    <row r="329" spans="3:6">
      <c r="C329" s="67"/>
      <c r="D329" s="67"/>
      <c r="E329" s="67"/>
      <c r="F329" s="67"/>
    </row>
    <row r="330" spans="3:6">
      <c r="C330" s="67"/>
      <c r="D330" s="67"/>
      <c r="E330" s="67"/>
      <c r="F330" s="67"/>
    </row>
    <row r="331" spans="3:6">
      <c r="C331" s="67"/>
      <c r="D331" s="67"/>
      <c r="E331" s="67"/>
      <c r="F331" s="67"/>
    </row>
    <row r="332" spans="3:6">
      <c r="C332" s="67"/>
      <c r="D332" s="67"/>
      <c r="E332" s="67"/>
      <c r="F332" s="67"/>
    </row>
    <row r="333" spans="3:6">
      <c r="C333" s="67"/>
      <c r="D333" s="67"/>
      <c r="E333" s="67"/>
      <c r="F333" s="67"/>
    </row>
    <row r="334" spans="3:6">
      <c r="C334" s="67"/>
      <c r="D334" s="67"/>
      <c r="E334" s="67"/>
      <c r="F334" s="67"/>
    </row>
    <row r="335" spans="3:6">
      <c r="C335" s="67"/>
      <c r="D335" s="67"/>
      <c r="E335" s="67"/>
      <c r="F335" s="67"/>
    </row>
    <row r="336" spans="3:6">
      <c r="C336" s="67"/>
      <c r="D336" s="67"/>
      <c r="E336" s="67"/>
      <c r="F336" s="67"/>
    </row>
    <row r="337" spans="3:6">
      <c r="C337" s="67"/>
      <c r="D337" s="67"/>
      <c r="E337" s="67"/>
      <c r="F337" s="67"/>
    </row>
    <row r="338" spans="3:6">
      <c r="C338" s="67"/>
      <c r="D338" s="67"/>
      <c r="E338" s="67"/>
      <c r="F338" s="67"/>
    </row>
    <row r="339" spans="3:6">
      <c r="C339" s="67"/>
      <c r="D339" s="67"/>
      <c r="E339" s="67"/>
      <c r="F339" s="67"/>
    </row>
    <row r="340" spans="3:6">
      <c r="C340" s="67"/>
      <c r="D340" s="67"/>
      <c r="E340" s="67"/>
      <c r="F340" s="67"/>
    </row>
    <row r="341" spans="3:6">
      <c r="C341" s="67"/>
      <c r="D341" s="67"/>
      <c r="E341" s="67"/>
      <c r="F341" s="67"/>
    </row>
    <row r="342" spans="3:6">
      <c r="C342" s="67"/>
      <c r="D342" s="67"/>
      <c r="E342" s="67"/>
      <c r="F342" s="67"/>
    </row>
    <row r="343" spans="3:6">
      <c r="C343" s="67"/>
      <c r="D343" s="67"/>
      <c r="E343" s="67"/>
      <c r="F343" s="67"/>
    </row>
    <row r="344" spans="3:6">
      <c r="C344" s="67"/>
      <c r="D344" s="67"/>
      <c r="E344" s="67"/>
      <c r="F344" s="67"/>
    </row>
    <row r="345" spans="3:6">
      <c r="C345" s="67"/>
      <c r="D345" s="67"/>
      <c r="E345" s="67"/>
      <c r="F345" s="67"/>
    </row>
    <row r="346" spans="3:6">
      <c r="C346" s="67"/>
      <c r="D346" s="67"/>
      <c r="E346" s="67"/>
      <c r="F346" s="67"/>
    </row>
    <row r="347" spans="3:6">
      <c r="C347" s="67"/>
      <c r="D347" s="67"/>
      <c r="E347" s="67"/>
      <c r="F347" s="67"/>
    </row>
    <row r="348" spans="3:6">
      <c r="C348" s="67"/>
      <c r="D348" s="67"/>
      <c r="E348" s="67"/>
      <c r="F348" s="67"/>
    </row>
    <row r="349" spans="3:6">
      <c r="C349" s="67"/>
      <c r="D349" s="67"/>
      <c r="E349" s="67"/>
      <c r="F349" s="67"/>
    </row>
    <row r="350" spans="3:6">
      <c r="C350" s="67"/>
      <c r="D350" s="67"/>
      <c r="E350" s="67"/>
      <c r="F350" s="67"/>
    </row>
    <row r="351" spans="3:6">
      <c r="C351" s="67"/>
      <c r="D351" s="67"/>
      <c r="E351" s="67"/>
      <c r="F351" s="67"/>
    </row>
    <row r="352" spans="3:6">
      <c r="C352" s="67"/>
      <c r="D352" s="67"/>
      <c r="E352" s="67"/>
      <c r="F352" s="67"/>
    </row>
    <row r="353" spans="3:6">
      <c r="C353" s="67"/>
      <c r="D353" s="67"/>
      <c r="E353" s="67"/>
      <c r="F353" s="67"/>
    </row>
    <row r="354" spans="3:6">
      <c r="C354" s="67"/>
      <c r="D354" s="67"/>
      <c r="E354" s="67"/>
      <c r="F354" s="67"/>
    </row>
    <row r="355" spans="3:6">
      <c r="C355" s="67"/>
      <c r="D355" s="67"/>
      <c r="E355" s="67"/>
      <c r="F355" s="67"/>
    </row>
    <row r="356" spans="3:6">
      <c r="C356" s="67"/>
      <c r="D356" s="67"/>
      <c r="E356" s="67"/>
      <c r="F356" s="67"/>
    </row>
    <row r="357" spans="3:6">
      <c r="C357" s="67"/>
      <c r="D357" s="67"/>
      <c r="E357" s="67"/>
      <c r="F357" s="67"/>
    </row>
    <row r="358" spans="3:6">
      <c r="C358" s="67"/>
      <c r="D358" s="67"/>
      <c r="E358" s="67"/>
      <c r="F358" s="67"/>
    </row>
    <row r="359" spans="3:6">
      <c r="C359" s="67"/>
      <c r="D359" s="67"/>
      <c r="E359" s="67"/>
      <c r="F359" s="67"/>
    </row>
    <row r="360" spans="3:6">
      <c r="C360" s="67"/>
      <c r="D360" s="67"/>
      <c r="E360" s="67"/>
      <c r="F360" s="67"/>
    </row>
    <row r="361" spans="3:6">
      <c r="C361" s="67"/>
      <c r="D361" s="67"/>
      <c r="E361" s="67"/>
      <c r="F361" s="67"/>
    </row>
    <row r="362" spans="3:6">
      <c r="C362" s="67"/>
      <c r="D362" s="67"/>
      <c r="E362" s="67"/>
      <c r="F362" s="67"/>
    </row>
    <row r="363" spans="3:6">
      <c r="C363" s="67"/>
      <c r="D363" s="67"/>
      <c r="E363" s="67"/>
      <c r="F363" s="67"/>
    </row>
    <row r="364" spans="3:6">
      <c r="C364" s="67"/>
      <c r="D364" s="67"/>
      <c r="E364" s="67"/>
      <c r="F364" s="67"/>
    </row>
    <row r="365" spans="3:6">
      <c r="C365" s="67"/>
      <c r="D365" s="67"/>
      <c r="E365" s="67"/>
      <c r="F365" s="67"/>
    </row>
    <row r="366" spans="3:6">
      <c r="C366" s="67"/>
      <c r="D366" s="67"/>
      <c r="E366" s="67"/>
      <c r="F366" s="67"/>
    </row>
    <row r="367" spans="3:6">
      <c r="C367" s="67"/>
      <c r="D367" s="67"/>
      <c r="E367" s="67"/>
      <c r="F367" s="67"/>
    </row>
    <row r="368" spans="3:6">
      <c r="C368" s="67"/>
      <c r="D368" s="67"/>
      <c r="E368" s="67"/>
      <c r="F368" s="67"/>
    </row>
    <row r="369" spans="3:6">
      <c r="C369" s="67"/>
      <c r="D369" s="67"/>
      <c r="E369" s="67"/>
      <c r="F369" s="67"/>
    </row>
    <row r="370" spans="3:6">
      <c r="C370" s="67"/>
      <c r="D370" s="67"/>
      <c r="E370" s="67"/>
      <c r="F370" s="67"/>
    </row>
    <row r="371" spans="3:6">
      <c r="C371" s="67"/>
      <c r="D371" s="67"/>
      <c r="E371" s="67"/>
      <c r="F371" s="67"/>
    </row>
    <row r="372" spans="3:6">
      <c r="C372" s="67"/>
      <c r="D372" s="67"/>
      <c r="E372" s="67"/>
      <c r="F372" s="67"/>
    </row>
    <row r="373" spans="3:6">
      <c r="C373" s="67"/>
      <c r="D373" s="67"/>
      <c r="E373" s="67"/>
      <c r="F373" s="67"/>
    </row>
    <row r="374" spans="3:6">
      <c r="C374" s="67"/>
      <c r="D374" s="67"/>
      <c r="E374" s="67"/>
      <c r="F374" s="67"/>
    </row>
    <row r="375" spans="3:6">
      <c r="C375" s="67"/>
      <c r="D375" s="67"/>
      <c r="E375" s="67"/>
      <c r="F375" s="67"/>
    </row>
    <row r="376" spans="3:6">
      <c r="C376" s="67"/>
      <c r="D376" s="67"/>
      <c r="E376" s="67"/>
      <c r="F376" s="67"/>
    </row>
    <row r="377" spans="3:6">
      <c r="C377" s="67"/>
      <c r="D377" s="67"/>
      <c r="E377" s="67"/>
      <c r="F377" s="67"/>
    </row>
    <row r="378" spans="3:6">
      <c r="C378" s="67"/>
      <c r="D378" s="67"/>
      <c r="E378" s="67"/>
      <c r="F378" s="67"/>
    </row>
    <row r="379" spans="3:6">
      <c r="C379" s="67"/>
      <c r="D379" s="67"/>
      <c r="E379" s="67"/>
      <c r="F379" s="67"/>
    </row>
    <row r="380" spans="3:6">
      <c r="C380" s="67"/>
      <c r="D380" s="67"/>
      <c r="E380" s="67"/>
      <c r="F380" s="67"/>
    </row>
    <row r="381" spans="3:6">
      <c r="C381" s="67"/>
      <c r="D381" s="67"/>
      <c r="E381" s="67"/>
      <c r="F381" s="67"/>
    </row>
    <row r="382" spans="3:6">
      <c r="C382" s="67"/>
      <c r="D382" s="67"/>
      <c r="E382" s="67"/>
      <c r="F382" s="67"/>
    </row>
    <row r="383" spans="3:6">
      <c r="C383" s="67"/>
      <c r="D383" s="67"/>
      <c r="E383" s="67"/>
      <c r="F383" s="67"/>
    </row>
    <row r="384" spans="3:6">
      <c r="C384" s="67"/>
      <c r="D384" s="67"/>
      <c r="E384" s="67"/>
      <c r="F384" s="67"/>
    </row>
    <row r="385" spans="3:6">
      <c r="C385" s="67"/>
      <c r="D385" s="67"/>
      <c r="E385" s="67"/>
      <c r="F385" s="67"/>
    </row>
    <row r="386" spans="3:6">
      <c r="C386" s="67"/>
      <c r="D386" s="67"/>
      <c r="E386" s="67"/>
      <c r="F386" s="67"/>
    </row>
    <row r="387" spans="3:6">
      <c r="C387" s="67"/>
      <c r="D387" s="67"/>
      <c r="E387" s="67"/>
      <c r="F387" s="67"/>
    </row>
    <row r="388" spans="3:6">
      <c r="C388" s="67"/>
      <c r="D388" s="67"/>
      <c r="E388" s="67"/>
      <c r="F388" s="67"/>
    </row>
    <row r="389" spans="3:6">
      <c r="C389" s="67"/>
      <c r="D389" s="67"/>
      <c r="E389" s="67"/>
      <c r="F389" s="67"/>
    </row>
    <row r="390" spans="3:6">
      <c r="C390" s="67"/>
      <c r="D390" s="67"/>
      <c r="E390" s="67"/>
      <c r="F390" s="67"/>
    </row>
    <row r="391" spans="3:6">
      <c r="C391" s="67"/>
      <c r="D391" s="67"/>
      <c r="E391" s="67"/>
      <c r="F391" s="67"/>
    </row>
    <row r="392" spans="3:6">
      <c r="C392" s="67"/>
      <c r="D392" s="67"/>
      <c r="E392" s="67"/>
      <c r="F392" s="67"/>
    </row>
    <row r="393" spans="3:6">
      <c r="C393" s="67"/>
      <c r="D393" s="67"/>
      <c r="E393" s="67"/>
      <c r="F393" s="67"/>
    </row>
    <row r="394" spans="3:6">
      <c r="C394" s="67"/>
      <c r="D394" s="67"/>
      <c r="E394" s="67"/>
      <c r="F394" s="67"/>
    </row>
    <row r="395" spans="3:6">
      <c r="C395" s="67"/>
      <c r="D395" s="67"/>
      <c r="E395" s="67"/>
      <c r="F395" s="67"/>
    </row>
    <row r="396" spans="3:6">
      <c r="C396" s="67"/>
      <c r="D396" s="67"/>
      <c r="E396" s="67"/>
      <c r="F396" s="67"/>
    </row>
    <row r="397" spans="3:6">
      <c r="C397" s="67"/>
      <c r="D397" s="67"/>
      <c r="E397" s="67"/>
      <c r="F397" s="67"/>
    </row>
    <row r="398" spans="3:6">
      <c r="C398" s="67"/>
      <c r="D398" s="67"/>
      <c r="E398" s="67"/>
      <c r="F398" s="67"/>
    </row>
    <row r="399" spans="3:6">
      <c r="C399" s="67"/>
      <c r="D399" s="67"/>
      <c r="E399" s="67"/>
      <c r="F399" s="67"/>
    </row>
    <row r="400" spans="3:6">
      <c r="C400" s="67"/>
      <c r="D400" s="67"/>
      <c r="E400" s="67"/>
      <c r="F400" s="67"/>
    </row>
    <row r="401" spans="3:6">
      <c r="C401" s="67"/>
      <c r="D401" s="67"/>
      <c r="E401" s="67"/>
      <c r="F401" s="67"/>
    </row>
    <row r="402" spans="3:6">
      <c r="C402" s="67"/>
      <c r="D402" s="67"/>
      <c r="E402" s="67"/>
      <c r="F402" s="67"/>
    </row>
    <row r="403" spans="3:6">
      <c r="C403" s="67"/>
      <c r="D403" s="67"/>
      <c r="E403" s="67"/>
      <c r="F403" s="67"/>
    </row>
    <row r="404" spans="3:6">
      <c r="C404" s="67"/>
      <c r="D404" s="67"/>
      <c r="E404" s="67"/>
      <c r="F404" s="67"/>
    </row>
    <row r="405" spans="3:6">
      <c r="C405" s="67"/>
      <c r="D405" s="67"/>
      <c r="E405" s="67"/>
      <c r="F405" s="67"/>
    </row>
    <row r="406" spans="3:6">
      <c r="C406" s="67"/>
      <c r="D406" s="67"/>
      <c r="E406" s="67"/>
      <c r="F406" s="67"/>
    </row>
    <row r="407" spans="3:6">
      <c r="C407" s="67"/>
      <c r="D407" s="67"/>
      <c r="E407" s="67"/>
      <c r="F407" s="67"/>
    </row>
    <row r="408" spans="3:6">
      <c r="C408" s="67"/>
      <c r="D408" s="67"/>
      <c r="E408" s="67"/>
      <c r="F408" s="67"/>
    </row>
    <row r="409" spans="3:6">
      <c r="C409" s="67"/>
      <c r="D409" s="67"/>
      <c r="E409" s="67"/>
      <c r="F409" s="67"/>
    </row>
    <row r="410" spans="3:6">
      <c r="C410" s="67"/>
      <c r="D410" s="67"/>
      <c r="E410" s="67"/>
      <c r="F410" s="67"/>
    </row>
    <row r="411" spans="3:6">
      <c r="C411" s="67"/>
      <c r="D411" s="67"/>
      <c r="E411" s="67"/>
      <c r="F411" s="67"/>
    </row>
    <row r="412" spans="3:6">
      <c r="C412" s="67"/>
      <c r="D412" s="67"/>
      <c r="E412" s="67"/>
      <c r="F412" s="67"/>
    </row>
    <row r="413" spans="3:6">
      <c r="C413" s="67"/>
      <c r="D413" s="67"/>
      <c r="E413" s="67"/>
      <c r="F413" s="67"/>
    </row>
    <row r="414" spans="3:6">
      <c r="C414" s="67"/>
      <c r="D414" s="67"/>
      <c r="E414" s="67"/>
      <c r="F414" s="67"/>
    </row>
    <row r="415" spans="3:6">
      <c r="C415" s="67"/>
      <c r="D415" s="67"/>
      <c r="E415" s="67"/>
      <c r="F415" s="67"/>
    </row>
    <row r="416" spans="3:6">
      <c r="C416" s="67"/>
      <c r="D416" s="67"/>
      <c r="E416" s="67"/>
      <c r="F416" s="67"/>
    </row>
    <row r="417" spans="3:6">
      <c r="C417" s="67"/>
      <c r="D417" s="67"/>
      <c r="E417" s="67"/>
      <c r="F417" s="67"/>
    </row>
    <row r="418" spans="3:6">
      <c r="C418" s="67"/>
      <c r="D418" s="67"/>
      <c r="E418" s="67"/>
      <c r="F418" s="67"/>
    </row>
    <row r="419" spans="3:6">
      <c r="C419" s="67"/>
      <c r="D419" s="67"/>
      <c r="E419" s="67"/>
      <c r="F419" s="67"/>
    </row>
    <row r="420" spans="3:6">
      <c r="C420" s="67"/>
      <c r="D420" s="67"/>
      <c r="E420" s="67"/>
      <c r="F420" s="67"/>
    </row>
    <row r="421" spans="3:6">
      <c r="C421" s="67"/>
      <c r="D421" s="67"/>
      <c r="E421" s="67"/>
      <c r="F421" s="67"/>
    </row>
    <row r="422" spans="3:6">
      <c r="C422" s="67"/>
      <c r="D422" s="67"/>
      <c r="E422" s="67"/>
      <c r="F422" s="67"/>
    </row>
    <row r="423" spans="3:6">
      <c r="C423" s="67"/>
      <c r="D423" s="67"/>
      <c r="E423" s="67"/>
      <c r="F423" s="67"/>
    </row>
    <row r="424" spans="3:6">
      <c r="C424" s="67"/>
      <c r="D424" s="67"/>
      <c r="E424" s="67"/>
      <c r="F424" s="67"/>
    </row>
    <row r="425" spans="3:6">
      <c r="C425" s="67"/>
      <c r="D425" s="67"/>
      <c r="E425" s="67"/>
      <c r="F425" s="67"/>
    </row>
    <row r="426" spans="3:6">
      <c r="C426" s="67"/>
      <c r="D426" s="67"/>
      <c r="E426" s="67"/>
      <c r="F426" s="67"/>
    </row>
    <row r="427" spans="3:6">
      <c r="C427" s="67"/>
      <c r="D427" s="67"/>
      <c r="E427" s="67"/>
      <c r="F427" s="67"/>
    </row>
    <row r="428" spans="3:6">
      <c r="C428" s="67"/>
      <c r="D428" s="67"/>
      <c r="E428" s="67"/>
      <c r="F428" s="67"/>
    </row>
    <row r="429" spans="3:6">
      <c r="C429" s="67"/>
      <c r="D429" s="67"/>
      <c r="E429" s="67"/>
      <c r="F429" s="67"/>
    </row>
    <row r="430" spans="3:6">
      <c r="C430" s="67"/>
      <c r="D430" s="67"/>
      <c r="E430" s="67"/>
      <c r="F430" s="67"/>
    </row>
    <row r="431" spans="3:6">
      <c r="C431" s="67"/>
      <c r="D431" s="67"/>
      <c r="E431" s="67"/>
      <c r="F431" s="67"/>
    </row>
    <row r="432" spans="3:6">
      <c r="C432" s="67"/>
      <c r="D432" s="67"/>
      <c r="E432" s="67"/>
      <c r="F432" s="67"/>
    </row>
    <row r="433" spans="3:6">
      <c r="C433" s="67"/>
      <c r="D433" s="67"/>
      <c r="E433" s="67"/>
      <c r="F433" s="67"/>
    </row>
    <row r="434" spans="3:6">
      <c r="C434" s="67"/>
      <c r="D434" s="67"/>
      <c r="E434" s="67"/>
      <c r="F434" s="67"/>
    </row>
    <row r="435" spans="3:6">
      <c r="C435" s="67"/>
      <c r="D435" s="67"/>
      <c r="E435" s="67"/>
      <c r="F435" s="67"/>
    </row>
    <row r="436" spans="3:6">
      <c r="C436" s="67"/>
      <c r="D436" s="67"/>
      <c r="E436" s="67"/>
      <c r="F436" s="67"/>
    </row>
    <row r="437" spans="3:6">
      <c r="C437" s="67"/>
      <c r="D437" s="67"/>
      <c r="E437" s="67"/>
      <c r="F437" s="67"/>
    </row>
    <row r="438" spans="3:6">
      <c r="C438" s="67"/>
      <c r="D438" s="67"/>
      <c r="E438" s="67"/>
      <c r="F438" s="67"/>
    </row>
    <row r="439" spans="3:6">
      <c r="C439" s="67"/>
      <c r="D439" s="67"/>
      <c r="E439" s="67"/>
      <c r="F439" s="67"/>
    </row>
    <row r="440" spans="3:6">
      <c r="C440" s="67"/>
      <c r="D440" s="67"/>
      <c r="E440" s="67"/>
      <c r="F440" s="67"/>
    </row>
    <row r="441" spans="3:6">
      <c r="C441" s="67"/>
      <c r="D441" s="67"/>
      <c r="E441" s="67"/>
      <c r="F441" s="67"/>
    </row>
    <row r="442" spans="3:6">
      <c r="C442" s="67"/>
      <c r="D442" s="67"/>
      <c r="E442" s="67"/>
      <c r="F442" s="67"/>
    </row>
    <row r="443" spans="3:6">
      <c r="C443" s="67"/>
      <c r="D443" s="67"/>
      <c r="E443" s="67"/>
      <c r="F443" s="67"/>
    </row>
    <row r="444" spans="3:6">
      <c r="C444" s="67"/>
      <c r="D444" s="67"/>
      <c r="E444" s="67"/>
      <c r="F444" s="67"/>
    </row>
    <row r="445" spans="3:6">
      <c r="C445" s="67"/>
      <c r="D445" s="67"/>
      <c r="E445" s="67"/>
      <c r="F445" s="67"/>
    </row>
    <row r="446" spans="3:6">
      <c r="C446" s="67"/>
      <c r="D446" s="67"/>
      <c r="E446" s="67"/>
      <c r="F446" s="67"/>
    </row>
    <row r="447" spans="3:6">
      <c r="C447" s="67"/>
      <c r="D447" s="67"/>
      <c r="E447" s="67"/>
      <c r="F447" s="67"/>
    </row>
    <row r="448" spans="3:6">
      <c r="C448" s="67"/>
      <c r="D448" s="67"/>
      <c r="E448" s="67"/>
      <c r="F448" s="67"/>
    </row>
    <row r="449" spans="3:6">
      <c r="C449" s="67"/>
      <c r="D449" s="67"/>
      <c r="E449" s="67"/>
      <c r="F449" s="67"/>
    </row>
    <row r="450" spans="3:6">
      <c r="C450" s="67"/>
      <c r="D450" s="67"/>
      <c r="E450" s="67"/>
      <c r="F450" s="67"/>
    </row>
    <row r="451" spans="3:6">
      <c r="C451" s="67"/>
      <c r="D451" s="67"/>
      <c r="E451" s="67"/>
      <c r="F451" s="67"/>
    </row>
    <row r="452" spans="3:6">
      <c r="C452" s="67"/>
      <c r="D452" s="67"/>
      <c r="E452" s="67"/>
      <c r="F452" s="67"/>
    </row>
    <row r="453" spans="3:6">
      <c r="C453" s="67"/>
      <c r="D453" s="67"/>
      <c r="E453" s="67"/>
      <c r="F453" s="67"/>
    </row>
    <row r="454" spans="3:6">
      <c r="C454" s="67"/>
      <c r="D454" s="67"/>
      <c r="E454" s="67"/>
      <c r="F454" s="67"/>
    </row>
    <row r="455" spans="3:6">
      <c r="C455" s="67"/>
      <c r="D455" s="67"/>
      <c r="E455" s="67"/>
      <c r="F455" s="67"/>
    </row>
    <row r="456" spans="3:6">
      <c r="C456" s="67"/>
      <c r="D456" s="67"/>
      <c r="E456" s="67"/>
      <c r="F456" s="67"/>
    </row>
    <row r="457" spans="3:6">
      <c r="C457" s="67"/>
      <c r="D457" s="67"/>
      <c r="E457" s="67"/>
      <c r="F457" s="67"/>
    </row>
    <row r="458" spans="3:6">
      <c r="C458" s="67"/>
      <c r="D458" s="67"/>
      <c r="E458" s="67"/>
      <c r="F458" s="67"/>
    </row>
    <row r="459" spans="3:6">
      <c r="C459" s="67"/>
      <c r="D459" s="67"/>
      <c r="E459" s="67"/>
      <c r="F459" s="67"/>
    </row>
    <row r="460" spans="3:6">
      <c r="C460" s="67"/>
      <c r="D460" s="67"/>
      <c r="E460" s="67"/>
      <c r="F460" s="67"/>
    </row>
    <row r="461" spans="3:6">
      <c r="C461" s="67"/>
      <c r="D461" s="67"/>
      <c r="E461" s="67"/>
      <c r="F461" s="67"/>
    </row>
    <row r="462" spans="3:6">
      <c r="C462" s="67"/>
      <c r="D462" s="67"/>
      <c r="E462" s="67"/>
      <c r="F462" s="67"/>
    </row>
    <row r="463" spans="3:6">
      <c r="C463" s="67"/>
      <c r="D463" s="67"/>
      <c r="E463" s="67"/>
      <c r="F463" s="67"/>
    </row>
    <row r="464" spans="3:6">
      <c r="C464" s="67"/>
      <c r="D464" s="67"/>
      <c r="E464" s="67"/>
      <c r="F464" s="67"/>
    </row>
    <row r="465" spans="3:6">
      <c r="C465" s="67"/>
      <c r="D465" s="67"/>
      <c r="E465" s="67"/>
      <c r="F465" s="67"/>
    </row>
    <row r="466" spans="3:6">
      <c r="C466" s="67"/>
      <c r="D466" s="67"/>
      <c r="E466" s="67"/>
      <c r="F466" s="67"/>
    </row>
    <row r="467" spans="3:6">
      <c r="C467" s="67"/>
      <c r="D467" s="67"/>
      <c r="E467" s="67"/>
      <c r="F467" s="67"/>
    </row>
    <row r="468" spans="3:6">
      <c r="C468" s="67"/>
      <c r="D468" s="67"/>
      <c r="E468" s="67"/>
      <c r="F468" s="67"/>
    </row>
    <row r="469" spans="3:6">
      <c r="C469" s="67"/>
      <c r="D469" s="67"/>
      <c r="E469" s="67"/>
      <c r="F469" s="67"/>
    </row>
    <row r="470" spans="3:6">
      <c r="C470" s="67"/>
      <c r="D470" s="67"/>
      <c r="E470" s="67"/>
      <c r="F470" s="67"/>
    </row>
    <row r="471" spans="3:6">
      <c r="C471" s="67"/>
      <c r="D471" s="67"/>
      <c r="E471" s="67"/>
      <c r="F471" s="67"/>
    </row>
    <row r="472" spans="3:6">
      <c r="C472" s="67"/>
      <c r="D472" s="67"/>
      <c r="E472" s="67"/>
      <c r="F472" s="67"/>
    </row>
    <row r="473" spans="3:6">
      <c r="C473" s="67"/>
      <c r="D473" s="67"/>
      <c r="E473" s="67"/>
      <c r="F473" s="67"/>
    </row>
    <row r="474" spans="3:6">
      <c r="C474" s="67"/>
      <c r="D474" s="67"/>
      <c r="E474" s="67"/>
      <c r="F474" s="67"/>
    </row>
    <row r="475" spans="3:6">
      <c r="C475" s="67"/>
      <c r="D475" s="67"/>
      <c r="E475" s="67"/>
      <c r="F475" s="67"/>
    </row>
    <row r="476" spans="3:6">
      <c r="C476" s="67"/>
      <c r="D476" s="67"/>
      <c r="E476" s="67"/>
      <c r="F476" s="67"/>
    </row>
    <row r="477" spans="3:6">
      <c r="C477" s="67"/>
      <c r="D477" s="67"/>
      <c r="E477" s="67"/>
      <c r="F477" s="67"/>
    </row>
    <row r="478" spans="3:6">
      <c r="C478" s="67"/>
      <c r="D478" s="67"/>
      <c r="E478" s="67"/>
      <c r="F478" s="67"/>
    </row>
    <row r="479" spans="3:6">
      <c r="C479" s="67"/>
      <c r="D479" s="67"/>
      <c r="E479" s="67"/>
      <c r="F479" s="67"/>
    </row>
    <row r="480" spans="3:6">
      <c r="C480" s="67"/>
      <c r="D480" s="67"/>
      <c r="E480" s="67"/>
      <c r="F480" s="67"/>
    </row>
    <row r="481" spans="3:6">
      <c r="C481" s="67"/>
      <c r="D481" s="67"/>
      <c r="E481" s="67"/>
      <c r="F481" s="67"/>
    </row>
    <row r="482" spans="3:6">
      <c r="C482" s="67"/>
      <c r="D482" s="67"/>
      <c r="E482" s="67"/>
      <c r="F482" s="67"/>
    </row>
    <row r="483" spans="3:6">
      <c r="C483" s="67"/>
      <c r="D483" s="67"/>
      <c r="E483" s="67"/>
      <c r="F483" s="67"/>
    </row>
    <row r="484" spans="3:6">
      <c r="C484" s="67"/>
      <c r="D484" s="67"/>
      <c r="E484" s="67"/>
      <c r="F484" s="67"/>
    </row>
    <row r="485" spans="3:6">
      <c r="C485" s="67"/>
      <c r="D485" s="67"/>
      <c r="E485" s="67"/>
      <c r="F485" s="67"/>
    </row>
    <row r="486" spans="3:6">
      <c r="C486" s="67"/>
      <c r="D486" s="67"/>
      <c r="E486" s="67"/>
      <c r="F486" s="67"/>
    </row>
    <row r="487" spans="3:6">
      <c r="C487" s="67"/>
      <c r="D487" s="67"/>
      <c r="E487" s="67"/>
      <c r="F487" s="67"/>
    </row>
    <row r="488" spans="3:6">
      <c r="C488" s="67"/>
      <c r="D488" s="67"/>
      <c r="E488" s="67"/>
      <c r="F488" s="67"/>
    </row>
    <row r="489" spans="3:6">
      <c r="C489" s="67"/>
      <c r="D489" s="67"/>
      <c r="E489" s="67"/>
      <c r="F489" s="67"/>
    </row>
    <row r="490" spans="3:6">
      <c r="C490" s="67"/>
      <c r="D490" s="67"/>
      <c r="E490" s="67"/>
      <c r="F490" s="67"/>
    </row>
    <row r="491" spans="3:6">
      <c r="C491" s="67"/>
      <c r="D491" s="67"/>
      <c r="E491" s="67"/>
      <c r="F491" s="67"/>
    </row>
    <row r="492" spans="3:6">
      <c r="C492" s="67"/>
      <c r="D492" s="67"/>
      <c r="E492" s="67"/>
      <c r="F492" s="67"/>
    </row>
    <row r="493" spans="3:6">
      <c r="C493" s="67"/>
      <c r="D493" s="67"/>
      <c r="E493" s="67"/>
      <c r="F493" s="67"/>
    </row>
    <row r="494" spans="3:6">
      <c r="C494" s="67"/>
      <c r="D494" s="67"/>
      <c r="E494" s="67"/>
      <c r="F494" s="67"/>
    </row>
    <row r="495" spans="3:6">
      <c r="C495" s="67"/>
      <c r="D495" s="67"/>
      <c r="E495" s="67"/>
      <c r="F495" s="67"/>
    </row>
    <row r="496" spans="3:6">
      <c r="C496" s="67"/>
      <c r="D496" s="67"/>
      <c r="E496" s="67"/>
      <c r="F496" s="67"/>
    </row>
    <row r="497" spans="3:6">
      <c r="C497" s="67"/>
      <c r="D497" s="67"/>
      <c r="E497" s="67"/>
      <c r="F497" s="67"/>
    </row>
    <row r="498" spans="3:6">
      <c r="C498" s="67"/>
      <c r="D498" s="67"/>
      <c r="E498" s="67"/>
      <c r="F498" s="67"/>
    </row>
    <row r="499" spans="3:6">
      <c r="C499" s="67"/>
      <c r="D499" s="67"/>
      <c r="E499" s="67"/>
      <c r="F499" s="67"/>
    </row>
    <row r="500" spans="3:6">
      <c r="C500" s="67"/>
      <c r="D500" s="67"/>
      <c r="E500" s="67"/>
      <c r="F500" s="67"/>
    </row>
    <row r="501" spans="3:6">
      <c r="C501" s="67"/>
      <c r="D501" s="67"/>
      <c r="E501" s="67"/>
      <c r="F501" s="67"/>
    </row>
    <row r="502" spans="3:6">
      <c r="C502" s="67"/>
      <c r="D502" s="67"/>
      <c r="E502" s="67"/>
      <c r="F502" s="67"/>
    </row>
    <row r="503" spans="3:6">
      <c r="C503" s="67"/>
      <c r="D503" s="67"/>
      <c r="E503" s="67"/>
      <c r="F503" s="67"/>
    </row>
    <row r="504" spans="3:6">
      <c r="C504" s="67"/>
      <c r="D504" s="67"/>
      <c r="E504" s="67"/>
      <c r="F504" s="67"/>
    </row>
    <row r="505" spans="3:6">
      <c r="C505" s="67"/>
      <c r="D505" s="67"/>
      <c r="E505" s="67"/>
      <c r="F505" s="67"/>
    </row>
    <row r="506" spans="3:6">
      <c r="C506" s="67"/>
      <c r="D506" s="67"/>
      <c r="E506" s="67"/>
      <c r="F506" s="67"/>
    </row>
    <row r="507" spans="3:6">
      <c r="C507" s="67"/>
      <c r="D507" s="67"/>
      <c r="E507" s="67"/>
      <c r="F507" s="67"/>
    </row>
    <row r="508" spans="3:6">
      <c r="C508" s="67"/>
      <c r="D508" s="67"/>
      <c r="E508" s="67"/>
      <c r="F508" s="67"/>
    </row>
    <row r="509" spans="3:6">
      <c r="C509" s="67"/>
      <c r="D509" s="67"/>
      <c r="E509" s="67"/>
      <c r="F509" s="67"/>
    </row>
    <row r="510" spans="3:6">
      <c r="C510" s="67"/>
      <c r="D510" s="67"/>
      <c r="E510" s="67"/>
      <c r="F510" s="67"/>
    </row>
    <row r="511" spans="3:6">
      <c r="C511" s="67"/>
      <c r="D511" s="67"/>
      <c r="E511" s="67"/>
      <c r="F511" s="67"/>
    </row>
    <row r="512" spans="3:6">
      <c r="C512" s="67"/>
      <c r="D512" s="67"/>
      <c r="E512" s="67"/>
      <c r="F512" s="67"/>
    </row>
    <row r="513" spans="3:6">
      <c r="C513" s="67"/>
      <c r="D513" s="67"/>
      <c r="E513" s="67"/>
      <c r="F513" s="67"/>
    </row>
    <row r="514" spans="3:6">
      <c r="C514" s="67"/>
      <c r="D514" s="67"/>
      <c r="E514" s="67"/>
      <c r="F514" s="67"/>
    </row>
    <row r="515" spans="3:6">
      <c r="C515" s="67"/>
      <c r="D515" s="67"/>
      <c r="E515" s="67"/>
      <c r="F515" s="67"/>
    </row>
    <row r="516" spans="3:6">
      <c r="C516" s="67"/>
      <c r="D516" s="67"/>
      <c r="E516" s="67"/>
      <c r="F516" s="67"/>
    </row>
    <row r="517" spans="3:6">
      <c r="C517" s="67"/>
      <c r="D517" s="67"/>
      <c r="E517" s="67"/>
      <c r="F517" s="67"/>
    </row>
    <row r="518" spans="3:6">
      <c r="C518" s="67"/>
      <c r="D518" s="67"/>
      <c r="E518" s="67"/>
      <c r="F518" s="67"/>
    </row>
    <row r="519" spans="3:6">
      <c r="C519" s="67"/>
      <c r="D519" s="67"/>
      <c r="E519" s="67"/>
      <c r="F519" s="67"/>
    </row>
    <row r="520" spans="3:6">
      <c r="C520" s="67"/>
      <c r="D520" s="67"/>
      <c r="E520" s="67"/>
      <c r="F520" s="67"/>
    </row>
    <row r="521" spans="3:6">
      <c r="C521" s="67"/>
      <c r="D521" s="67"/>
      <c r="E521" s="67"/>
      <c r="F521" s="67"/>
    </row>
    <row r="522" spans="3:6">
      <c r="C522" s="67"/>
      <c r="D522" s="67"/>
      <c r="E522" s="67"/>
      <c r="F522" s="67"/>
    </row>
    <row r="523" spans="3:6">
      <c r="C523" s="67"/>
      <c r="D523" s="67"/>
      <c r="E523" s="67"/>
      <c r="F523" s="67"/>
    </row>
    <row r="524" spans="3:6">
      <c r="C524" s="67"/>
      <c r="D524" s="67"/>
      <c r="E524" s="67"/>
      <c r="F524" s="67"/>
    </row>
    <row r="525" spans="3:6">
      <c r="C525" s="67"/>
      <c r="D525" s="67"/>
      <c r="E525" s="67"/>
      <c r="F525" s="67"/>
    </row>
    <row r="526" spans="3:6">
      <c r="C526" s="67"/>
      <c r="D526" s="67"/>
      <c r="E526" s="67"/>
      <c r="F526" s="67"/>
    </row>
    <row r="527" spans="3:6">
      <c r="C527" s="67"/>
      <c r="D527" s="67"/>
      <c r="E527" s="67"/>
      <c r="F527" s="67"/>
    </row>
    <row r="528" spans="3:6">
      <c r="C528" s="67"/>
      <c r="D528" s="67"/>
      <c r="E528" s="67"/>
      <c r="F528" s="67"/>
    </row>
    <row r="529" spans="3:6">
      <c r="C529" s="67"/>
      <c r="D529" s="67"/>
      <c r="E529" s="67"/>
      <c r="F529" s="67"/>
    </row>
    <row r="530" spans="3:6">
      <c r="C530" s="67"/>
      <c r="D530" s="67"/>
      <c r="E530" s="67"/>
      <c r="F530" s="67"/>
    </row>
    <row r="531" spans="3:6">
      <c r="C531" s="67"/>
      <c r="D531" s="67"/>
      <c r="E531" s="67"/>
      <c r="F531" s="67"/>
    </row>
    <row r="532" spans="3:6">
      <c r="C532" s="67"/>
      <c r="D532" s="67"/>
      <c r="E532" s="67"/>
      <c r="F532" s="67"/>
    </row>
    <row r="533" spans="3:6">
      <c r="C533" s="67"/>
      <c r="D533" s="67"/>
      <c r="E533" s="67"/>
      <c r="F533" s="67"/>
    </row>
    <row r="534" spans="3:6">
      <c r="C534" s="67"/>
      <c r="D534" s="67"/>
      <c r="E534" s="67"/>
      <c r="F534" s="67"/>
    </row>
    <row r="535" spans="3:6">
      <c r="C535" s="67"/>
      <c r="D535" s="67"/>
      <c r="E535" s="67"/>
      <c r="F535" s="67"/>
    </row>
    <row r="536" spans="3:6">
      <c r="C536" s="67"/>
      <c r="D536" s="67"/>
      <c r="E536" s="67"/>
      <c r="F536" s="67"/>
    </row>
    <row r="537" spans="3:6">
      <c r="C537" s="67"/>
      <c r="D537" s="67"/>
      <c r="E537" s="67"/>
      <c r="F537" s="67"/>
    </row>
    <row r="538" spans="3:6">
      <c r="C538" s="67"/>
      <c r="D538" s="67"/>
      <c r="E538" s="67"/>
      <c r="F538" s="67"/>
    </row>
    <row r="539" spans="3:6">
      <c r="C539" s="67"/>
      <c r="D539" s="67"/>
      <c r="E539" s="67"/>
      <c r="F539" s="67"/>
    </row>
    <row r="540" spans="3:6">
      <c r="C540" s="67"/>
      <c r="D540" s="67"/>
      <c r="E540" s="67"/>
      <c r="F540" s="67"/>
    </row>
    <row r="541" spans="3:6">
      <c r="C541" s="67"/>
      <c r="D541" s="67"/>
      <c r="E541" s="67"/>
      <c r="F541" s="67"/>
    </row>
    <row r="542" spans="3:6">
      <c r="C542" s="67"/>
      <c r="D542" s="67"/>
      <c r="E542" s="67"/>
      <c r="F542" s="67"/>
    </row>
    <row r="543" spans="3:6">
      <c r="C543" s="67"/>
      <c r="D543" s="67"/>
      <c r="E543" s="67"/>
      <c r="F543" s="67"/>
    </row>
    <row r="544" spans="3:6">
      <c r="C544" s="67"/>
      <c r="D544" s="67"/>
      <c r="E544" s="67"/>
      <c r="F544" s="67"/>
    </row>
    <row r="545" spans="3:6">
      <c r="C545" s="67"/>
      <c r="D545" s="67"/>
      <c r="E545" s="67"/>
      <c r="F545" s="67"/>
    </row>
    <row r="546" spans="3:6">
      <c r="C546" s="67"/>
      <c r="D546" s="67"/>
      <c r="E546" s="67"/>
      <c r="F546" s="67"/>
    </row>
    <row r="547" spans="3:6">
      <c r="C547" s="67"/>
      <c r="D547" s="67"/>
      <c r="E547" s="67"/>
      <c r="F547" s="67"/>
    </row>
    <row r="548" spans="3:6">
      <c r="C548" s="67"/>
      <c r="D548" s="67"/>
      <c r="E548" s="67"/>
      <c r="F548" s="67"/>
    </row>
    <row r="549" spans="3:6">
      <c r="C549" s="67"/>
      <c r="D549" s="67"/>
      <c r="E549" s="67"/>
      <c r="F549" s="67"/>
    </row>
    <row r="550" spans="3:6">
      <c r="C550" s="67"/>
      <c r="D550" s="67"/>
      <c r="E550" s="67"/>
      <c r="F550" s="67"/>
    </row>
    <row r="551" spans="3:6">
      <c r="C551" s="67"/>
      <c r="D551" s="67"/>
      <c r="E551" s="67"/>
      <c r="F551" s="67"/>
    </row>
    <row r="552" spans="3:6">
      <c r="C552" s="67"/>
      <c r="D552" s="67"/>
      <c r="E552" s="67"/>
      <c r="F552" s="67"/>
    </row>
    <row r="553" spans="3:6">
      <c r="C553" s="67"/>
      <c r="D553" s="67"/>
      <c r="E553" s="67"/>
      <c r="F553" s="67"/>
    </row>
    <row r="554" spans="3:6">
      <c r="C554" s="67"/>
      <c r="D554" s="67"/>
      <c r="E554" s="67"/>
      <c r="F554" s="67"/>
    </row>
    <row r="555" spans="3:6">
      <c r="C555" s="67"/>
      <c r="D555" s="67"/>
      <c r="E555" s="67"/>
      <c r="F555" s="67"/>
    </row>
    <row r="556" spans="3:6">
      <c r="C556" s="67"/>
      <c r="D556" s="67"/>
      <c r="E556" s="67"/>
      <c r="F556" s="67"/>
    </row>
    <row r="557" spans="3:6">
      <c r="C557" s="67"/>
      <c r="D557" s="67"/>
      <c r="E557" s="67"/>
      <c r="F557" s="67"/>
    </row>
    <row r="558" spans="3:6">
      <c r="C558" s="67"/>
      <c r="D558" s="67"/>
      <c r="E558" s="67"/>
      <c r="F558" s="67"/>
    </row>
    <row r="559" spans="3:6">
      <c r="C559" s="67"/>
      <c r="D559" s="67"/>
      <c r="E559" s="67"/>
      <c r="F559" s="67"/>
    </row>
    <row r="560" spans="3:6">
      <c r="C560" s="67"/>
      <c r="D560" s="67"/>
      <c r="E560" s="67"/>
      <c r="F560" s="67"/>
    </row>
    <row r="561" spans="3:6">
      <c r="C561" s="67"/>
      <c r="D561" s="67"/>
      <c r="E561" s="67"/>
      <c r="F561" s="67"/>
    </row>
    <row r="562" spans="3:6">
      <c r="C562" s="67"/>
      <c r="D562" s="67"/>
      <c r="E562" s="67"/>
      <c r="F562" s="67"/>
    </row>
    <row r="563" spans="3:6">
      <c r="C563" s="67"/>
      <c r="D563" s="67"/>
      <c r="E563" s="67"/>
      <c r="F563" s="67"/>
    </row>
    <row r="564" spans="3:6">
      <c r="C564" s="67"/>
      <c r="D564" s="67"/>
      <c r="E564" s="67"/>
      <c r="F564" s="67"/>
    </row>
    <row r="565" spans="3:6">
      <c r="C565" s="67"/>
      <c r="D565" s="67"/>
      <c r="E565" s="67"/>
      <c r="F565" s="67"/>
    </row>
    <row r="566" spans="3:6">
      <c r="C566" s="67"/>
      <c r="D566" s="67"/>
      <c r="E566" s="67"/>
      <c r="F566" s="67"/>
    </row>
    <row r="567" spans="3:6">
      <c r="C567" s="67"/>
      <c r="D567" s="67"/>
      <c r="E567" s="67"/>
      <c r="F567" s="67"/>
    </row>
    <row r="568" spans="3:6">
      <c r="C568" s="67"/>
      <c r="D568" s="67"/>
      <c r="E568" s="67"/>
      <c r="F568" s="67"/>
    </row>
    <row r="569" spans="3:6">
      <c r="C569" s="67"/>
      <c r="D569" s="67"/>
      <c r="E569" s="67"/>
      <c r="F569" s="67"/>
    </row>
  </sheetData>
  <mergeCells count="3">
    <mergeCell ref="A9:I9"/>
    <mergeCell ref="A2:I2"/>
    <mergeCell ref="A4:I4"/>
  </mergeCells>
  <conditionalFormatting sqref="I11:I24">
    <cfRule type="cellIs" dxfId="260" priority="1" operator="greaterThanOrEqual">
      <formula>0.75</formula>
    </cfRule>
  </conditionalFormatting>
  <conditionalFormatting sqref="I11:I24">
    <cfRule type="cellIs" dxfId="259" priority="2" operator="greaterThanOrEqual">
      <formula>0.5</formula>
    </cfRule>
  </conditionalFormatting>
  <conditionalFormatting sqref="I11:I24">
    <cfRule type="cellIs" dxfId="258" priority="3" operator="greaterThanOrEqual">
      <formula>0.25</formula>
    </cfRule>
  </conditionalFormatting>
  <conditionalFormatting sqref="I11:I24">
    <cfRule type="cellIs" dxfId="257" priority="4" operator="greaterThan">
      <formula>0</formula>
    </cfRule>
  </conditionalFormatting>
  <conditionalFormatting sqref="I11:I24">
    <cfRule type="cellIs" dxfId="256" priority="5" operator="equal">
      <formula>0</formula>
    </cfRule>
  </conditionalFormatting>
  <pageMargins left="0.75" right="0.75" top="1" bottom="1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89955-B654-4648-A6E4-FD67CBA54DDA}">
  <sheetPr codeName="Sheet2">
    <tabColor rgb="FFFF3399"/>
  </sheetPr>
  <dimension ref="A1:BA273"/>
  <sheetViews>
    <sheetView tabSelected="1" zoomScale="70" zoomScaleNormal="70" workbookViewId="0">
      <pane xSplit="10" ySplit="2" topLeftCell="R3" activePane="bottomRight" state="frozen"/>
      <selection pane="topRight" activeCell="I1" sqref="I1"/>
      <selection pane="bottomLeft" activeCell="A3" sqref="A3"/>
      <selection pane="bottomRight" activeCell="AA11" sqref="AA11"/>
    </sheetView>
  </sheetViews>
  <sheetFormatPr defaultColWidth="9" defaultRowHeight="14.4"/>
  <cols>
    <col min="1" max="1" width="10.77734375" style="16" customWidth="1"/>
    <col min="2" max="2" width="33.109375" style="16" bestFit="1" customWidth="1"/>
    <col min="3" max="3" width="35.5546875" style="2" bestFit="1" customWidth="1"/>
    <col min="4" max="6" width="10.77734375" style="1" customWidth="1"/>
    <col min="7" max="7" width="10.77734375" style="106" customWidth="1"/>
    <col min="8" max="8" width="15.77734375" style="1" customWidth="1"/>
    <col min="9" max="9" width="10.77734375" style="1" customWidth="1"/>
    <col min="10" max="10" width="20.77734375" style="1" customWidth="1"/>
    <col min="11" max="11" width="39.21875" style="16" customWidth="1"/>
    <col min="12" max="12" width="32.77734375" style="2" customWidth="1"/>
    <col min="13" max="13" width="25.77734375" style="2" customWidth="1"/>
    <col min="14" max="14" width="25.5546875" style="3" bestFit="1" customWidth="1"/>
    <col min="15" max="15" width="20.77734375" style="1" customWidth="1"/>
    <col min="16" max="19" width="15.77734375" style="1" customWidth="1"/>
    <col min="20" max="20" width="20.77734375" customWidth="1"/>
    <col min="21" max="21" width="16" style="1" bestFit="1" customWidth="1"/>
    <col min="22" max="23" width="16" style="1" customWidth="1"/>
    <col min="24" max="24" width="41.5546875" style="1" bestFit="1" customWidth="1"/>
    <col min="25" max="30" width="15.77734375" customWidth="1"/>
    <col min="31" max="32" width="15.77734375" style="1" customWidth="1"/>
    <col min="33" max="33" width="23.77734375" style="1" bestFit="1" customWidth="1"/>
    <col min="34" max="34" width="23.77734375" style="1" customWidth="1"/>
    <col min="35" max="37" width="15.77734375" style="1" customWidth="1"/>
    <col min="38" max="38" width="21.21875" bestFit="1" customWidth="1"/>
    <col min="39" max="46" width="15.77734375" customWidth="1"/>
    <col min="47" max="47" width="35" bestFit="1" customWidth="1"/>
  </cols>
  <sheetData>
    <row r="1" spans="1:53" s="4" customFormat="1" ht="49.95" customHeight="1">
      <c r="A1" s="7" t="s">
        <v>0</v>
      </c>
      <c r="B1" s="7" t="s">
        <v>1</v>
      </c>
      <c r="C1" s="7" t="s">
        <v>116</v>
      </c>
      <c r="D1" s="7" t="s">
        <v>2</v>
      </c>
      <c r="E1" s="7" t="s">
        <v>3</v>
      </c>
      <c r="F1" s="7" t="s">
        <v>84</v>
      </c>
      <c r="G1" s="7" t="s">
        <v>74</v>
      </c>
      <c r="H1" s="7" t="s">
        <v>4</v>
      </c>
      <c r="I1" s="7" t="s">
        <v>100</v>
      </c>
      <c r="J1" s="25" t="s">
        <v>15</v>
      </c>
      <c r="K1" s="25" t="s">
        <v>136</v>
      </c>
      <c r="L1" s="25" t="s">
        <v>139</v>
      </c>
      <c r="M1" s="25" t="s">
        <v>135</v>
      </c>
      <c r="N1" s="25" t="s">
        <v>70</v>
      </c>
      <c r="O1" s="25" t="s">
        <v>95</v>
      </c>
      <c r="P1" s="25" t="s">
        <v>98</v>
      </c>
      <c r="Q1" s="25" t="s">
        <v>96</v>
      </c>
      <c r="R1" s="25" t="s">
        <v>97</v>
      </c>
      <c r="S1" s="25" t="s">
        <v>101</v>
      </c>
      <c r="T1" s="25" t="s">
        <v>78</v>
      </c>
      <c r="U1" s="25" t="s">
        <v>106</v>
      </c>
      <c r="V1" s="25" t="s">
        <v>403</v>
      </c>
      <c r="W1" s="25" t="s">
        <v>418</v>
      </c>
      <c r="X1" s="25" t="s">
        <v>284</v>
      </c>
      <c r="Y1" s="18" t="s">
        <v>80</v>
      </c>
      <c r="Z1" s="18" t="s">
        <v>82</v>
      </c>
      <c r="AA1" s="18" t="s">
        <v>81</v>
      </c>
      <c r="AB1" s="18" t="s">
        <v>102</v>
      </c>
      <c r="AC1" s="18" t="s">
        <v>104</v>
      </c>
      <c r="AD1" s="18" t="s">
        <v>417</v>
      </c>
      <c r="AE1" s="18" t="s">
        <v>83</v>
      </c>
      <c r="AF1" s="18" t="s">
        <v>68</v>
      </c>
      <c r="AG1" s="18" t="s">
        <v>109</v>
      </c>
      <c r="AH1" s="18" t="s">
        <v>142</v>
      </c>
      <c r="AI1" s="18" t="s">
        <v>144</v>
      </c>
      <c r="AJ1" s="18" t="s">
        <v>145</v>
      </c>
      <c r="AK1" s="18" t="s">
        <v>64</v>
      </c>
      <c r="AL1" s="18" t="s">
        <v>5</v>
      </c>
      <c r="AM1" s="18" t="s">
        <v>149</v>
      </c>
      <c r="AN1" s="41" t="s">
        <v>150</v>
      </c>
      <c r="AO1" s="41" t="s">
        <v>121</v>
      </c>
      <c r="AP1" s="41" t="s">
        <v>69</v>
      </c>
      <c r="AQ1" s="41" t="s">
        <v>65</v>
      </c>
      <c r="AR1" s="41" t="s">
        <v>66</v>
      </c>
      <c r="AS1" s="41" t="s">
        <v>67</v>
      </c>
      <c r="AT1" s="239" t="s">
        <v>137</v>
      </c>
      <c r="AU1" s="240"/>
      <c r="AX1"/>
    </row>
    <row r="2" spans="1:53" s="3" customFormat="1" ht="19.95" customHeight="1">
      <c r="A2" s="17">
        <f t="shared" ref="A2:AU2" si="0">SUBTOTAL(103, A3:A118)</f>
        <v>33</v>
      </c>
      <c r="B2" s="17">
        <f t="shared" si="0"/>
        <v>33</v>
      </c>
      <c r="C2" s="17">
        <f t="shared" si="0"/>
        <v>33</v>
      </c>
      <c r="D2" s="17">
        <f t="shared" si="0"/>
        <v>33</v>
      </c>
      <c r="E2" s="36">
        <f t="shared" si="0"/>
        <v>24</v>
      </c>
      <c r="F2" s="36">
        <f t="shared" si="0"/>
        <v>32</v>
      </c>
      <c r="G2" s="36">
        <f t="shared" si="0"/>
        <v>33</v>
      </c>
      <c r="H2" s="36">
        <f t="shared" si="0"/>
        <v>33</v>
      </c>
      <c r="I2" s="36">
        <f t="shared" si="0"/>
        <v>32</v>
      </c>
      <c r="J2" s="26">
        <f t="shared" si="0"/>
        <v>33</v>
      </c>
      <c r="K2" s="26">
        <f t="shared" si="0"/>
        <v>21</v>
      </c>
      <c r="L2" s="26">
        <f t="shared" si="0"/>
        <v>10</v>
      </c>
      <c r="M2" s="26">
        <f t="shared" si="0"/>
        <v>5</v>
      </c>
      <c r="N2" s="26">
        <f t="shared" si="0"/>
        <v>33</v>
      </c>
      <c r="O2" s="26">
        <f t="shared" si="0"/>
        <v>33</v>
      </c>
      <c r="P2" s="26">
        <f t="shared" si="0"/>
        <v>33</v>
      </c>
      <c r="Q2" s="26">
        <f t="shared" si="0"/>
        <v>33</v>
      </c>
      <c r="R2" s="26">
        <f t="shared" si="0"/>
        <v>33</v>
      </c>
      <c r="S2" s="26">
        <f t="shared" si="0"/>
        <v>33</v>
      </c>
      <c r="T2" s="26">
        <f t="shared" si="0"/>
        <v>32</v>
      </c>
      <c r="U2" s="26">
        <f t="shared" si="0"/>
        <v>33</v>
      </c>
      <c r="V2" s="26">
        <f t="shared" si="0"/>
        <v>32</v>
      </c>
      <c r="W2" s="26">
        <f>SUBTOTAL(103, W3:W118)</f>
        <v>3</v>
      </c>
      <c r="X2" s="26">
        <f t="shared" si="0"/>
        <v>18</v>
      </c>
      <c r="Y2" s="19">
        <f t="shared" si="0"/>
        <v>6</v>
      </c>
      <c r="Z2" s="19">
        <f t="shared" si="0"/>
        <v>6</v>
      </c>
      <c r="AA2" s="19">
        <f t="shared" si="0"/>
        <v>6</v>
      </c>
      <c r="AB2" s="19">
        <f t="shared" si="0"/>
        <v>29</v>
      </c>
      <c r="AC2" s="19">
        <f t="shared" si="0"/>
        <v>6</v>
      </c>
      <c r="AD2" s="19">
        <f>SUBTOTAL(103, AD3:AD118)</f>
        <v>6</v>
      </c>
      <c r="AE2" s="19">
        <f t="shared" si="0"/>
        <v>5</v>
      </c>
      <c r="AF2" s="19">
        <f t="shared" si="0"/>
        <v>5</v>
      </c>
      <c r="AG2" s="19">
        <f t="shared" si="0"/>
        <v>5</v>
      </c>
      <c r="AH2" s="19">
        <f t="shared" si="0"/>
        <v>0</v>
      </c>
      <c r="AI2" s="19">
        <f t="shared" si="0"/>
        <v>6</v>
      </c>
      <c r="AJ2" s="19">
        <f t="shared" si="0"/>
        <v>3</v>
      </c>
      <c r="AK2" s="19">
        <f t="shared" si="0"/>
        <v>6</v>
      </c>
      <c r="AL2" s="19">
        <f t="shared" si="0"/>
        <v>6</v>
      </c>
      <c r="AM2" s="19">
        <f t="shared" si="0"/>
        <v>6</v>
      </c>
      <c r="AN2" s="42">
        <f t="shared" si="0"/>
        <v>33</v>
      </c>
      <c r="AO2" s="42">
        <f t="shared" si="0"/>
        <v>33</v>
      </c>
      <c r="AP2" s="42">
        <f t="shared" si="0"/>
        <v>33</v>
      </c>
      <c r="AQ2" s="42">
        <f t="shared" si="0"/>
        <v>33</v>
      </c>
      <c r="AR2" s="42">
        <f t="shared" si="0"/>
        <v>33</v>
      </c>
      <c r="AS2" s="42">
        <f t="shared" si="0"/>
        <v>33</v>
      </c>
      <c r="AT2" s="42">
        <f t="shared" si="0"/>
        <v>33</v>
      </c>
      <c r="AU2" s="42">
        <f t="shared" si="0"/>
        <v>0</v>
      </c>
      <c r="AX2"/>
    </row>
    <row r="3" spans="1:53" s="16" customFormat="1" ht="19.95" customHeight="1">
      <c r="A3" s="120" t="s">
        <v>159</v>
      </c>
      <c r="B3" s="97" t="s">
        <v>160</v>
      </c>
      <c r="C3" s="21" t="s">
        <v>176</v>
      </c>
      <c r="D3" s="20" t="s">
        <v>119</v>
      </c>
      <c r="E3" s="10" t="s">
        <v>9</v>
      </c>
      <c r="F3" s="20">
        <v>25</v>
      </c>
      <c r="G3" s="72" t="s">
        <v>61</v>
      </c>
      <c r="H3" s="37" t="s">
        <v>10</v>
      </c>
      <c r="I3" s="11" t="s">
        <v>91</v>
      </c>
      <c r="J3" s="10" t="s">
        <v>537</v>
      </c>
      <c r="K3" s="9" t="s">
        <v>456</v>
      </c>
      <c r="L3" s="12"/>
      <c r="M3" s="9" t="s">
        <v>439</v>
      </c>
      <c r="N3" s="32" t="s">
        <v>94</v>
      </c>
      <c r="O3" s="32" t="s">
        <v>90</v>
      </c>
      <c r="P3" s="32" t="s">
        <v>94</v>
      </c>
      <c r="Q3" s="32" t="s">
        <v>94</v>
      </c>
      <c r="R3" s="32" t="s">
        <v>94</v>
      </c>
      <c r="S3" s="32" t="s">
        <v>520</v>
      </c>
      <c r="T3" s="9" t="s">
        <v>188</v>
      </c>
      <c r="U3" s="8" t="s">
        <v>107</v>
      </c>
      <c r="V3" s="8" t="s">
        <v>94</v>
      </c>
      <c r="W3" s="8"/>
      <c r="X3" s="12" t="s">
        <v>274</v>
      </c>
      <c r="Y3" s="38">
        <v>46228</v>
      </c>
      <c r="Z3" s="38">
        <v>46228</v>
      </c>
      <c r="AA3" s="38">
        <v>46230</v>
      </c>
      <c r="AB3" s="38">
        <v>46218</v>
      </c>
      <c r="AC3" s="38">
        <v>46225</v>
      </c>
      <c r="AD3" s="38">
        <v>46229</v>
      </c>
      <c r="AE3" s="40">
        <v>46230</v>
      </c>
      <c r="AF3" s="40">
        <v>46230</v>
      </c>
      <c r="AG3" s="40" t="s">
        <v>478</v>
      </c>
      <c r="AH3" s="40"/>
      <c r="AI3" s="40">
        <v>46230</v>
      </c>
      <c r="AJ3" s="40">
        <v>46230</v>
      </c>
      <c r="AK3" s="40" t="s">
        <v>415</v>
      </c>
      <c r="AL3" s="40" t="s">
        <v>416</v>
      </c>
      <c r="AM3" s="40">
        <v>46228</v>
      </c>
      <c r="AN3" s="27" t="s">
        <v>77</v>
      </c>
      <c r="AO3" s="27">
        <v>46231</v>
      </c>
      <c r="AP3" s="27">
        <v>46231</v>
      </c>
      <c r="AQ3" s="27">
        <v>46234</v>
      </c>
      <c r="AR3" s="27" t="s">
        <v>77</v>
      </c>
      <c r="AS3" s="27">
        <v>46234</v>
      </c>
      <c r="AT3" s="27" t="s">
        <v>77</v>
      </c>
      <c r="AU3" s="87"/>
      <c r="AW3"/>
      <c r="AX3"/>
      <c r="AY3"/>
      <c r="AZ3"/>
      <c r="BA3"/>
    </row>
    <row r="4" spans="1:53" ht="19.95" customHeight="1">
      <c r="A4" s="273" t="s">
        <v>152</v>
      </c>
      <c r="B4" s="96" t="s">
        <v>153</v>
      </c>
      <c r="C4" s="89" t="s">
        <v>174</v>
      </c>
      <c r="D4" s="88" t="s">
        <v>119</v>
      </c>
      <c r="E4" s="10" t="s">
        <v>9</v>
      </c>
      <c r="F4" s="110">
        <v>30</v>
      </c>
      <c r="G4" s="72" t="s">
        <v>61</v>
      </c>
      <c r="H4" s="37" t="s">
        <v>8</v>
      </c>
      <c r="I4" s="11" t="s">
        <v>61</v>
      </c>
      <c r="J4" s="10" t="s">
        <v>537</v>
      </c>
      <c r="K4" s="9"/>
      <c r="L4" s="9"/>
      <c r="M4" s="9" t="s">
        <v>489</v>
      </c>
      <c r="N4" s="32" t="s">
        <v>94</v>
      </c>
      <c r="O4" s="32" t="s">
        <v>90</v>
      </c>
      <c r="P4" s="32" t="s">
        <v>94</v>
      </c>
      <c r="Q4" s="32" t="s">
        <v>94</v>
      </c>
      <c r="R4" s="32" t="s">
        <v>94</v>
      </c>
      <c r="S4" s="32" t="s">
        <v>520</v>
      </c>
      <c r="T4" s="9" t="s">
        <v>184</v>
      </c>
      <c r="U4" s="8" t="s">
        <v>107</v>
      </c>
      <c r="V4" s="8" t="s">
        <v>94</v>
      </c>
      <c r="W4" s="8"/>
      <c r="X4" s="12" t="s">
        <v>469</v>
      </c>
      <c r="Y4" s="38">
        <v>46230</v>
      </c>
      <c r="Z4" s="38">
        <v>46230</v>
      </c>
      <c r="AA4" s="38">
        <v>46232</v>
      </c>
      <c r="AB4" s="38">
        <v>46218</v>
      </c>
      <c r="AC4" s="38">
        <v>46230</v>
      </c>
      <c r="AD4" s="38">
        <v>46233</v>
      </c>
      <c r="AE4" s="40">
        <v>46231</v>
      </c>
      <c r="AF4" s="40">
        <v>46233</v>
      </c>
      <c r="AG4" s="40" t="s">
        <v>490</v>
      </c>
      <c r="AH4" s="40"/>
      <c r="AI4" s="40">
        <v>46233</v>
      </c>
      <c r="AJ4" s="40"/>
      <c r="AK4" s="40" t="s">
        <v>415</v>
      </c>
      <c r="AL4" s="40" t="s">
        <v>416</v>
      </c>
      <c r="AM4" s="40">
        <v>46230</v>
      </c>
      <c r="AN4" s="27" t="s">
        <v>470</v>
      </c>
      <c r="AO4" s="27">
        <v>46233</v>
      </c>
      <c r="AP4" s="27">
        <v>46234</v>
      </c>
      <c r="AQ4" s="27">
        <v>46234</v>
      </c>
      <c r="AR4" s="27" t="s">
        <v>77</v>
      </c>
      <c r="AS4" s="27">
        <v>46233</v>
      </c>
      <c r="AT4" s="27" t="s">
        <v>77</v>
      </c>
      <c r="AU4" s="87"/>
    </row>
    <row r="5" spans="1:53" s="16" customFormat="1" ht="19.95" customHeight="1">
      <c r="A5" s="120" t="s">
        <v>156</v>
      </c>
      <c r="B5" s="97" t="s">
        <v>157</v>
      </c>
      <c r="C5" s="21" t="s">
        <v>174</v>
      </c>
      <c r="D5" s="20" t="s">
        <v>119</v>
      </c>
      <c r="E5" s="10" t="s">
        <v>12</v>
      </c>
      <c r="F5" s="20">
        <v>25</v>
      </c>
      <c r="G5" s="72" t="s">
        <v>61</v>
      </c>
      <c r="H5" s="37" t="s">
        <v>8</v>
      </c>
      <c r="I5" s="11" t="s">
        <v>61</v>
      </c>
      <c r="J5" s="10" t="s">
        <v>108</v>
      </c>
      <c r="K5" s="9" t="s">
        <v>471</v>
      </c>
      <c r="L5" s="9" t="s">
        <v>467</v>
      </c>
      <c r="M5" s="9" t="s">
        <v>472</v>
      </c>
      <c r="N5" s="32" t="s">
        <v>94</v>
      </c>
      <c r="O5" s="32" t="s">
        <v>90</v>
      </c>
      <c r="P5" s="32" t="s">
        <v>94</v>
      </c>
      <c r="Q5" s="32" t="s">
        <v>94</v>
      </c>
      <c r="R5" s="32" t="s">
        <v>94</v>
      </c>
      <c r="S5" s="32" t="s">
        <v>520</v>
      </c>
      <c r="T5" s="9" t="s">
        <v>186</v>
      </c>
      <c r="U5" s="8" t="s">
        <v>107</v>
      </c>
      <c r="V5" s="8" t="s">
        <v>94</v>
      </c>
      <c r="W5" s="8" t="s">
        <v>419</v>
      </c>
      <c r="X5" s="12" t="s">
        <v>158</v>
      </c>
      <c r="Y5" s="38">
        <v>46227</v>
      </c>
      <c r="Z5" s="38">
        <v>46227</v>
      </c>
      <c r="AA5" s="38">
        <v>46229</v>
      </c>
      <c r="AB5" s="38">
        <v>46218</v>
      </c>
      <c r="AC5" s="38">
        <v>46228</v>
      </c>
      <c r="AD5" s="38">
        <v>46229</v>
      </c>
      <c r="AE5" s="40">
        <v>46229</v>
      </c>
      <c r="AF5" s="40">
        <v>46230</v>
      </c>
      <c r="AG5" s="40" t="s">
        <v>476</v>
      </c>
      <c r="AH5" s="40"/>
      <c r="AI5" s="40">
        <v>46229</v>
      </c>
      <c r="AJ5" s="40">
        <v>46229</v>
      </c>
      <c r="AK5" s="40" t="s">
        <v>458</v>
      </c>
      <c r="AL5" s="40" t="s">
        <v>477</v>
      </c>
      <c r="AM5" s="40">
        <v>46227</v>
      </c>
      <c r="AN5" s="27" t="s">
        <v>470</v>
      </c>
      <c r="AO5" s="27">
        <v>46229</v>
      </c>
      <c r="AP5" s="27">
        <v>46229</v>
      </c>
      <c r="AQ5" s="27">
        <v>46237</v>
      </c>
      <c r="AR5" s="27" t="s">
        <v>77</v>
      </c>
      <c r="AS5" s="27">
        <v>46231</v>
      </c>
      <c r="AT5" s="27" t="s">
        <v>77</v>
      </c>
      <c r="AU5" s="87"/>
      <c r="AY5"/>
      <c r="AZ5"/>
      <c r="BA5"/>
    </row>
    <row r="6" spans="1:53" s="16" customFormat="1" ht="19.95" customHeight="1">
      <c r="A6" s="97" t="s">
        <v>154</v>
      </c>
      <c r="B6" s="97" t="s">
        <v>155</v>
      </c>
      <c r="C6" s="21" t="s">
        <v>174</v>
      </c>
      <c r="D6" s="20" t="s">
        <v>119</v>
      </c>
      <c r="E6" s="10" t="s">
        <v>12</v>
      </c>
      <c r="F6" s="91">
        <v>30</v>
      </c>
      <c r="G6" s="72" t="s">
        <v>61</v>
      </c>
      <c r="H6" s="72" t="s">
        <v>8</v>
      </c>
      <c r="I6" s="72" t="s">
        <v>61</v>
      </c>
      <c r="J6" s="10" t="s">
        <v>108</v>
      </c>
      <c r="K6" s="9"/>
      <c r="L6" s="12"/>
      <c r="M6" s="9" t="s">
        <v>475</v>
      </c>
      <c r="N6" s="32" t="s">
        <v>94</v>
      </c>
      <c r="O6" s="32" t="s">
        <v>90</v>
      </c>
      <c r="P6" s="32" t="s">
        <v>94</v>
      </c>
      <c r="Q6" s="32" t="s">
        <v>94</v>
      </c>
      <c r="R6" s="32" t="s">
        <v>94</v>
      </c>
      <c r="S6" s="32" t="s">
        <v>520</v>
      </c>
      <c r="T6" s="9" t="s">
        <v>185</v>
      </c>
      <c r="U6" s="8" t="s">
        <v>107</v>
      </c>
      <c r="V6" s="8" t="s">
        <v>94</v>
      </c>
      <c r="W6" s="8"/>
      <c r="X6" s="12" t="s">
        <v>469</v>
      </c>
      <c r="Y6" s="38">
        <v>46230</v>
      </c>
      <c r="Z6" s="38">
        <v>46230</v>
      </c>
      <c r="AA6" s="38">
        <v>46234</v>
      </c>
      <c r="AB6" s="38">
        <v>46218</v>
      </c>
      <c r="AC6" s="38">
        <v>46230</v>
      </c>
      <c r="AD6" s="38">
        <v>46233</v>
      </c>
      <c r="AE6" s="40">
        <v>46234</v>
      </c>
      <c r="AF6" s="40">
        <v>46234</v>
      </c>
      <c r="AG6" s="40" t="s">
        <v>478</v>
      </c>
      <c r="AH6" s="40"/>
      <c r="AI6" s="40">
        <v>46232</v>
      </c>
      <c r="AJ6" s="40"/>
      <c r="AK6" s="40" t="s">
        <v>415</v>
      </c>
      <c r="AL6" s="40" t="s">
        <v>477</v>
      </c>
      <c r="AM6" s="40">
        <v>46230</v>
      </c>
      <c r="AN6" s="27" t="s">
        <v>77</v>
      </c>
      <c r="AO6" s="27">
        <v>46233</v>
      </c>
      <c r="AP6" s="27">
        <v>46237</v>
      </c>
      <c r="AQ6" s="27">
        <v>46237</v>
      </c>
      <c r="AR6" s="27" t="s">
        <v>77</v>
      </c>
      <c r="AS6" s="27">
        <v>46235</v>
      </c>
      <c r="AT6" s="27" t="s">
        <v>77</v>
      </c>
      <c r="AU6" s="87"/>
      <c r="BA6"/>
    </row>
    <row r="7" spans="1:53" s="16" customFormat="1" ht="19.95" customHeight="1">
      <c r="A7" s="53" t="s">
        <v>171</v>
      </c>
      <c r="B7" s="53" t="s">
        <v>179</v>
      </c>
      <c r="C7" s="21" t="s">
        <v>176</v>
      </c>
      <c r="D7" s="20" t="s">
        <v>119</v>
      </c>
      <c r="E7" s="10" t="s">
        <v>9</v>
      </c>
      <c r="F7" s="91">
        <v>30</v>
      </c>
      <c r="G7" s="72" t="s">
        <v>61</v>
      </c>
      <c r="H7" s="72" t="s">
        <v>8</v>
      </c>
      <c r="I7" s="11" t="s">
        <v>61</v>
      </c>
      <c r="J7" s="10" t="s">
        <v>435</v>
      </c>
      <c r="K7" s="9" t="s">
        <v>455</v>
      </c>
      <c r="L7" s="12"/>
      <c r="M7" s="9" t="s">
        <v>474</v>
      </c>
      <c r="N7" s="32" t="s">
        <v>94</v>
      </c>
      <c r="O7" s="32" t="s">
        <v>90</v>
      </c>
      <c r="P7" s="32" t="s">
        <v>94</v>
      </c>
      <c r="Q7" s="32" t="s">
        <v>94</v>
      </c>
      <c r="R7" s="32" t="s">
        <v>94</v>
      </c>
      <c r="S7" s="32" t="s">
        <v>520</v>
      </c>
      <c r="T7" s="9" t="s">
        <v>187</v>
      </c>
      <c r="U7" s="8" t="s">
        <v>107</v>
      </c>
      <c r="V7" s="8" t="s">
        <v>94</v>
      </c>
      <c r="W7" s="8" t="s">
        <v>419</v>
      </c>
      <c r="X7" s="12" t="s">
        <v>264</v>
      </c>
      <c r="Y7" s="39">
        <v>46224</v>
      </c>
      <c r="Z7" s="38">
        <v>46225</v>
      </c>
      <c r="AA7" s="38">
        <v>46227</v>
      </c>
      <c r="AB7" s="38">
        <v>46218</v>
      </c>
      <c r="AC7" s="38">
        <v>46225</v>
      </c>
      <c r="AD7" s="38">
        <v>46227</v>
      </c>
      <c r="AE7" s="40">
        <v>46233</v>
      </c>
      <c r="AF7" s="40">
        <v>46233</v>
      </c>
      <c r="AG7" s="40" t="s">
        <v>490</v>
      </c>
      <c r="AH7" s="40"/>
      <c r="AI7" s="40">
        <v>46227</v>
      </c>
      <c r="AJ7" s="40">
        <v>46227</v>
      </c>
      <c r="AK7" s="40" t="s">
        <v>415</v>
      </c>
      <c r="AL7" s="40" t="s">
        <v>416</v>
      </c>
      <c r="AM7" s="40">
        <v>46225</v>
      </c>
      <c r="AN7" s="27">
        <v>46230</v>
      </c>
      <c r="AO7" s="27" t="s">
        <v>77</v>
      </c>
      <c r="AP7" s="27" t="s">
        <v>77</v>
      </c>
      <c r="AQ7" s="27" t="s">
        <v>77</v>
      </c>
      <c r="AR7" s="27" t="s">
        <v>77</v>
      </c>
      <c r="AS7" s="27">
        <v>46237</v>
      </c>
      <c r="AT7" s="27" t="s">
        <v>77</v>
      </c>
      <c r="AU7" s="87"/>
      <c r="AW7"/>
      <c r="AX7"/>
      <c r="BA7"/>
    </row>
    <row r="8" spans="1:53" s="16" customFormat="1" ht="19.95" customHeight="1">
      <c r="A8" s="97" t="s">
        <v>169</v>
      </c>
      <c r="B8" s="97" t="s">
        <v>177</v>
      </c>
      <c r="C8" s="21" t="s">
        <v>176</v>
      </c>
      <c r="D8" s="20" t="s">
        <v>119</v>
      </c>
      <c r="E8" s="10" t="s">
        <v>221</v>
      </c>
      <c r="F8" s="91">
        <v>20</v>
      </c>
      <c r="G8" s="72" t="s">
        <v>61</v>
      </c>
      <c r="H8" s="72" t="s">
        <v>8</v>
      </c>
      <c r="I8" s="11" t="s">
        <v>61</v>
      </c>
      <c r="J8" s="10" t="s">
        <v>435</v>
      </c>
      <c r="K8" s="9" t="s">
        <v>473</v>
      </c>
      <c r="L8" s="12" t="s">
        <v>457</v>
      </c>
      <c r="M8" s="9"/>
      <c r="N8" s="32" t="s">
        <v>94</v>
      </c>
      <c r="O8" s="32" t="s">
        <v>94</v>
      </c>
      <c r="P8" s="32" t="s">
        <v>94</v>
      </c>
      <c r="Q8" s="32" t="s">
        <v>94</v>
      </c>
      <c r="R8" s="32" t="s">
        <v>94</v>
      </c>
      <c r="S8" s="32" t="s">
        <v>520</v>
      </c>
      <c r="T8" s="9" t="s">
        <v>309</v>
      </c>
      <c r="U8" s="8" t="s">
        <v>107</v>
      </c>
      <c r="V8" s="8" t="s">
        <v>94</v>
      </c>
      <c r="W8" s="8"/>
      <c r="X8" s="12" t="s">
        <v>454</v>
      </c>
      <c r="Y8" s="39">
        <v>46229</v>
      </c>
      <c r="Z8" s="38">
        <v>46232</v>
      </c>
      <c r="AA8" s="38">
        <v>46236</v>
      </c>
      <c r="AB8" s="38">
        <v>46218</v>
      </c>
      <c r="AC8" s="38">
        <v>46230</v>
      </c>
      <c r="AD8" s="38">
        <v>46234</v>
      </c>
      <c r="AE8" s="40"/>
      <c r="AF8" s="40"/>
      <c r="AG8" s="40"/>
      <c r="AH8" s="40"/>
      <c r="AI8" s="40">
        <v>46235</v>
      </c>
      <c r="AJ8" s="40"/>
      <c r="AK8" s="40" t="s">
        <v>415</v>
      </c>
      <c r="AL8" s="40" t="s">
        <v>477</v>
      </c>
      <c r="AM8" s="40">
        <v>46232</v>
      </c>
      <c r="AN8" s="27" t="s">
        <v>77</v>
      </c>
      <c r="AO8" s="27">
        <v>46236</v>
      </c>
      <c r="AP8" s="27">
        <v>46237</v>
      </c>
      <c r="AQ8" s="27" t="s">
        <v>77</v>
      </c>
      <c r="AR8" s="27" t="s">
        <v>77</v>
      </c>
      <c r="AS8" s="27" t="s">
        <v>77</v>
      </c>
      <c r="AT8" s="27" t="s">
        <v>77</v>
      </c>
      <c r="AU8" s="27"/>
      <c r="AV8"/>
      <c r="AW8"/>
      <c r="AX8"/>
      <c r="AY8"/>
      <c r="AZ8"/>
      <c r="BA8"/>
    </row>
    <row r="9" spans="1:53" ht="19.95" customHeight="1">
      <c r="A9" s="97" t="s">
        <v>194</v>
      </c>
      <c r="B9" s="97" t="s">
        <v>195</v>
      </c>
      <c r="C9" s="21" t="s">
        <v>176</v>
      </c>
      <c r="D9" s="20" t="s">
        <v>133</v>
      </c>
      <c r="E9" s="10" t="s">
        <v>138</v>
      </c>
      <c r="F9" s="107">
        <v>25</v>
      </c>
      <c r="G9" s="72" t="s">
        <v>61</v>
      </c>
      <c r="H9" s="72" t="s">
        <v>10</v>
      </c>
      <c r="I9" s="11" t="s">
        <v>10</v>
      </c>
      <c r="J9" s="10" t="s">
        <v>17</v>
      </c>
      <c r="K9" s="9"/>
      <c r="L9" s="12"/>
      <c r="M9" s="9"/>
      <c r="N9" s="32" t="s">
        <v>94</v>
      </c>
      <c r="O9" s="32" t="s">
        <v>90</v>
      </c>
      <c r="P9" s="32" t="s">
        <v>94</v>
      </c>
      <c r="Q9" s="32" t="s">
        <v>94</v>
      </c>
      <c r="R9" s="32" t="s">
        <v>94</v>
      </c>
      <c r="S9" s="32" t="s">
        <v>77</v>
      </c>
      <c r="T9" s="9" t="s">
        <v>220</v>
      </c>
      <c r="U9" s="8" t="s">
        <v>107</v>
      </c>
      <c r="V9" s="8" t="s">
        <v>94</v>
      </c>
      <c r="W9" s="8" t="s">
        <v>419</v>
      </c>
      <c r="X9" s="12" t="s">
        <v>423</v>
      </c>
      <c r="Y9" s="39"/>
      <c r="Z9" s="38"/>
      <c r="AA9" s="38"/>
      <c r="AB9" s="38">
        <v>46234</v>
      </c>
      <c r="AC9" s="38"/>
      <c r="AD9" s="38"/>
      <c r="AE9" s="40"/>
      <c r="AF9" s="40"/>
      <c r="AG9" s="40"/>
      <c r="AH9" s="40"/>
      <c r="AI9" s="40"/>
      <c r="AJ9" s="40"/>
      <c r="AK9" s="40"/>
      <c r="AL9" s="40"/>
      <c r="AM9" s="40"/>
      <c r="AN9" s="27" t="s">
        <v>77</v>
      </c>
      <c r="AO9" s="27" t="s">
        <v>77</v>
      </c>
      <c r="AP9" s="27" t="s">
        <v>77</v>
      </c>
      <c r="AQ9" s="27" t="s">
        <v>77</v>
      </c>
      <c r="AR9" s="27" t="s">
        <v>77</v>
      </c>
      <c r="AS9" s="27" t="s">
        <v>77</v>
      </c>
      <c r="AT9" s="27" t="s">
        <v>77</v>
      </c>
      <c r="AU9" s="27"/>
      <c r="AV9" s="16"/>
    </row>
    <row r="10" spans="1:53" s="16" customFormat="1" ht="19.95" customHeight="1">
      <c r="A10" s="113" t="s">
        <v>202</v>
      </c>
      <c r="B10" s="21" t="s">
        <v>203</v>
      </c>
      <c r="C10" s="21" t="s">
        <v>218</v>
      </c>
      <c r="D10" s="20" t="s">
        <v>133</v>
      </c>
      <c r="E10" s="10" t="s">
        <v>404</v>
      </c>
      <c r="F10" s="20">
        <v>30</v>
      </c>
      <c r="G10" s="72" t="s">
        <v>61</v>
      </c>
      <c r="H10" s="37" t="s">
        <v>8</v>
      </c>
      <c r="I10" s="37" t="s">
        <v>61</v>
      </c>
      <c r="J10" s="10" t="s">
        <v>17</v>
      </c>
      <c r="K10" s="9" t="s">
        <v>440</v>
      </c>
      <c r="L10" s="9"/>
      <c r="M10" s="119"/>
      <c r="N10" s="32" t="s">
        <v>94</v>
      </c>
      <c r="O10" s="32" t="s">
        <v>90</v>
      </c>
      <c r="P10" s="32" t="s">
        <v>94</v>
      </c>
      <c r="Q10" s="32" t="s">
        <v>77</v>
      </c>
      <c r="R10" s="32" t="s">
        <v>94</v>
      </c>
      <c r="S10" s="32" t="s">
        <v>77</v>
      </c>
      <c r="T10" s="9" t="s">
        <v>313</v>
      </c>
      <c r="U10" s="8" t="s">
        <v>189</v>
      </c>
      <c r="V10" s="8" t="s">
        <v>94</v>
      </c>
      <c r="W10" s="8"/>
      <c r="X10" s="12" t="s">
        <v>512</v>
      </c>
      <c r="Y10" s="39"/>
      <c r="Z10" s="38"/>
      <c r="AA10" s="38"/>
      <c r="AB10" s="38">
        <v>46224</v>
      </c>
      <c r="AC10" s="38"/>
      <c r="AD10" s="38"/>
      <c r="AE10" s="40"/>
      <c r="AF10" s="40"/>
      <c r="AG10" s="40"/>
      <c r="AH10" s="40"/>
      <c r="AI10" s="40"/>
      <c r="AJ10" s="40"/>
      <c r="AK10" s="40"/>
      <c r="AL10" s="40"/>
      <c r="AM10" s="40"/>
      <c r="AN10" s="27" t="s">
        <v>77</v>
      </c>
      <c r="AO10" s="27" t="s">
        <v>77</v>
      </c>
      <c r="AP10" s="27" t="s">
        <v>77</v>
      </c>
      <c r="AQ10" s="27" t="s">
        <v>77</v>
      </c>
      <c r="AR10" s="27" t="s">
        <v>77</v>
      </c>
      <c r="AS10" s="27" t="s">
        <v>77</v>
      </c>
      <c r="AT10" s="27" t="s">
        <v>77</v>
      </c>
      <c r="AU10" s="87"/>
      <c r="AW10"/>
      <c r="AX10"/>
      <c r="AY10"/>
      <c r="AZ10"/>
      <c r="BA10"/>
    </row>
    <row r="11" spans="1:53" s="16" customFormat="1" ht="19.95" customHeight="1">
      <c r="A11" s="9" t="s">
        <v>200</v>
      </c>
      <c r="B11" s="9" t="s">
        <v>201</v>
      </c>
      <c r="C11" s="58" t="s">
        <v>218</v>
      </c>
      <c r="D11" s="104" t="s">
        <v>133</v>
      </c>
      <c r="E11" s="10" t="s">
        <v>138</v>
      </c>
      <c r="F11" s="274">
        <v>30</v>
      </c>
      <c r="G11" s="72" t="s">
        <v>61</v>
      </c>
      <c r="H11" s="72" t="s">
        <v>8</v>
      </c>
      <c r="I11" s="11" t="s">
        <v>61</v>
      </c>
      <c r="J11" s="10" t="s">
        <v>17</v>
      </c>
      <c r="K11" s="9" t="s">
        <v>440</v>
      </c>
      <c r="L11" s="9"/>
      <c r="M11" s="119"/>
      <c r="N11" s="32" t="s">
        <v>94</v>
      </c>
      <c r="O11" s="32" t="s">
        <v>90</v>
      </c>
      <c r="P11" s="32" t="s">
        <v>94</v>
      </c>
      <c r="Q11" s="32" t="s">
        <v>77</v>
      </c>
      <c r="R11" s="32" t="s">
        <v>94</v>
      </c>
      <c r="S11" s="32" t="s">
        <v>77</v>
      </c>
      <c r="T11" s="9" t="s">
        <v>496</v>
      </c>
      <c r="U11" s="8" t="s">
        <v>189</v>
      </c>
      <c r="V11" s="8" t="s">
        <v>94</v>
      </c>
      <c r="W11" s="8"/>
      <c r="X11" s="12" t="s">
        <v>513</v>
      </c>
      <c r="Y11" s="39"/>
      <c r="Z11" s="38"/>
      <c r="AA11" s="38"/>
      <c r="AB11" s="38">
        <v>46234</v>
      </c>
      <c r="AC11" s="38"/>
      <c r="AD11" s="38"/>
      <c r="AE11" s="40"/>
      <c r="AF11" s="40"/>
      <c r="AG11" s="40"/>
      <c r="AH11" s="40"/>
      <c r="AI11" s="40"/>
      <c r="AJ11" s="40"/>
      <c r="AK11" s="40"/>
      <c r="AL11" s="40"/>
      <c r="AM11" s="40"/>
      <c r="AN11" s="27" t="s">
        <v>77</v>
      </c>
      <c r="AO11" s="27" t="s">
        <v>77</v>
      </c>
      <c r="AP11" s="27" t="s">
        <v>77</v>
      </c>
      <c r="AQ11" s="27" t="s">
        <v>77</v>
      </c>
      <c r="AR11" s="27" t="s">
        <v>77</v>
      </c>
      <c r="AS11" s="27" t="s">
        <v>77</v>
      </c>
      <c r="AT11" s="27" t="s">
        <v>77</v>
      </c>
      <c r="AU11" s="27"/>
      <c r="BA11"/>
    </row>
    <row r="12" spans="1:53" s="16" customFormat="1" ht="19.95" customHeight="1">
      <c r="A12" s="175" t="s">
        <v>204</v>
      </c>
      <c r="B12" s="176" t="s">
        <v>205</v>
      </c>
      <c r="C12" s="35" t="s">
        <v>218</v>
      </c>
      <c r="D12" s="8" t="s">
        <v>133</v>
      </c>
      <c r="E12" s="10" t="s">
        <v>404</v>
      </c>
      <c r="F12" s="108">
        <v>20</v>
      </c>
      <c r="G12" s="72" t="s">
        <v>61</v>
      </c>
      <c r="H12" s="37" t="s">
        <v>10</v>
      </c>
      <c r="I12" s="11" t="s">
        <v>10</v>
      </c>
      <c r="J12" s="10" t="s">
        <v>17</v>
      </c>
      <c r="K12" s="9" t="s">
        <v>667</v>
      </c>
      <c r="L12" s="9">
        <v>19236</v>
      </c>
      <c r="M12" s="119"/>
      <c r="N12" s="32" t="s">
        <v>603</v>
      </c>
      <c r="O12" s="32" t="s">
        <v>94</v>
      </c>
      <c r="P12" s="32" t="s">
        <v>94</v>
      </c>
      <c r="Q12" s="32" t="s">
        <v>94</v>
      </c>
      <c r="R12" s="32" t="s">
        <v>94</v>
      </c>
      <c r="S12" s="32" t="s">
        <v>77</v>
      </c>
      <c r="T12" s="9" t="s">
        <v>519</v>
      </c>
      <c r="U12" s="8" t="s">
        <v>189</v>
      </c>
      <c r="V12" s="8" t="s">
        <v>77</v>
      </c>
      <c r="W12" s="8"/>
      <c r="X12" s="12"/>
      <c r="Y12" s="39"/>
      <c r="Z12" s="38"/>
      <c r="AA12" s="38"/>
      <c r="AB12" s="38">
        <v>46234</v>
      </c>
      <c r="AC12" s="38"/>
      <c r="AD12" s="38"/>
      <c r="AE12" s="40"/>
      <c r="AF12" s="40"/>
      <c r="AG12" s="40"/>
      <c r="AH12" s="40"/>
      <c r="AI12" s="40"/>
      <c r="AJ12" s="40"/>
      <c r="AK12" s="40"/>
      <c r="AL12" s="40"/>
      <c r="AM12" s="40"/>
      <c r="AN12" s="27" t="s">
        <v>77</v>
      </c>
      <c r="AO12" s="27" t="s">
        <v>77</v>
      </c>
      <c r="AP12" s="27" t="s">
        <v>77</v>
      </c>
      <c r="AQ12" s="27" t="s">
        <v>77</v>
      </c>
      <c r="AR12" s="27" t="s">
        <v>77</v>
      </c>
      <c r="AS12" s="27" t="s">
        <v>77</v>
      </c>
      <c r="AT12" s="27" t="s">
        <v>77</v>
      </c>
      <c r="AU12" s="27"/>
      <c r="BA12"/>
    </row>
    <row r="13" spans="1:53" s="16" customFormat="1" ht="19.95" customHeight="1">
      <c r="A13" s="175" t="s">
        <v>170</v>
      </c>
      <c r="B13" s="176" t="s">
        <v>178</v>
      </c>
      <c r="C13" s="35" t="s">
        <v>176</v>
      </c>
      <c r="D13" s="8" t="s">
        <v>118</v>
      </c>
      <c r="E13" s="10"/>
      <c r="F13" s="108">
        <v>30</v>
      </c>
      <c r="G13" s="72" t="s">
        <v>87</v>
      </c>
      <c r="H13" s="37" t="s">
        <v>7</v>
      </c>
      <c r="I13" s="11" t="s">
        <v>7</v>
      </c>
      <c r="J13" s="10" t="s">
        <v>17</v>
      </c>
      <c r="K13" s="9"/>
      <c r="L13" s="9"/>
      <c r="M13" s="119"/>
      <c r="N13" s="32" t="s">
        <v>77</v>
      </c>
      <c r="O13" s="32" t="s">
        <v>90</v>
      </c>
      <c r="P13" s="32" t="s">
        <v>94</v>
      </c>
      <c r="Q13" s="32" t="s">
        <v>77</v>
      </c>
      <c r="R13" s="32" t="s">
        <v>76</v>
      </c>
      <c r="S13" s="32" t="s">
        <v>77</v>
      </c>
      <c r="T13" s="9" t="s">
        <v>7</v>
      </c>
      <c r="U13" s="8" t="s">
        <v>105</v>
      </c>
      <c r="V13" s="8" t="s">
        <v>7</v>
      </c>
      <c r="W13" s="8"/>
      <c r="X13" s="12"/>
      <c r="Y13" s="39"/>
      <c r="Z13" s="38"/>
      <c r="AA13" s="38"/>
      <c r="AB13" s="38">
        <v>46218</v>
      </c>
      <c r="AC13" s="38"/>
      <c r="AD13" s="38"/>
      <c r="AE13" s="40"/>
      <c r="AF13" s="40"/>
      <c r="AG13" s="40"/>
      <c r="AH13" s="40"/>
      <c r="AI13" s="40"/>
      <c r="AJ13" s="40"/>
      <c r="AK13" s="40"/>
      <c r="AL13" s="40"/>
      <c r="AM13" s="40"/>
      <c r="AN13" s="27" t="s">
        <v>77</v>
      </c>
      <c r="AO13" s="27" t="s">
        <v>77</v>
      </c>
      <c r="AP13" s="27" t="s">
        <v>77</v>
      </c>
      <c r="AQ13" s="27" t="s">
        <v>77</v>
      </c>
      <c r="AR13" s="27" t="s">
        <v>77</v>
      </c>
      <c r="AS13" s="27" t="s">
        <v>77</v>
      </c>
      <c r="AT13" s="27" t="s">
        <v>77</v>
      </c>
      <c r="AU13" s="27"/>
      <c r="AV13"/>
      <c r="BA13"/>
    </row>
    <row r="14" spans="1:53" s="16" customFormat="1" ht="19.95" customHeight="1">
      <c r="A14" s="114" t="s">
        <v>214</v>
      </c>
      <c r="B14" s="89" t="s">
        <v>215</v>
      </c>
      <c r="C14" s="89" t="s">
        <v>218</v>
      </c>
      <c r="D14" s="88" t="s">
        <v>6</v>
      </c>
      <c r="E14" s="10" t="s">
        <v>140</v>
      </c>
      <c r="F14" s="110">
        <v>22</v>
      </c>
      <c r="G14" s="72" t="s">
        <v>87</v>
      </c>
      <c r="H14" s="37" t="s">
        <v>8</v>
      </c>
      <c r="I14" s="37" t="s">
        <v>61</v>
      </c>
      <c r="J14" s="10" t="s">
        <v>17</v>
      </c>
      <c r="K14" s="9"/>
      <c r="L14" s="9"/>
      <c r="M14" s="119"/>
      <c r="N14" s="32" t="s">
        <v>77</v>
      </c>
      <c r="O14" s="32" t="s">
        <v>90</v>
      </c>
      <c r="P14" s="32" t="s">
        <v>94</v>
      </c>
      <c r="Q14" s="32" t="s">
        <v>94</v>
      </c>
      <c r="R14" s="32" t="s">
        <v>94</v>
      </c>
      <c r="S14" s="32" t="s">
        <v>77</v>
      </c>
      <c r="T14" s="9" t="s">
        <v>311</v>
      </c>
      <c r="U14" s="8" t="s">
        <v>107</v>
      </c>
      <c r="V14" s="8" t="s">
        <v>94</v>
      </c>
      <c r="W14" s="8"/>
      <c r="X14" s="12" t="s">
        <v>407</v>
      </c>
      <c r="Y14" s="39"/>
      <c r="Z14" s="38"/>
      <c r="AA14" s="38"/>
      <c r="AB14" s="38">
        <v>46224</v>
      </c>
      <c r="AC14" s="38"/>
      <c r="AD14" s="38"/>
      <c r="AE14" s="40"/>
      <c r="AF14" s="40"/>
      <c r="AG14" s="40"/>
      <c r="AH14" s="40"/>
      <c r="AI14" s="40"/>
      <c r="AJ14" s="40"/>
      <c r="AK14" s="40"/>
      <c r="AL14" s="40"/>
      <c r="AM14" s="40"/>
      <c r="AN14" s="27" t="s">
        <v>77</v>
      </c>
      <c r="AO14" s="27" t="s">
        <v>77</v>
      </c>
      <c r="AP14" s="27" t="s">
        <v>77</v>
      </c>
      <c r="AQ14" s="27" t="s">
        <v>77</v>
      </c>
      <c r="AR14" s="27" t="s">
        <v>77</v>
      </c>
      <c r="AS14" s="27" t="s">
        <v>77</v>
      </c>
      <c r="AT14" s="27" t="s">
        <v>77</v>
      </c>
      <c r="AU14" s="87"/>
      <c r="AV14"/>
      <c r="BA14"/>
    </row>
    <row r="15" spans="1:53" s="16" customFormat="1" ht="19.95" customHeight="1">
      <c r="A15" s="133" t="s">
        <v>212</v>
      </c>
      <c r="B15" s="134" t="s">
        <v>296</v>
      </c>
      <c r="C15" s="103" t="s">
        <v>218</v>
      </c>
      <c r="D15" s="105" t="s">
        <v>118</v>
      </c>
      <c r="E15" s="10"/>
      <c r="F15" s="109">
        <v>30</v>
      </c>
      <c r="G15" s="72" t="s">
        <v>87</v>
      </c>
      <c r="H15" s="37" t="s">
        <v>8</v>
      </c>
      <c r="I15" s="11" t="s">
        <v>61</v>
      </c>
      <c r="J15" s="10" t="s">
        <v>17</v>
      </c>
      <c r="K15" s="9"/>
      <c r="L15" s="9"/>
      <c r="M15" s="119"/>
      <c r="N15" s="32" t="s">
        <v>77</v>
      </c>
      <c r="O15" s="32" t="s">
        <v>77</v>
      </c>
      <c r="P15" s="32" t="s">
        <v>94</v>
      </c>
      <c r="Q15" s="32" t="s">
        <v>77</v>
      </c>
      <c r="R15" s="32" t="s">
        <v>77</v>
      </c>
      <c r="S15" s="32" t="s">
        <v>77</v>
      </c>
      <c r="T15" s="9" t="s">
        <v>310</v>
      </c>
      <c r="U15" s="8" t="s">
        <v>189</v>
      </c>
      <c r="V15" s="8" t="s">
        <v>77</v>
      </c>
      <c r="W15" s="8"/>
      <c r="X15" s="12" t="s">
        <v>406</v>
      </c>
      <c r="Y15" s="39"/>
      <c r="Z15" s="38"/>
      <c r="AA15" s="38"/>
      <c r="AB15" s="38">
        <v>46224</v>
      </c>
      <c r="AC15" s="38"/>
      <c r="AD15" s="38"/>
      <c r="AE15" s="40"/>
      <c r="AF15" s="40"/>
      <c r="AG15" s="40"/>
      <c r="AH15" s="40"/>
      <c r="AI15" s="40"/>
      <c r="AJ15" s="40"/>
      <c r="AK15" s="40"/>
      <c r="AL15" s="40"/>
      <c r="AM15" s="40"/>
      <c r="AN15" s="27" t="s">
        <v>77</v>
      </c>
      <c r="AO15" s="27" t="s">
        <v>77</v>
      </c>
      <c r="AP15" s="27" t="s">
        <v>77</v>
      </c>
      <c r="AQ15" s="27" t="s">
        <v>77</v>
      </c>
      <c r="AR15" s="27" t="s">
        <v>77</v>
      </c>
      <c r="AS15" s="27" t="s">
        <v>77</v>
      </c>
      <c r="AT15" s="27" t="s">
        <v>77</v>
      </c>
      <c r="AU15" s="27"/>
      <c r="AV15"/>
      <c r="BA15"/>
    </row>
    <row r="16" spans="1:53" s="16" customFormat="1" ht="19.95" customHeight="1">
      <c r="A16" s="114" t="s">
        <v>216</v>
      </c>
      <c r="B16" s="89" t="s">
        <v>217</v>
      </c>
      <c r="C16" s="89" t="s">
        <v>218</v>
      </c>
      <c r="D16" s="88" t="s">
        <v>6</v>
      </c>
      <c r="E16" s="10" t="s">
        <v>140</v>
      </c>
      <c r="F16" s="110">
        <v>20</v>
      </c>
      <c r="G16" s="72" t="s">
        <v>87</v>
      </c>
      <c r="H16" s="37" t="s">
        <v>8</v>
      </c>
      <c r="I16" s="37" t="s">
        <v>61</v>
      </c>
      <c r="J16" s="10" t="s">
        <v>17</v>
      </c>
      <c r="K16" s="9"/>
      <c r="L16" s="9"/>
      <c r="M16" s="119"/>
      <c r="N16" s="32" t="s">
        <v>77</v>
      </c>
      <c r="O16" s="32" t="s">
        <v>94</v>
      </c>
      <c r="P16" s="32" t="s">
        <v>94</v>
      </c>
      <c r="Q16" s="32" t="s">
        <v>94</v>
      </c>
      <c r="R16" s="32" t="s">
        <v>94</v>
      </c>
      <c r="S16" s="32" t="s">
        <v>77</v>
      </c>
      <c r="T16" s="9" t="s">
        <v>312</v>
      </c>
      <c r="U16" s="8" t="s">
        <v>107</v>
      </c>
      <c r="V16" s="8" t="s">
        <v>94</v>
      </c>
      <c r="W16" s="8"/>
      <c r="X16" s="12" t="s">
        <v>317</v>
      </c>
      <c r="Y16" s="39"/>
      <c r="Z16" s="38"/>
      <c r="AA16" s="38"/>
      <c r="AB16" s="38">
        <v>46224</v>
      </c>
      <c r="AC16" s="38"/>
      <c r="AD16" s="38"/>
      <c r="AE16" s="40"/>
      <c r="AF16" s="40"/>
      <c r="AG16" s="40"/>
      <c r="AH16" s="40"/>
      <c r="AI16" s="40"/>
      <c r="AJ16" s="40"/>
      <c r="AK16" s="40"/>
      <c r="AL16" s="40"/>
      <c r="AM16" s="40"/>
      <c r="AN16" s="27" t="s">
        <v>77</v>
      </c>
      <c r="AO16" s="27" t="s">
        <v>77</v>
      </c>
      <c r="AP16" s="27" t="s">
        <v>77</v>
      </c>
      <c r="AQ16" s="27" t="s">
        <v>77</v>
      </c>
      <c r="AR16" s="27" t="s">
        <v>77</v>
      </c>
      <c r="AS16" s="27" t="s">
        <v>77</v>
      </c>
      <c r="AT16" s="27" t="s">
        <v>77</v>
      </c>
      <c r="AU16" s="87"/>
      <c r="AV16"/>
      <c r="BA16"/>
    </row>
    <row r="17" spans="1:53" ht="19.95" customHeight="1">
      <c r="A17" s="414" t="s">
        <v>190</v>
      </c>
      <c r="B17" s="414" t="s">
        <v>191</v>
      </c>
      <c r="C17" s="193" t="s">
        <v>176</v>
      </c>
      <c r="D17" s="194" t="s">
        <v>118</v>
      </c>
      <c r="E17" s="10" t="s">
        <v>530</v>
      </c>
      <c r="F17" s="195">
        <v>30</v>
      </c>
      <c r="G17" s="72" t="s">
        <v>87</v>
      </c>
      <c r="H17" s="72" t="s">
        <v>8</v>
      </c>
      <c r="I17" s="72" t="s">
        <v>61</v>
      </c>
      <c r="J17" s="10" t="s">
        <v>17</v>
      </c>
      <c r="K17" s="9"/>
      <c r="L17" s="9"/>
      <c r="M17" s="9"/>
      <c r="N17" s="32" t="s">
        <v>77</v>
      </c>
      <c r="O17" s="32" t="s">
        <v>77</v>
      </c>
      <c r="P17" s="32" t="s">
        <v>94</v>
      </c>
      <c r="Q17" s="32" t="s">
        <v>77</v>
      </c>
      <c r="R17" s="32" t="s">
        <v>77</v>
      </c>
      <c r="S17" s="32" t="s">
        <v>77</v>
      </c>
      <c r="T17" s="9" t="s">
        <v>219</v>
      </c>
      <c r="U17" s="8" t="s">
        <v>189</v>
      </c>
      <c r="V17" s="8" t="s">
        <v>77</v>
      </c>
      <c r="W17" s="8"/>
      <c r="X17" s="12" t="s">
        <v>514</v>
      </c>
      <c r="Y17" s="39"/>
      <c r="Z17" s="38"/>
      <c r="AA17" s="38"/>
      <c r="AB17" s="38">
        <v>46224</v>
      </c>
      <c r="AC17" s="38"/>
      <c r="AD17" s="38"/>
      <c r="AE17" s="40"/>
      <c r="AF17" s="40"/>
      <c r="AG17" s="40"/>
      <c r="AH17" s="40"/>
      <c r="AI17" s="40"/>
      <c r="AJ17" s="40"/>
      <c r="AK17" s="40"/>
      <c r="AL17" s="40"/>
      <c r="AM17" s="40"/>
      <c r="AN17" s="27" t="s">
        <v>77</v>
      </c>
      <c r="AO17" s="27" t="s">
        <v>77</v>
      </c>
      <c r="AP17" s="27" t="s">
        <v>77</v>
      </c>
      <c r="AQ17" s="27" t="s">
        <v>77</v>
      </c>
      <c r="AR17" s="27" t="s">
        <v>77</v>
      </c>
      <c r="AS17" s="27" t="s">
        <v>77</v>
      </c>
      <c r="AT17" s="27" t="s">
        <v>77</v>
      </c>
      <c r="AU17" s="27"/>
      <c r="AW17" s="16"/>
      <c r="AX17" s="16"/>
      <c r="AY17" s="16"/>
      <c r="AZ17" s="16"/>
    </row>
    <row r="18" spans="1:53" ht="19.95" customHeight="1">
      <c r="A18" s="289" t="s">
        <v>173</v>
      </c>
      <c r="B18" s="289" t="s">
        <v>182</v>
      </c>
      <c r="C18" s="90" t="s">
        <v>181</v>
      </c>
      <c r="D18" s="121" t="s">
        <v>133</v>
      </c>
      <c r="E18" s="10"/>
      <c r="F18" s="122">
        <v>25</v>
      </c>
      <c r="G18" s="72" t="s">
        <v>87</v>
      </c>
      <c r="H18" s="72" t="s">
        <v>7</v>
      </c>
      <c r="I18" s="72" t="s">
        <v>7</v>
      </c>
      <c r="J18" s="10" t="s">
        <v>17</v>
      </c>
      <c r="K18" s="9"/>
      <c r="L18" s="9"/>
      <c r="M18" s="9"/>
      <c r="N18" s="32" t="s">
        <v>77</v>
      </c>
      <c r="O18" s="32" t="s">
        <v>90</v>
      </c>
      <c r="P18" s="32" t="s">
        <v>77</v>
      </c>
      <c r="Q18" s="32" t="s">
        <v>94</v>
      </c>
      <c r="R18" s="32" t="s">
        <v>76</v>
      </c>
      <c r="S18" s="32" t="s">
        <v>77</v>
      </c>
      <c r="T18" s="9" t="s">
        <v>7</v>
      </c>
      <c r="U18" s="8" t="s">
        <v>105</v>
      </c>
      <c r="V18" s="8" t="s">
        <v>7</v>
      </c>
      <c r="W18" s="8"/>
      <c r="X18" s="12"/>
      <c r="Y18" s="39"/>
      <c r="Z18" s="38"/>
      <c r="AA18" s="38"/>
      <c r="AB18" s="38">
        <v>46218</v>
      </c>
      <c r="AC18" s="38"/>
      <c r="AD18" s="38"/>
      <c r="AE18" s="40"/>
      <c r="AF18" s="40"/>
      <c r="AG18" s="40"/>
      <c r="AH18" s="40"/>
      <c r="AI18" s="40"/>
      <c r="AJ18" s="40"/>
      <c r="AK18" s="40"/>
      <c r="AL18" s="40"/>
      <c r="AM18" s="40"/>
      <c r="AN18" s="27" t="s">
        <v>77</v>
      </c>
      <c r="AO18" s="27" t="s">
        <v>77</v>
      </c>
      <c r="AP18" s="27" t="s">
        <v>77</v>
      </c>
      <c r="AQ18" s="27" t="s">
        <v>77</v>
      </c>
      <c r="AR18" s="27" t="s">
        <v>77</v>
      </c>
      <c r="AS18" s="27" t="s">
        <v>77</v>
      </c>
      <c r="AT18" s="27" t="s">
        <v>77</v>
      </c>
      <c r="AU18" s="27"/>
      <c r="AV18" s="16"/>
    </row>
    <row r="19" spans="1:53" s="16" customFormat="1" ht="19.95" customHeight="1">
      <c r="A19" s="290" t="s">
        <v>206</v>
      </c>
      <c r="B19" s="291" t="s">
        <v>207</v>
      </c>
      <c r="C19" s="35" t="s">
        <v>218</v>
      </c>
      <c r="D19" s="8" t="s">
        <v>119</v>
      </c>
      <c r="E19" s="10" t="s">
        <v>9</v>
      </c>
      <c r="F19" s="8">
        <v>25</v>
      </c>
      <c r="G19" s="72" t="s">
        <v>61</v>
      </c>
      <c r="H19" s="37" t="s">
        <v>7</v>
      </c>
      <c r="I19" s="72" t="s">
        <v>7</v>
      </c>
      <c r="J19" s="10" t="s">
        <v>17</v>
      </c>
      <c r="K19" s="9" t="s">
        <v>666</v>
      </c>
      <c r="L19" s="9">
        <v>19014</v>
      </c>
      <c r="M19" s="9"/>
      <c r="N19" s="32" t="s">
        <v>603</v>
      </c>
      <c r="O19" s="32" t="s">
        <v>90</v>
      </c>
      <c r="P19" s="32" t="s">
        <v>94</v>
      </c>
      <c r="Q19" s="32" t="s">
        <v>94</v>
      </c>
      <c r="R19" s="32" t="s">
        <v>76</v>
      </c>
      <c r="S19" s="32" t="s">
        <v>77</v>
      </c>
      <c r="T19" s="9" t="s">
        <v>7</v>
      </c>
      <c r="U19" s="8" t="s">
        <v>105</v>
      </c>
      <c r="V19" s="8" t="s">
        <v>7</v>
      </c>
      <c r="W19" s="8"/>
      <c r="X19" s="12"/>
      <c r="Y19" s="39"/>
      <c r="Z19" s="38"/>
      <c r="AA19" s="38"/>
      <c r="AB19" s="38">
        <v>46234</v>
      </c>
      <c r="AC19" s="38"/>
      <c r="AD19" s="38"/>
      <c r="AE19" s="40"/>
      <c r="AF19" s="40"/>
      <c r="AG19" s="40"/>
      <c r="AH19" s="40"/>
      <c r="AI19" s="40"/>
      <c r="AJ19" s="40"/>
      <c r="AK19" s="40"/>
      <c r="AL19" s="40"/>
      <c r="AM19" s="40"/>
      <c r="AN19" s="27" t="s">
        <v>77</v>
      </c>
      <c r="AO19" s="27" t="s">
        <v>77</v>
      </c>
      <c r="AP19" s="27" t="s">
        <v>77</v>
      </c>
      <c r="AQ19" s="27" t="s">
        <v>77</v>
      </c>
      <c r="AR19" s="27" t="s">
        <v>77</v>
      </c>
      <c r="AS19" s="27" t="s">
        <v>77</v>
      </c>
      <c r="AT19" s="27" t="s">
        <v>77</v>
      </c>
      <c r="AU19" s="27"/>
      <c r="AW19"/>
      <c r="AX19"/>
      <c r="AY19"/>
      <c r="AZ19"/>
      <c r="BA19"/>
    </row>
    <row r="20" spans="1:53" ht="19.95" customHeight="1">
      <c r="A20" s="35" t="s">
        <v>208</v>
      </c>
      <c r="B20" s="35" t="s">
        <v>209</v>
      </c>
      <c r="C20" s="35" t="s">
        <v>218</v>
      </c>
      <c r="D20" s="8" t="s">
        <v>6</v>
      </c>
      <c r="E20" s="10" t="s">
        <v>140</v>
      </c>
      <c r="F20" s="107">
        <v>20</v>
      </c>
      <c r="G20" s="72" t="s">
        <v>61</v>
      </c>
      <c r="H20" s="37" t="s">
        <v>7</v>
      </c>
      <c r="I20" s="72" t="s">
        <v>7</v>
      </c>
      <c r="J20" s="10" t="s">
        <v>17</v>
      </c>
      <c r="K20" s="9" t="s">
        <v>666</v>
      </c>
      <c r="L20" s="9">
        <v>19051</v>
      </c>
      <c r="M20" s="119"/>
      <c r="N20" s="32" t="s">
        <v>603</v>
      </c>
      <c r="O20" s="32" t="s">
        <v>90</v>
      </c>
      <c r="P20" s="32" t="s">
        <v>94</v>
      </c>
      <c r="Q20" s="32" t="s">
        <v>94</v>
      </c>
      <c r="R20" s="32" t="s">
        <v>76</v>
      </c>
      <c r="S20" s="32" t="s">
        <v>77</v>
      </c>
      <c r="T20" s="9" t="s">
        <v>7</v>
      </c>
      <c r="U20" s="8" t="s">
        <v>105</v>
      </c>
      <c r="V20" s="8" t="s">
        <v>7</v>
      </c>
      <c r="W20" s="8"/>
      <c r="X20" s="12"/>
      <c r="Y20" s="39"/>
      <c r="Z20" s="38"/>
      <c r="AA20" s="38"/>
      <c r="AB20" s="38">
        <v>46234</v>
      </c>
      <c r="AC20" s="38"/>
      <c r="AD20" s="38"/>
      <c r="AE20" s="40"/>
      <c r="AF20" s="40"/>
      <c r="AG20" s="40"/>
      <c r="AH20" s="40"/>
      <c r="AI20" s="40"/>
      <c r="AJ20" s="40"/>
      <c r="AK20" s="40"/>
      <c r="AL20" s="40"/>
      <c r="AM20" s="40"/>
      <c r="AN20" s="27" t="s">
        <v>77</v>
      </c>
      <c r="AO20" s="27" t="s">
        <v>77</v>
      </c>
      <c r="AP20" s="27" t="s">
        <v>77</v>
      </c>
      <c r="AQ20" s="27" t="s">
        <v>77</v>
      </c>
      <c r="AR20" s="27" t="s">
        <v>77</v>
      </c>
      <c r="AS20" s="27" t="s">
        <v>77</v>
      </c>
      <c r="AT20" s="27" t="s">
        <v>77</v>
      </c>
      <c r="AU20" s="27"/>
    </row>
    <row r="21" spans="1:53" ht="19.95" customHeight="1">
      <c r="A21" s="290" t="s">
        <v>196</v>
      </c>
      <c r="B21" s="291" t="s">
        <v>197</v>
      </c>
      <c r="C21" s="35" t="s">
        <v>218</v>
      </c>
      <c r="D21" s="8" t="s">
        <v>6</v>
      </c>
      <c r="E21" s="10" t="s">
        <v>140</v>
      </c>
      <c r="F21" s="108">
        <v>20</v>
      </c>
      <c r="G21" s="72" t="s">
        <v>61</v>
      </c>
      <c r="H21" s="37" t="s">
        <v>7</v>
      </c>
      <c r="I21" s="11" t="s">
        <v>7</v>
      </c>
      <c r="J21" s="10" t="s">
        <v>17</v>
      </c>
      <c r="K21" s="9" t="s">
        <v>666</v>
      </c>
      <c r="L21" s="9">
        <v>19046</v>
      </c>
      <c r="M21" s="9"/>
      <c r="N21" s="32" t="s">
        <v>603</v>
      </c>
      <c r="O21" s="32" t="s">
        <v>94</v>
      </c>
      <c r="P21" s="32" t="s">
        <v>94</v>
      </c>
      <c r="Q21" s="32" t="s">
        <v>94</v>
      </c>
      <c r="R21" s="32" t="s">
        <v>76</v>
      </c>
      <c r="S21" s="32" t="s">
        <v>77</v>
      </c>
      <c r="T21" s="9" t="s">
        <v>7</v>
      </c>
      <c r="U21" s="8" t="s">
        <v>105</v>
      </c>
      <c r="V21" s="8" t="s">
        <v>7</v>
      </c>
      <c r="W21" s="8"/>
      <c r="X21" s="12"/>
      <c r="Y21" s="39"/>
      <c r="Z21" s="38"/>
      <c r="AA21" s="38"/>
      <c r="AB21" s="38">
        <v>46234</v>
      </c>
      <c r="AC21" s="38"/>
      <c r="AD21" s="38"/>
      <c r="AE21" s="40"/>
      <c r="AF21" s="40"/>
      <c r="AG21" s="40"/>
      <c r="AH21" s="40"/>
      <c r="AI21" s="40"/>
      <c r="AJ21" s="40"/>
      <c r="AK21" s="40"/>
      <c r="AL21" s="40"/>
      <c r="AM21" s="40"/>
      <c r="AN21" s="27" t="s">
        <v>77</v>
      </c>
      <c r="AO21" s="27" t="s">
        <v>77</v>
      </c>
      <c r="AP21" s="27" t="s">
        <v>77</v>
      </c>
      <c r="AQ21" s="27" t="s">
        <v>77</v>
      </c>
      <c r="AR21" s="27" t="s">
        <v>77</v>
      </c>
      <c r="AS21" s="27" t="s">
        <v>77</v>
      </c>
      <c r="AT21" s="27" t="s">
        <v>77</v>
      </c>
      <c r="AU21" s="27"/>
    </row>
    <row r="22" spans="1:53" ht="19.95" customHeight="1">
      <c r="A22" s="290" t="s">
        <v>286</v>
      </c>
      <c r="B22" s="291" t="s">
        <v>287</v>
      </c>
      <c r="C22" s="35" t="s">
        <v>176</v>
      </c>
      <c r="D22" s="8" t="s">
        <v>11</v>
      </c>
      <c r="E22" s="10" t="s">
        <v>221</v>
      </c>
      <c r="F22" s="108">
        <v>30</v>
      </c>
      <c r="G22" s="72" t="s">
        <v>61</v>
      </c>
      <c r="H22" s="37" t="s">
        <v>8</v>
      </c>
      <c r="I22" s="11" t="s">
        <v>61</v>
      </c>
      <c r="J22" s="10" t="s">
        <v>17</v>
      </c>
      <c r="K22" s="9"/>
      <c r="L22" s="9"/>
      <c r="M22" s="9"/>
      <c r="N22" s="32" t="s">
        <v>94</v>
      </c>
      <c r="O22" s="32" t="s">
        <v>77</v>
      </c>
      <c r="P22" s="32" t="s">
        <v>77</v>
      </c>
      <c r="Q22" s="32" t="s">
        <v>77</v>
      </c>
      <c r="R22" s="32" t="s">
        <v>77</v>
      </c>
      <c r="S22" s="32" t="s">
        <v>77</v>
      </c>
      <c r="T22" s="9" t="s">
        <v>302</v>
      </c>
      <c r="U22" s="8" t="s">
        <v>189</v>
      </c>
      <c r="V22" s="8" t="s">
        <v>94</v>
      </c>
      <c r="W22" s="8"/>
      <c r="X22" s="12" t="s">
        <v>405</v>
      </c>
      <c r="Y22" s="39"/>
      <c r="Z22" s="38"/>
      <c r="AA22" s="38"/>
      <c r="AB22" s="38">
        <v>46224</v>
      </c>
      <c r="AC22" s="38"/>
      <c r="AD22" s="38"/>
      <c r="AE22" s="40"/>
      <c r="AF22" s="40"/>
      <c r="AG22" s="40"/>
      <c r="AH22" s="40"/>
      <c r="AI22" s="40"/>
      <c r="AJ22" s="40"/>
      <c r="AK22" s="40"/>
      <c r="AL22" s="40"/>
      <c r="AM22" s="40"/>
      <c r="AN22" s="27" t="s">
        <v>77</v>
      </c>
      <c r="AO22" s="27" t="s">
        <v>77</v>
      </c>
      <c r="AP22" s="27" t="s">
        <v>77</v>
      </c>
      <c r="AQ22" s="27" t="s">
        <v>77</v>
      </c>
      <c r="AR22" s="27" t="s">
        <v>77</v>
      </c>
      <c r="AS22" s="27" t="s">
        <v>77</v>
      </c>
      <c r="AT22" s="27" t="s">
        <v>77</v>
      </c>
      <c r="AU22" s="27"/>
    </row>
    <row r="23" spans="1:53" ht="19.95" customHeight="1">
      <c r="A23" s="290" t="s">
        <v>288</v>
      </c>
      <c r="B23" s="291" t="s">
        <v>289</v>
      </c>
      <c r="C23" s="35" t="s">
        <v>176</v>
      </c>
      <c r="D23" s="8" t="s">
        <v>11</v>
      </c>
      <c r="E23" s="10" t="s">
        <v>12</v>
      </c>
      <c r="F23" s="108">
        <v>30</v>
      </c>
      <c r="G23" s="72" t="s">
        <v>61</v>
      </c>
      <c r="H23" s="37" t="s">
        <v>7</v>
      </c>
      <c r="I23" s="72" t="s">
        <v>7</v>
      </c>
      <c r="J23" s="10" t="s">
        <v>17</v>
      </c>
      <c r="K23" s="9"/>
      <c r="L23" s="9"/>
      <c r="M23" s="119"/>
      <c r="N23" s="32" t="s">
        <v>94</v>
      </c>
      <c r="O23" s="32" t="s">
        <v>77</v>
      </c>
      <c r="P23" s="32" t="s">
        <v>77</v>
      </c>
      <c r="Q23" s="32" t="s">
        <v>77</v>
      </c>
      <c r="R23" s="32" t="s">
        <v>76</v>
      </c>
      <c r="S23" s="32" t="s">
        <v>77</v>
      </c>
      <c r="T23" s="9" t="s">
        <v>7</v>
      </c>
      <c r="U23" s="8" t="s">
        <v>189</v>
      </c>
      <c r="V23" s="8" t="s">
        <v>7</v>
      </c>
      <c r="W23" s="8"/>
      <c r="X23" s="12"/>
      <c r="Y23" s="39"/>
      <c r="Z23" s="38"/>
      <c r="AA23" s="38"/>
      <c r="AB23" s="38">
        <v>46234</v>
      </c>
      <c r="AC23" s="38"/>
      <c r="AD23" s="38"/>
      <c r="AE23" s="40"/>
      <c r="AF23" s="40"/>
      <c r="AG23" s="40"/>
      <c r="AH23" s="40"/>
      <c r="AI23" s="40"/>
      <c r="AJ23" s="40"/>
      <c r="AK23" s="40"/>
      <c r="AL23" s="40"/>
      <c r="AM23" s="40"/>
      <c r="AN23" s="27" t="s">
        <v>77</v>
      </c>
      <c r="AO23" s="27" t="s">
        <v>77</v>
      </c>
      <c r="AP23" s="27" t="s">
        <v>77</v>
      </c>
      <c r="AQ23" s="27" t="s">
        <v>77</v>
      </c>
      <c r="AR23" s="27" t="s">
        <v>77</v>
      </c>
      <c r="AS23" s="27" t="s">
        <v>77</v>
      </c>
      <c r="AT23" s="27" t="s">
        <v>77</v>
      </c>
      <c r="AU23" s="27"/>
    </row>
    <row r="24" spans="1:53" ht="19.95" customHeight="1">
      <c r="A24" s="175" t="s">
        <v>297</v>
      </c>
      <c r="B24" s="176" t="s">
        <v>298</v>
      </c>
      <c r="C24" s="35" t="s">
        <v>174</v>
      </c>
      <c r="D24" s="8" t="s">
        <v>118</v>
      </c>
      <c r="E24" s="10" t="s">
        <v>530</v>
      </c>
      <c r="F24" s="108">
        <v>30</v>
      </c>
      <c r="G24" s="72" t="s">
        <v>87</v>
      </c>
      <c r="H24" s="37" t="s">
        <v>7</v>
      </c>
      <c r="I24" s="11" t="s">
        <v>7</v>
      </c>
      <c r="J24" s="10" t="s">
        <v>17</v>
      </c>
      <c r="K24" s="9"/>
      <c r="L24" s="9"/>
      <c r="M24" s="9"/>
      <c r="N24" s="32" t="s">
        <v>77</v>
      </c>
      <c r="O24" s="32" t="s">
        <v>77</v>
      </c>
      <c r="P24" s="32" t="s">
        <v>77</v>
      </c>
      <c r="Q24" s="32" t="s">
        <v>77</v>
      </c>
      <c r="R24" s="32" t="s">
        <v>76</v>
      </c>
      <c r="S24" s="32" t="s">
        <v>77</v>
      </c>
      <c r="T24" s="9" t="s">
        <v>7</v>
      </c>
      <c r="U24" s="8" t="s">
        <v>105</v>
      </c>
      <c r="V24" s="8" t="s">
        <v>7</v>
      </c>
      <c r="W24" s="8"/>
      <c r="X24" s="12"/>
      <c r="Y24" s="39"/>
      <c r="Z24" s="38"/>
      <c r="AA24" s="38"/>
      <c r="AB24" s="38">
        <v>46234</v>
      </c>
      <c r="AC24" s="38"/>
      <c r="AD24" s="38"/>
      <c r="AE24" s="40"/>
      <c r="AF24" s="40"/>
      <c r="AG24" s="40"/>
      <c r="AH24" s="40"/>
      <c r="AI24" s="40"/>
      <c r="AJ24" s="40"/>
      <c r="AK24" s="40"/>
      <c r="AL24" s="40"/>
      <c r="AM24" s="40"/>
      <c r="AN24" s="27" t="s">
        <v>77</v>
      </c>
      <c r="AO24" s="27" t="s">
        <v>77</v>
      </c>
      <c r="AP24" s="27" t="s">
        <v>77</v>
      </c>
      <c r="AQ24" s="27" t="s">
        <v>77</v>
      </c>
      <c r="AR24" s="27" t="s">
        <v>77</v>
      </c>
      <c r="AS24" s="27" t="s">
        <v>77</v>
      </c>
      <c r="AT24" s="27" t="s">
        <v>77</v>
      </c>
      <c r="AU24" s="27"/>
    </row>
    <row r="25" spans="1:53" ht="19.95" customHeight="1">
      <c r="A25" s="290" t="s">
        <v>282</v>
      </c>
      <c r="B25" s="291" t="s">
        <v>283</v>
      </c>
      <c r="C25" s="35" t="s">
        <v>301</v>
      </c>
      <c r="D25" s="8" t="s">
        <v>118</v>
      </c>
      <c r="E25" s="10" t="s">
        <v>530</v>
      </c>
      <c r="F25" s="108">
        <v>30</v>
      </c>
      <c r="G25" s="72" t="s">
        <v>87</v>
      </c>
      <c r="H25" s="37" t="s">
        <v>7</v>
      </c>
      <c r="I25" s="72" t="s">
        <v>7</v>
      </c>
      <c r="J25" s="10" t="s">
        <v>17</v>
      </c>
      <c r="K25" s="9" t="s">
        <v>301</v>
      </c>
      <c r="L25" s="9"/>
      <c r="M25" s="9"/>
      <c r="N25" s="32" t="s">
        <v>77</v>
      </c>
      <c r="O25" s="32" t="s">
        <v>90</v>
      </c>
      <c r="P25" s="32" t="s">
        <v>77</v>
      </c>
      <c r="Q25" s="32" t="s">
        <v>77</v>
      </c>
      <c r="R25" s="32" t="s">
        <v>76</v>
      </c>
      <c r="S25" s="32" t="s">
        <v>77</v>
      </c>
      <c r="T25" s="9" t="s">
        <v>7</v>
      </c>
      <c r="U25" s="8" t="s">
        <v>105</v>
      </c>
      <c r="V25" s="8" t="s">
        <v>7</v>
      </c>
      <c r="W25" s="8"/>
      <c r="X25" s="12"/>
      <c r="Y25" s="39"/>
      <c r="Z25" s="38"/>
      <c r="AA25" s="38"/>
      <c r="AB25" s="38"/>
      <c r="AC25" s="38"/>
      <c r="AD25" s="38"/>
      <c r="AE25" s="40"/>
      <c r="AF25" s="40"/>
      <c r="AG25" s="40"/>
      <c r="AH25" s="40"/>
      <c r="AI25" s="40"/>
      <c r="AJ25" s="40"/>
      <c r="AK25" s="40"/>
      <c r="AL25" s="40"/>
      <c r="AM25" s="40"/>
      <c r="AN25" s="27" t="s">
        <v>77</v>
      </c>
      <c r="AO25" s="27" t="s">
        <v>77</v>
      </c>
      <c r="AP25" s="27" t="s">
        <v>77</v>
      </c>
      <c r="AQ25" s="27" t="s">
        <v>77</v>
      </c>
      <c r="AR25" s="27" t="s">
        <v>77</v>
      </c>
      <c r="AS25" s="27" t="s">
        <v>77</v>
      </c>
      <c r="AT25" s="27" t="s">
        <v>77</v>
      </c>
      <c r="AU25" s="27"/>
    </row>
    <row r="26" spans="1:53" ht="19.95" customHeight="1">
      <c r="A26" s="362" t="s">
        <v>645</v>
      </c>
      <c r="B26" s="362" t="s">
        <v>646</v>
      </c>
      <c r="C26" s="35" t="s">
        <v>301</v>
      </c>
      <c r="D26" s="8" t="s">
        <v>118</v>
      </c>
      <c r="E26" s="10"/>
      <c r="F26" s="108"/>
      <c r="G26" s="72" t="s">
        <v>87</v>
      </c>
      <c r="H26" s="72" t="s">
        <v>8</v>
      </c>
      <c r="I26" s="11"/>
      <c r="J26" s="8" t="s">
        <v>17</v>
      </c>
      <c r="K26" s="9" t="s">
        <v>301</v>
      </c>
      <c r="L26" s="9"/>
      <c r="M26" s="9"/>
      <c r="N26" s="32" t="s">
        <v>77</v>
      </c>
      <c r="O26" s="32" t="s">
        <v>77</v>
      </c>
      <c r="P26" s="32" t="s">
        <v>77</v>
      </c>
      <c r="Q26" s="32" t="s">
        <v>77</v>
      </c>
      <c r="R26" s="32" t="s">
        <v>77</v>
      </c>
      <c r="S26" s="32" t="s">
        <v>77</v>
      </c>
      <c r="T26" s="9"/>
      <c r="U26" s="8" t="s">
        <v>105</v>
      </c>
      <c r="V26" s="8"/>
      <c r="W26" s="8"/>
      <c r="X26" s="12"/>
      <c r="Y26" s="39"/>
      <c r="Z26" s="38"/>
      <c r="AA26" s="38"/>
      <c r="AB26" s="38"/>
      <c r="AC26" s="38"/>
      <c r="AD26" s="38"/>
      <c r="AE26" s="40"/>
      <c r="AF26" s="40"/>
      <c r="AG26" s="40"/>
      <c r="AH26" s="40"/>
      <c r="AI26" s="40"/>
      <c r="AJ26" s="40"/>
      <c r="AK26" s="40"/>
      <c r="AL26" s="40"/>
      <c r="AM26" s="40"/>
      <c r="AN26" s="27" t="s">
        <v>77</v>
      </c>
      <c r="AO26" s="27" t="s">
        <v>77</v>
      </c>
      <c r="AP26" s="27" t="s">
        <v>77</v>
      </c>
      <c r="AQ26" s="27" t="s">
        <v>77</v>
      </c>
      <c r="AR26" s="27" t="s">
        <v>77</v>
      </c>
      <c r="AS26" s="27" t="s">
        <v>77</v>
      </c>
      <c r="AT26" s="27" t="s">
        <v>77</v>
      </c>
      <c r="AU26" s="27"/>
    </row>
    <row r="27" spans="1:53" ht="19.95" customHeight="1">
      <c r="A27" s="97" t="s">
        <v>192</v>
      </c>
      <c r="B27" s="97" t="s">
        <v>193</v>
      </c>
      <c r="C27" s="21" t="s">
        <v>176</v>
      </c>
      <c r="D27" s="20" t="s">
        <v>119</v>
      </c>
      <c r="E27" s="10"/>
      <c r="F27" s="107">
        <v>30</v>
      </c>
      <c r="G27" s="72" t="s">
        <v>61</v>
      </c>
      <c r="H27" s="72" t="s">
        <v>8</v>
      </c>
      <c r="I27" s="72" t="s">
        <v>61</v>
      </c>
      <c r="J27" s="10" t="s">
        <v>668</v>
      </c>
      <c r="K27" s="9" t="s">
        <v>661</v>
      </c>
      <c r="L27" s="12" t="s">
        <v>468</v>
      </c>
      <c r="M27" s="119"/>
      <c r="N27" s="32" t="s">
        <v>94</v>
      </c>
      <c r="O27" s="32" t="s">
        <v>77</v>
      </c>
      <c r="P27" s="32" t="s">
        <v>94</v>
      </c>
      <c r="Q27" s="32" t="s">
        <v>77</v>
      </c>
      <c r="R27" s="32" t="s">
        <v>77</v>
      </c>
      <c r="S27" s="32" t="s">
        <v>77</v>
      </c>
      <c r="T27" s="9" t="s">
        <v>400</v>
      </c>
      <c r="U27" s="8" t="s">
        <v>107</v>
      </c>
      <c r="V27" s="8" t="s">
        <v>94</v>
      </c>
      <c r="W27" s="8"/>
      <c r="X27" s="12" t="s">
        <v>454</v>
      </c>
      <c r="Y27" s="39"/>
      <c r="Z27" s="38"/>
      <c r="AA27" s="38"/>
      <c r="AB27" s="38">
        <v>46224</v>
      </c>
      <c r="AC27" s="38"/>
      <c r="AD27" s="38"/>
      <c r="AE27" s="40"/>
      <c r="AF27" s="40"/>
      <c r="AG27" s="40"/>
      <c r="AH27" s="40"/>
      <c r="AI27" s="40"/>
      <c r="AJ27" s="40"/>
      <c r="AK27" s="40"/>
      <c r="AL27" s="40"/>
      <c r="AM27" s="40"/>
      <c r="AN27" s="27" t="s">
        <v>77</v>
      </c>
      <c r="AO27" s="27" t="s">
        <v>77</v>
      </c>
      <c r="AP27" s="27" t="s">
        <v>77</v>
      </c>
      <c r="AQ27" s="27" t="s">
        <v>77</v>
      </c>
      <c r="AR27" s="27" t="s">
        <v>77</v>
      </c>
      <c r="AS27" s="27" t="s">
        <v>77</v>
      </c>
      <c r="AT27" s="27" t="s">
        <v>77</v>
      </c>
      <c r="AU27" s="27"/>
      <c r="AV27" s="16"/>
    </row>
    <row r="28" spans="1:53" ht="19.95" customHeight="1">
      <c r="A28" s="157" t="s">
        <v>292</v>
      </c>
      <c r="B28" s="157" t="s">
        <v>293</v>
      </c>
      <c r="C28" s="21" t="s">
        <v>176</v>
      </c>
      <c r="D28" s="20" t="s">
        <v>119</v>
      </c>
      <c r="E28" s="10" t="s">
        <v>531</v>
      </c>
      <c r="F28" s="112">
        <v>30</v>
      </c>
      <c r="G28" s="72" t="s">
        <v>61</v>
      </c>
      <c r="H28" s="37" t="s">
        <v>8</v>
      </c>
      <c r="I28" s="11" t="s">
        <v>61</v>
      </c>
      <c r="J28" s="10" t="s">
        <v>668</v>
      </c>
      <c r="K28" s="9" t="s">
        <v>661</v>
      </c>
      <c r="L28" s="9"/>
      <c r="M28" s="9"/>
      <c r="N28" s="32" t="s">
        <v>94</v>
      </c>
      <c r="O28" s="32" t="s">
        <v>77</v>
      </c>
      <c r="P28" s="32" t="s">
        <v>77</v>
      </c>
      <c r="Q28" s="32" t="s">
        <v>77</v>
      </c>
      <c r="R28" s="32" t="s">
        <v>77</v>
      </c>
      <c r="S28" s="32" t="s">
        <v>77</v>
      </c>
      <c r="T28" s="9" t="s">
        <v>304</v>
      </c>
      <c r="U28" s="8" t="s">
        <v>189</v>
      </c>
      <c r="V28" s="8" t="s">
        <v>94</v>
      </c>
      <c r="W28" s="8"/>
      <c r="X28" s="12" t="s">
        <v>353</v>
      </c>
      <c r="Y28" s="39"/>
      <c r="Z28" s="38"/>
      <c r="AA28" s="38"/>
      <c r="AB28" s="38">
        <v>46234</v>
      </c>
      <c r="AC28" s="38"/>
      <c r="AD28" s="38"/>
      <c r="AE28" s="40"/>
      <c r="AF28" s="40"/>
      <c r="AG28" s="40"/>
      <c r="AH28" s="40"/>
      <c r="AI28" s="40"/>
      <c r="AJ28" s="40"/>
      <c r="AK28" s="40"/>
      <c r="AL28" s="40"/>
      <c r="AM28" s="40"/>
      <c r="AN28" s="27" t="s">
        <v>77</v>
      </c>
      <c r="AO28" s="27" t="s">
        <v>77</v>
      </c>
      <c r="AP28" s="27" t="s">
        <v>77</v>
      </c>
      <c r="AQ28" s="27" t="s">
        <v>77</v>
      </c>
      <c r="AR28" s="27" t="s">
        <v>77</v>
      </c>
      <c r="AS28" s="27" t="s">
        <v>77</v>
      </c>
      <c r="AT28" s="27" t="s">
        <v>77</v>
      </c>
      <c r="AU28" s="87"/>
      <c r="AW28" s="16"/>
      <c r="AX28" s="16"/>
      <c r="AY28" s="16"/>
      <c r="AZ28" s="16"/>
    </row>
    <row r="29" spans="1:53" ht="19.95" customHeight="1">
      <c r="A29" s="157" t="s">
        <v>210</v>
      </c>
      <c r="B29" s="157" t="s">
        <v>211</v>
      </c>
      <c r="C29" s="21" t="s">
        <v>218</v>
      </c>
      <c r="D29" s="20" t="s">
        <v>11</v>
      </c>
      <c r="E29" s="10" t="s">
        <v>12</v>
      </c>
      <c r="F29" s="107">
        <v>30</v>
      </c>
      <c r="G29" s="72" t="s">
        <v>61</v>
      </c>
      <c r="H29" s="72" t="s">
        <v>7</v>
      </c>
      <c r="I29" s="72" t="s">
        <v>7</v>
      </c>
      <c r="J29" s="10" t="s">
        <v>668</v>
      </c>
      <c r="K29" s="9" t="s">
        <v>665</v>
      </c>
      <c r="L29" s="9">
        <v>19250</v>
      </c>
      <c r="M29" s="9"/>
      <c r="N29" s="32" t="s">
        <v>603</v>
      </c>
      <c r="O29" s="32" t="s">
        <v>77</v>
      </c>
      <c r="P29" s="32" t="s">
        <v>94</v>
      </c>
      <c r="Q29" s="32" t="s">
        <v>77</v>
      </c>
      <c r="R29" s="32" t="s">
        <v>76</v>
      </c>
      <c r="S29" s="32" t="s">
        <v>77</v>
      </c>
      <c r="T29" s="9" t="s">
        <v>7</v>
      </c>
      <c r="U29" s="8" t="s">
        <v>105</v>
      </c>
      <c r="V29" s="8" t="s">
        <v>7</v>
      </c>
      <c r="W29" s="8"/>
      <c r="X29" s="12"/>
      <c r="Y29" s="39"/>
      <c r="Z29" s="38"/>
      <c r="AA29" s="38"/>
      <c r="AB29" s="38">
        <v>46234</v>
      </c>
      <c r="AC29" s="38"/>
      <c r="AD29" s="38"/>
      <c r="AE29" s="40"/>
      <c r="AF29" s="40"/>
      <c r="AG29" s="40"/>
      <c r="AH29" s="40"/>
      <c r="AI29" s="40"/>
      <c r="AJ29" s="40"/>
      <c r="AK29" s="40"/>
      <c r="AL29" s="40"/>
      <c r="AM29" s="40"/>
      <c r="AN29" s="27" t="s">
        <v>77</v>
      </c>
      <c r="AO29" s="27" t="s">
        <v>77</v>
      </c>
      <c r="AP29" s="27" t="s">
        <v>77</v>
      </c>
      <c r="AQ29" s="27" t="s">
        <v>77</v>
      </c>
      <c r="AR29" s="27" t="s">
        <v>77</v>
      </c>
      <c r="AS29" s="27" t="s">
        <v>77</v>
      </c>
      <c r="AT29" s="27" t="s">
        <v>77</v>
      </c>
      <c r="AU29" s="27"/>
      <c r="AW29" s="16"/>
      <c r="AX29" s="16"/>
      <c r="AY29" s="16"/>
      <c r="AZ29" s="16"/>
    </row>
    <row r="30" spans="1:53" ht="19.95" customHeight="1">
      <c r="A30" s="158" t="s">
        <v>198</v>
      </c>
      <c r="B30" s="159" t="s">
        <v>199</v>
      </c>
      <c r="C30" s="35" t="s">
        <v>218</v>
      </c>
      <c r="D30" s="8" t="s">
        <v>6</v>
      </c>
      <c r="E30" s="10" t="s">
        <v>140</v>
      </c>
      <c r="F30" s="108">
        <v>20</v>
      </c>
      <c r="G30" s="72" t="s">
        <v>61</v>
      </c>
      <c r="H30" s="37" t="s">
        <v>7</v>
      </c>
      <c r="I30" s="37" t="s">
        <v>7</v>
      </c>
      <c r="J30" s="10" t="s">
        <v>668</v>
      </c>
      <c r="K30" s="9" t="s">
        <v>665</v>
      </c>
      <c r="L30" s="9">
        <v>19254</v>
      </c>
      <c r="M30" s="9"/>
      <c r="N30" s="32" t="s">
        <v>603</v>
      </c>
      <c r="O30" s="32" t="s">
        <v>94</v>
      </c>
      <c r="P30" s="32" t="s">
        <v>94</v>
      </c>
      <c r="Q30" s="32" t="s">
        <v>94</v>
      </c>
      <c r="R30" s="32" t="s">
        <v>76</v>
      </c>
      <c r="S30" s="32" t="s">
        <v>77</v>
      </c>
      <c r="T30" s="9" t="s">
        <v>7</v>
      </c>
      <c r="U30" s="8" t="s">
        <v>105</v>
      </c>
      <c r="V30" s="8" t="s">
        <v>7</v>
      </c>
      <c r="W30" s="8"/>
      <c r="X30" s="12"/>
      <c r="Y30" s="39"/>
      <c r="Z30" s="38"/>
      <c r="AA30" s="38"/>
      <c r="AB30" s="38">
        <v>46234</v>
      </c>
      <c r="AC30" s="38"/>
      <c r="AD30" s="38"/>
      <c r="AE30" s="40"/>
      <c r="AF30" s="40"/>
      <c r="AG30" s="40"/>
      <c r="AH30" s="40"/>
      <c r="AI30" s="40"/>
      <c r="AJ30" s="40"/>
      <c r="AK30" s="40"/>
      <c r="AL30" s="40"/>
      <c r="AM30" s="40"/>
      <c r="AN30" s="27" t="s">
        <v>77</v>
      </c>
      <c r="AO30" s="27" t="s">
        <v>77</v>
      </c>
      <c r="AP30" s="27" t="s">
        <v>77</v>
      </c>
      <c r="AQ30" s="27" t="s">
        <v>77</v>
      </c>
      <c r="AR30" s="27" t="s">
        <v>77</v>
      </c>
      <c r="AS30" s="27" t="s">
        <v>77</v>
      </c>
      <c r="AT30" s="27" t="s">
        <v>77</v>
      </c>
      <c r="AU30" s="27"/>
      <c r="AW30" s="16"/>
      <c r="AX30" s="16"/>
      <c r="AY30" s="16"/>
      <c r="AZ30" s="16"/>
    </row>
    <row r="31" spans="1:53" ht="19.95" customHeight="1">
      <c r="A31" s="412" t="s">
        <v>290</v>
      </c>
      <c r="B31" s="413" t="s">
        <v>291</v>
      </c>
      <c r="C31" s="103" t="s">
        <v>176</v>
      </c>
      <c r="D31" s="105" t="s">
        <v>119</v>
      </c>
      <c r="E31" s="10" t="s">
        <v>531</v>
      </c>
      <c r="F31" s="109">
        <v>20</v>
      </c>
      <c r="G31" s="72" t="s">
        <v>61</v>
      </c>
      <c r="H31" s="37" t="s">
        <v>10</v>
      </c>
      <c r="I31" s="37" t="s">
        <v>10</v>
      </c>
      <c r="J31" s="10" t="s">
        <v>668</v>
      </c>
      <c r="K31" s="9" t="s">
        <v>662</v>
      </c>
      <c r="L31" s="9"/>
      <c r="M31" s="9"/>
      <c r="N31" s="32" t="s">
        <v>604</v>
      </c>
      <c r="O31" s="32" t="s">
        <v>77</v>
      </c>
      <c r="P31" s="32" t="s">
        <v>77</v>
      </c>
      <c r="Q31" s="32" t="s">
        <v>77</v>
      </c>
      <c r="R31" s="32" t="s">
        <v>77</v>
      </c>
      <c r="S31" s="32" t="s">
        <v>77</v>
      </c>
      <c r="T31" s="9" t="s">
        <v>303</v>
      </c>
      <c r="U31" s="8" t="s">
        <v>189</v>
      </c>
      <c r="V31" s="8" t="s">
        <v>94</v>
      </c>
      <c r="W31" s="8"/>
      <c r="X31" s="12"/>
      <c r="Y31" s="39"/>
      <c r="Z31" s="38"/>
      <c r="AA31" s="38"/>
      <c r="AB31" s="38">
        <v>46234</v>
      </c>
      <c r="AC31" s="38"/>
      <c r="AD31" s="38"/>
      <c r="AE31" s="40"/>
      <c r="AF31" s="40"/>
      <c r="AG31" s="40"/>
      <c r="AH31" s="40"/>
      <c r="AI31" s="40"/>
      <c r="AJ31" s="40"/>
      <c r="AK31" s="40"/>
      <c r="AL31" s="40"/>
      <c r="AM31" s="40"/>
      <c r="AN31" s="27" t="s">
        <v>77</v>
      </c>
      <c r="AO31" s="27" t="s">
        <v>77</v>
      </c>
      <c r="AP31" s="27" t="s">
        <v>77</v>
      </c>
      <c r="AQ31" s="27" t="s">
        <v>77</v>
      </c>
      <c r="AR31" s="27" t="s">
        <v>77</v>
      </c>
      <c r="AS31" s="27" t="s">
        <v>77</v>
      </c>
      <c r="AT31" s="27" t="s">
        <v>77</v>
      </c>
      <c r="AU31" s="27"/>
    </row>
    <row r="32" spans="1:53" ht="19.95" customHeight="1">
      <c r="A32" s="111" t="s">
        <v>168</v>
      </c>
      <c r="B32" s="53" t="s">
        <v>175</v>
      </c>
      <c r="C32" s="53" t="s">
        <v>176</v>
      </c>
      <c r="D32" s="177" t="s">
        <v>119</v>
      </c>
      <c r="E32" s="178"/>
      <c r="F32" s="179">
        <v>30</v>
      </c>
      <c r="G32" s="74" t="s">
        <v>61</v>
      </c>
      <c r="H32" s="93" t="s">
        <v>8</v>
      </c>
      <c r="I32" s="180" t="s">
        <v>61</v>
      </c>
      <c r="J32" s="178" t="s">
        <v>528</v>
      </c>
      <c r="K32" s="182" t="s">
        <v>663</v>
      </c>
      <c r="L32" s="182"/>
      <c r="M32" s="182"/>
      <c r="N32" s="181" t="s">
        <v>94</v>
      </c>
      <c r="O32" s="181" t="s">
        <v>77</v>
      </c>
      <c r="P32" s="181" t="s">
        <v>94</v>
      </c>
      <c r="Q32" s="181" t="s">
        <v>94</v>
      </c>
      <c r="R32" s="181" t="s">
        <v>94</v>
      </c>
      <c r="S32" s="181" t="s">
        <v>77</v>
      </c>
      <c r="T32" s="182" t="s">
        <v>308</v>
      </c>
      <c r="U32" s="181" t="s">
        <v>189</v>
      </c>
      <c r="V32" s="181" t="s">
        <v>77</v>
      </c>
      <c r="W32" s="181"/>
      <c r="X32" s="183" t="s">
        <v>318</v>
      </c>
      <c r="Y32" s="184"/>
      <c r="Z32" s="184"/>
      <c r="AA32" s="184"/>
      <c r="AB32" s="184">
        <v>46218</v>
      </c>
      <c r="AC32" s="184"/>
      <c r="AD32" s="184"/>
      <c r="AE32" s="184"/>
      <c r="AF32" s="184"/>
      <c r="AG32" s="185"/>
      <c r="AH32" s="185"/>
      <c r="AI32" s="185"/>
      <c r="AJ32" s="185"/>
      <c r="AK32" s="185"/>
      <c r="AL32" s="185"/>
      <c r="AM32" s="185"/>
      <c r="AN32" s="185" t="s">
        <v>77</v>
      </c>
      <c r="AO32" s="185" t="s">
        <v>77</v>
      </c>
      <c r="AP32" s="185" t="s">
        <v>77</v>
      </c>
      <c r="AQ32" s="185" t="s">
        <v>77</v>
      </c>
      <c r="AR32" s="185" t="s">
        <v>77</v>
      </c>
      <c r="AS32" s="185" t="s">
        <v>77</v>
      </c>
      <c r="AT32" s="185" t="s">
        <v>77</v>
      </c>
      <c r="AU32" s="186"/>
    </row>
    <row r="33" spans="1:48" ht="19.95" customHeight="1">
      <c r="A33" s="111" t="s">
        <v>294</v>
      </c>
      <c r="B33" s="53" t="s">
        <v>295</v>
      </c>
      <c r="C33" s="53" t="s">
        <v>176</v>
      </c>
      <c r="D33" s="177" t="s">
        <v>11</v>
      </c>
      <c r="E33" s="178"/>
      <c r="F33" s="179">
        <v>30</v>
      </c>
      <c r="G33" s="74" t="s">
        <v>61</v>
      </c>
      <c r="H33" s="93" t="s">
        <v>8</v>
      </c>
      <c r="I33" s="180" t="s">
        <v>61</v>
      </c>
      <c r="J33" s="178" t="s">
        <v>528</v>
      </c>
      <c r="K33" s="182" t="s">
        <v>663</v>
      </c>
      <c r="L33" s="182"/>
      <c r="M33" s="182"/>
      <c r="N33" s="181" t="s">
        <v>94</v>
      </c>
      <c r="O33" s="181" t="s">
        <v>77</v>
      </c>
      <c r="P33" s="181" t="s">
        <v>77</v>
      </c>
      <c r="Q33" s="181" t="s">
        <v>77</v>
      </c>
      <c r="R33" s="181" t="s">
        <v>77</v>
      </c>
      <c r="S33" s="181" t="s">
        <v>77</v>
      </c>
      <c r="T33" s="182" t="s">
        <v>305</v>
      </c>
      <c r="U33" s="181" t="s">
        <v>107</v>
      </c>
      <c r="V33" s="181" t="s">
        <v>94</v>
      </c>
      <c r="W33" s="181"/>
      <c r="X33" s="183" t="s">
        <v>334</v>
      </c>
      <c r="Y33" s="184"/>
      <c r="Z33" s="184"/>
      <c r="AA33" s="184"/>
      <c r="AB33" s="184"/>
      <c r="AC33" s="184"/>
      <c r="AD33" s="184"/>
      <c r="AE33" s="184"/>
      <c r="AF33" s="184"/>
      <c r="AG33" s="185"/>
      <c r="AH33" s="185"/>
      <c r="AI33" s="185"/>
      <c r="AJ33" s="185"/>
      <c r="AK33" s="185"/>
      <c r="AL33" s="185"/>
      <c r="AM33" s="185"/>
      <c r="AN33" s="185" t="s">
        <v>77</v>
      </c>
      <c r="AO33" s="185" t="s">
        <v>77</v>
      </c>
      <c r="AP33" s="185" t="s">
        <v>77</v>
      </c>
      <c r="AQ33" s="185" t="s">
        <v>77</v>
      </c>
      <c r="AR33" s="185" t="s">
        <v>77</v>
      </c>
      <c r="AS33" s="185" t="s">
        <v>77</v>
      </c>
      <c r="AT33" s="185" t="s">
        <v>77</v>
      </c>
      <c r="AU33" s="186"/>
      <c r="AV33" s="16"/>
    </row>
    <row r="34" spans="1:48" ht="19.95" customHeight="1">
      <c r="A34" s="111" t="s">
        <v>299</v>
      </c>
      <c r="B34" s="53" t="s">
        <v>300</v>
      </c>
      <c r="C34" s="53" t="s">
        <v>176</v>
      </c>
      <c r="D34" s="177" t="s">
        <v>119</v>
      </c>
      <c r="E34" s="178"/>
      <c r="F34" s="179">
        <v>20</v>
      </c>
      <c r="G34" s="74" t="s">
        <v>61</v>
      </c>
      <c r="H34" s="93" t="s">
        <v>10</v>
      </c>
      <c r="I34" s="180" t="s">
        <v>10</v>
      </c>
      <c r="J34" s="178" t="s">
        <v>528</v>
      </c>
      <c r="K34" s="182" t="s">
        <v>664</v>
      </c>
      <c r="L34" s="182">
        <v>19176</v>
      </c>
      <c r="M34" s="182"/>
      <c r="N34" s="181" t="s">
        <v>325</v>
      </c>
      <c r="O34" s="181" t="s">
        <v>77</v>
      </c>
      <c r="P34" s="181" t="s">
        <v>77</v>
      </c>
      <c r="Q34" s="181" t="s">
        <v>77</v>
      </c>
      <c r="R34" s="181" t="s">
        <v>77</v>
      </c>
      <c r="S34" s="181" t="s">
        <v>77</v>
      </c>
      <c r="T34" s="182" t="s">
        <v>306</v>
      </c>
      <c r="U34" s="181" t="s">
        <v>189</v>
      </c>
      <c r="V34" s="181" t="s">
        <v>94</v>
      </c>
      <c r="W34" s="181"/>
      <c r="X34" s="183"/>
      <c r="Y34" s="184"/>
      <c r="Z34" s="184"/>
      <c r="AA34" s="184"/>
      <c r="AB34" s="184"/>
      <c r="AC34" s="184"/>
      <c r="AD34" s="184"/>
      <c r="AE34" s="185"/>
      <c r="AF34" s="185"/>
      <c r="AG34" s="185"/>
      <c r="AH34" s="185"/>
      <c r="AI34" s="185"/>
      <c r="AJ34" s="185"/>
      <c r="AK34" s="185"/>
      <c r="AL34" s="185"/>
      <c r="AM34" s="185"/>
      <c r="AN34" s="185" t="s">
        <v>77</v>
      </c>
      <c r="AO34" s="185" t="s">
        <v>77</v>
      </c>
      <c r="AP34" s="185" t="s">
        <v>77</v>
      </c>
      <c r="AQ34" s="185" t="s">
        <v>77</v>
      </c>
      <c r="AR34" s="185" t="s">
        <v>77</v>
      </c>
      <c r="AS34" s="185" t="s">
        <v>77</v>
      </c>
      <c r="AT34" s="185" t="s">
        <v>77</v>
      </c>
      <c r="AU34" s="186"/>
    </row>
    <row r="35" spans="1:48" ht="19.95" customHeight="1">
      <c r="A35" s="53" t="s">
        <v>172</v>
      </c>
      <c r="B35" s="53" t="s">
        <v>180</v>
      </c>
      <c r="C35" s="363" t="s">
        <v>181</v>
      </c>
      <c r="D35" s="177" t="s">
        <v>118</v>
      </c>
      <c r="E35" s="178"/>
      <c r="F35" s="364">
        <v>25</v>
      </c>
      <c r="G35" s="74" t="s">
        <v>87</v>
      </c>
      <c r="H35" s="74" t="s">
        <v>7</v>
      </c>
      <c r="I35" s="74" t="s">
        <v>7</v>
      </c>
      <c r="J35" s="178" t="s">
        <v>528</v>
      </c>
      <c r="K35" s="182" t="s">
        <v>566</v>
      </c>
      <c r="L35" s="182"/>
      <c r="M35" s="182"/>
      <c r="N35" s="181" t="s">
        <v>77</v>
      </c>
      <c r="O35" s="181" t="s">
        <v>90</v>
      </c>
      <c r="P35" s="181" t="s">
        <v>77</v>
      </c>
      <c r="Q35" s="181" t="s">
        <v>94</v>
      </c>
      <c r="R35" s="181" t="s">
        <v>76</v>
      </c>
      <c r="S35" s="181" t="s">
        <v>77</v>
      </c>
      <c r="T35" s="182" t="s">
        <v>7</v>
      </c>
      <c r="U35" s="181" t="s">
        <v>105</v>
      </c>
      <c r="V35" s="181" t="s">
        <v>7</v>
      </c>
      <c r="W35" s="181"/>
      <c r="X35" s="183"/>
      <c r="Y35" s="181"/>
      <c r="Z35" s="184"/>
      <c r="AA35" s="184"/>
      <c r="AB35" s="184">
        <v>46218</v>
      </c>
      <c r="AC35" s="184"/>
      <c r="AD35" s="184"/>
      <c r="AE35" s="185"/>
      <c r="AF35" s="185"/>
      <c r="AG35" s="185"/>
      <c r="AH35" s="185"/>
      <c r="AI35" s="185"/>
      <c r="AJ35" s="185"/>
      <c r="AK35" s="185"/>
      <c r="AL35" s="185"/>
      <c r="AM35" s="185"/>
      <c r="AN35" s="185" t="s">
        <v>77</v>
      </c>
      <c r="AO35" s="185" t="s">
        <v>77</v>
      </c>
      <c r="AP35" s="185" t="s">
        <v>77</v>
      </c>
      <c r="AQ35" s="185" t="s">
        <v>77</v>
      </c>
      <c r="AR35" s="185" t="s">
        <v>77</v>
      </c>
      <c r="AS35" s="185" t="s">
        <v>77</v>
      </c>
      <c r="AT35" s="185" t="s">
        <v>77</v>
      </c>
      <c r="AU35" s="185"/>
    </row>
    <row r="36" spans="1:48" ht="19.95" customHeight="1">
      <c r="A36" s="361"/>
      <c r="B36" s="361"/>
      <c r="C36" s="35"/>
      <c r="D36" s="8"/>
      <c r="E36" s="10"/>
      <c r="F36" s="8"/>
      <c r="G36" s="10"/>
      <c r="H36" s="37"/>
      <c r="I36" s="11"/>
      <c r="J36" s="8"/>
      <c r="K36" s="9"/>
      <c r="L36" s="9"/>
      <c r="M36" s="9"/>
      <c r="N36" s="32"/>
      <c r="O36" s="32"/>
      <c r="P36" s="32"/>
      <c r="Q36" s="32"/>
      <c r="R36" s="32"/>
      <c r="S36" s="32"/>
      <c r="T36" s="9"/>
      <c r="U36" s="8"/>
      <c r="V36" s="8"/>
      <c r="W36" s="8"/>
      <c r="X36" s="12"/>
      <c r="Y36" s="39"/>
      <c r="Z36" s="38"/>
      <c r="AA36" s="38"/>
      <c r="AB36" s="38"/>
      <c r="AC36" s="38"/>
      <c r="AD36" s="38"/>
      <c r="AE36" s="40"/>
      <c r="AF36" s="40"/>
      <c r="AG36" s="40"/>
      <c r="AH36" s="40"/>
      <c r="AI36" s="40"/>
      <c r="AJ36" s="40"/>
      <c r="AK36" s="40"/>
      <c r="AL36" s="40"/>
      <c r="AM36" s="40"/>
      <c r="AN36" s="27"/>
      <c r="AO36" s="27"/>
      <c r="AP36" s="27"/>
      <c r="AQ36" s="27"/>
      <c r="AR36" s="27"/>
      <c r="AS36" s="27"/>
      <c r="AT36" s="27"/>
      <c r="AU36" s="27"/>
    </row>
    <row r="37" spans="1:48" ht="19.95" customHeight="1">
      <c r="A37" s="35"/>
      <c r="B37" s="35"/>
      <c r="C37" s="35"/>
      <c r="D37" s="8"/>
      <c r="E37" s="10"/>
      <c r="F37" s="8"/>
      <c r="G37" s="10"/>
      <c r="H37" s="37"/>
      <c r="I37" s="11"/>
      <c r="J37" s="8"/>
      <c r="K37" s="9"/>
      <c r="L37" s="9"/>
      <c r="M37" s="9"/>
      <c r="N37" s="32"/>
      <c r="O37" s="32"/>
      <c r="P37" s="32"/>
      <c r="Q37" s="32"/>
      <c r="R37" s="32"/>
      <c r="S37" s="32"/>
      <c r="T37" s="9"/>
      <c r="U37" s="8"/>
      <c r="V37" s="8"/>
      <c r="W37" s="8"/>
      <c r="X37" s="12"/>
      <c r="Y37" s="39"/>
      <c r="Z37" s="38"/>
      <c r="AA37" s="38"/>
      <c r="AB37" s="38"/>
      <c r="AC37" s="38"/>
      <c r="AD37" s="38"/>
      <c r="AE37" s="40"/>
      <c r="AF37" s="40"/>
      <c r="AG37" s="40"/>
      <c r="AH37" s="40"/>
      <c r="AI37" s="40"/>
      <c r="AJ37" s="40"/>
      <c r="AK37" s="40"/>
      <c r="AL37" s="40"/>
      <c r="AM37" s="40"/>
      <c r="AN37" s="27"/>
      <c r="AO37" s="27"/>
      <c r="AP37" s="27"/>
      <c r="AQ37" s="27"/>
      <c r="AR37" s="27"/>
      <c r="AS37" s="27"/>
      <c r="AT37" s="27"/>
      <c r="AU37" s="27"/>
    </row>
    <row r="38" spans="1:48" ht="19.95" customHeight="1">
      <c r="A38" s="35"/>
      <c r="B38" s="35"/>
      <c r="C38" s="35"/>
      <c r="D38" s="8"/>
      <c r="E38" s="10"/>
      <c r="F38" s="8"/>
      <c r="G38" s="10"/>
      <c r="H38" s="37"/>
      <c r="I38" s="11"/>
      <c r="J38" s="8"/>
      <c r="K38" s="9"/>
      <c r="L38" s="9"/>
      <c r="M38" s="9"/>
      <c r="N38" s="32"/>
      <c r="O38" s="32"/>
      <c r="P38" s="32"/>
      <c r="Q38" s="32"/>
      <c r="R38" s="32"/>
      <c r="S38" s="32"/>
      <c r="T38" s="9"/>
      <c r="U38" s="8"/>
      <c r="V38" s="8"/>
      <c r="W38" s="8"/>
      <c r="X38" s="12"/>
      <c r="Y38" s="39"/>
      <c r="Z38" s="38"/>
      <c r="AA38" s="38"/>
      <c r="AB38" s="38"/>
      <c r="AC38" s="38"/>
      <c r="AD38" s="38"/>
      <c r="AE38" s="40"/>
      <c r="AF38" s="40"/>
      <c r="AG38" s="40"/>
      <c r="AH38" s="40"/>
      <c r="AI38" s="40"/>
      <c r="AJ38" s="40"/>
      <c r="AK38" s="40"/>
      <c r="AL38" s="40"/>
      <c r="AM38" s="40"/>
      <c r="AN38" s="27"/>
      <c r="AO38" s="27"/>
      <c r="AP38" s="27"/>
      <c r="AQ38" s="27"/>
      <c r="AR38" s="27"/>
      <c r="AS38" s="27"/>
      <c r="AT38" s="27"/>
      <c r="AU38" s="27"/>
    </row>
    <row r="39" spans="1:48" ht="19.95" customHeight="1">
      <c r="A39" s="35"/>
      <c r="B39" s="35"/>
      <c r="C39" s="35"/>
      <c r="D39" s="8"/>
      <c r="E39" s="10"/>
      <c r="F39" s="8"/>
      <c r="G39" s="10"/>
      <c r="H39" s="37"/>
      <c r="I39" s="11"/>
      <c r="J39" s="8"/>
      <c r="K39" s="9"/>
      <c r="L39" s="9"/>
      <c r="M39" s="9"/>
      <c r="N39" s="32"/>
      <c r="O39" s="32"/>
      <c r="P39" s="32"/>
      <c r="Q39" s="32"/>
      <c r="R39" s="32"/>
      <c r="S39" s="32"/>
      <c r="T39" s="9"/>
      <c r="U39" s="8"/>
      <c r="V39" s="8"/>
      <c r="W39" s="8"/>
      <c r="X39" s="12"/>
      <c r="Y39" s="39"/>
      <c r="Z39" s="38"/>
      <c r="AA39" s="38"/>
      <c r="AB39" s="38"/>
      <c r="AC39" s="38"/>
      <c r="AD39" s="38"/>
      <c r="AE39" s="40"/>
      <c r="AF39" s="40"/>
      <c r="AG39" s="40"/>
      <c r="AH39" s="40"/>
      <c r="AI39" s="40"/>
      <c r="AJ39" s="40"/>
      <c r="AK39" s="40"/>
      <c r="AL39" s="40"/>
      <c r="AM39" s="40"/>
      <c r="AN39" s="27"/>
      <c r="AO39" s="27"/>
      <c r="AP39" s="27"/>
      <c r="AQ39" s="27"/>
      <c r="AR39" s="27"/>
      <c r="AS39" s="27"/>
      <c r="AT39" s="27"/>
      <c r="AU39" s="27"/>
    </row>
    <row r="40" spans="1:48" ht="19.95" customHeight="1">
      <c r="A40" s="35"/>
      <c r="B40" s="35"/>
      <c r="C40" s="35"/>
      <c r="D40" s="8"/>
      <c r="E40" s="10"/>
      <c r="F40" s="8"/>
      <c r="G40" s="10"/>
      <c r="H40" s="37"/>
      <c r="I40" s="11"/>
      <c r="J40" s="8"/>
      <c r="K40" s="9"/>
      <c r="L40" s="9"/>
      <c r="M40" s="9"/>
      <c r="N40" s="32"/>
      <c r="O40" s="32"/>
      <c r="P40" s="32"/>
      <c r="Q40" s="32"/>
      <c r="R40" s="32"/>
      <c r="S40" s="32"/>
      <c r="T40" s="9"/>
      <c r="U40" s="8"/>
      <c r="V40" s="8"/>
      <c r="W40" s="8"/>
      <c r="X40" s="12"/>
      <c r="Y40" s="39"/>
      <c r="Z40" s="38"/>
      <c r="AA40" s="38"/>
      <c r="AB40" s="38"/>
      <c r="AC40" s="38"/>
      <c r="AD40" s="38"/>
      <c r="AE40" s="40"/>
      <c r="AF40" s="40"/>
      <c r="AG40" s="40"/>
      <c r="AH40" s="40"/>
      <c r="AI40" s="40"/>
      <c r="AJ40" s="40"/>
      <c r="AK40" s="40"/>
      <c r="AL40" s="40"/>
      <c r="AM40" s="40"/>
      <c r="AN40" s="27"/>
      <c r="AO40" s="27"/>
      <c r="AP40" s="27"/>
      <c r="AQ40" s="27"/>
      <c r="AR40" s="27"/>
      <c r="AS40" s="27"/>
      <c r="AT40" s="27"/>
      <c r="AU40" s="27"/>
    </row>
    <row r="41" spans="1:48" ht="19.95" customHeight="1">
      <c r="A41" s="35"/>
      <c r="B41" s="35"/>
      <c r="C41" s="35"/>
      <c r="D41" s="8"/>
      <c r="E41" s="10"/>
      <c r="F41" s="8"/>
      <c r="G41" s="10"/>
      <c r="H41" s="37"/>
      <c r="I41" s="11"/>
      <c r="J41" s="8"/>
      <c r="K41" s="9"/>
      <c r="L41" s="9"/>
      <c r="M41" s="9"/>
      <c r="N41" s="32"/>
      <c r="O41" s="32"/>
      <c r="P41" s="32"/>
      <c r="Q41" s="32"/>
      <c r="R41" s="32"/>
      <c r="S41" s="32"/>
      <c r="T41" s="9"/>
      <c r="U41" s="8"/>
      <c r="V41" s="8"/>
      <c r="W41" s="8"/>
      <c r="X41" s="12"/>
      <c r="Y41" s="39"/>
      <c r="Z41" s="38"/>
      <c r="AA41" s="38"/>
      <c r="AB41" s="38"/>
      <c r="AC41" s="38"/>
      <c r="AD41" s="38"/>
      <c r="AE41" s="40"/>
      <c r="AF41" s="40"/>
      <c r="AG41" s="40"/>
      <c r="AH41" s="40"/>
      <c r="AI41" s="40"/>
      <c r="AJ41" s="40"/>
      <c r="AK41" s="40"/>
      <c r="AL41" s="40"/>
      <c r="AM41" s="40"/>
      <c r="AN41" s="27"/>
      <c r="AO41" s="27"/>
      <c r="AP41" s="27"/>
      <c r="AQ41" s="27"/>
      <c r="AR41" s="27"/>
      <c r="AS41" s="27"/>
      <c r="AT41" s="27"/>
      <c r="AU41" s="27"/>
    </row>
    <row r="42" spans="1:48" ht="19.95" customHeight="1">
      <c r="A42" s="35"/>
      <c r="B42" s="35"/>
      <c r="C42" s="35"/>
      <c r="D42" s="8"/>
      <c r="E42" s="10"/>
      <c r="F42" s="8"/>
      <c r="G42" s="10"/>
      <c r="H42" s="37"/>
      <c r="I42" s="11"/>
      <c r="J42" s="8"/>
      <c r="K42" s="9"/>
      <c r="L42" s="9"/>
      <c r="M42" s="9"/>
      <c r="N42" s="32"/>
      <c r="O42" s="32"/>
      <c r="P42" s="32"/>
      <c r="Q42" s="32"/>
      <c r="R42" s="32"/>
      <c r="S42" s="32"/>
      <c r="T42" s="9"/>
      <c r="U42" s="8"/>
      <c r="V42" s="8"/>
      <c r="W42" s="8"/>
      <c r="X42" s="12"/>
      <c r="Y42" s="39"/>
      <c r="Z42" s="38"/>
      <c r="AA42" s="38"/>
      <c r="AB42" s="38"/>
      <c r="AC42" s="38"/>
      <c r="AD42" s="38"/>
      <c r="AE42" s="40"/>
      <c r="AF42" s="40"/>
      <c r="AG42" s="40"/>
      <c r="AH42" s="40"/>
      <c r="AI42" s="40"/>
      <c r="AJ42" s="40"/>
      <c r="AK42" s="40"/>
      <c r="AL42" s="40"/>
      <c r="AM42" s="40"/>
      <c r="AN42" s="27"/>
      <c r="AO42" s="27"/>
      <c r="AP42" s="27"/>
      <c r="AQ42" s="27"/>
      <c r="AR42" s="27"/>
      <c r="AS42" s="27"/>
      <c r="AT42" s="27"/>
      <c r="AU42" s="27"/>
    </row>
    <row r="43" spans="1:48" ht="19.95" customHeight="1">
      <c r="A43" s="35"/>
      <c r="B43" s="35"/>
      <c r="C43" s="35"/>
      <c r="D43" s="8"/>
      <c r="E43" s="10"/>
      <c r="F43" s="8"/>
      <c r="G43" s="10"/>
      <c r="H43" s="37"/>
      <c r="I43" s="11"/>
      <c r="J43" s="8"/>
      <c r="K43" s="9"/>
      <c r="L43" s="9"/>
      <c r="M43" s="9"/>
      <c r="N43" s="32"/>
      <c r="O43" s="32"/>
      <c r="P43" s="32"/>
      <c r="Q43" s="32"/>
      <c r="R43" s="32"/>
      <c r="S43" s="32"/>
      <c r="T43" s="9"/>
      <c r="U43" s="8"/>
      <c r="V43" s="8"/>
      <c r="W43" s="8"/>
      <c r="X43" s="12"/>
      <c r="Y43" s="39"/>
      <c r="Z43" s="38"/>
      <c r="AA43" s="38"/>
      <c r="AB43" s="38"/>
      <c r="AC43" s="38"/>
      <c r="AD43" s="38"/>
      <c r="AE43" s="40"/>
      <c r="AF43" s="40"/>
      <c r="AG43" s="40"/>
      <c r="AH43" s="40"/>
      <c r="AI43" s="40"/>
      <c r="AJ43" s="40"/>
      <c r="AK43" s="40"/>
      <c r="AL43" s="40"/>
      <c r="AM43" s="40"/>
      <c r="AN43" s="27"/>
      <c r="AO43" s="27"/>
      <c r="AP43" s="27"/>
      <c r="AQ43" s="27"/>
      <c r="AR43" s="27"/>
      <c r="AS43" s="27"/>
      <c r="AT43" s="27"/>
      <c r="AU43" s="27"/>
    </row>
    <row r="44" spans="1:48" ht="19.95" customHeight="1">
      <c r="A44" s="35"/>
      <c r="B44" s="35"/>
      <c r="C44" s="35"/>
      <c r="D44" s="8"/>
      <c r="E44" s="10"/>
      <c r="F44" s="8"/>
      <c r="G44" s="10"/>
      <c r="H44" s="37"/>
      <c r="I44" s="11"/>
      <c r="J44" s="8"/>
      <c r="K44" s="9"/>
      <c r="L44" s="9"/>
      <c r="M44" s="9"/>
      <c r="N44" s="32"/>
      <c r="O44" s="32"/>
      <c r="P44" s="32"/>
      <c r="Q44" s="32"/>
      <c r="R44" s="32"/>
      <c r="S44" s="32"/>
      <c r="T44" s="9"/>
      <c r="U44" s="8"/>
      <c r="V44" s="8"/>
      <c r="W44" s="8"/>
      <c r="X44" s="12"/>
      <c r="Y44" s="39"/>
      <c r="Z44" s="38"/>
      <c r="AA44" s="38"/>
      <c r="AB44" s="38"/>
      <c r="AC44" s="38"/>
      <c r="AD44" s="38"/>
      <c r="AE44" s="40"/>
      <c r="AF44" s="40"/>
      <c r="AG44" s="40"/>
      <c r="AH44" s="40"/>
      <c r="AI44" s="40"/>
      <c r="AJ44" s="40"/>
      <c r="AK44" s="40"/>
      <c r="AL44" s="40"/>
      <c r="AM44" s="40"/>
      <c r="AN44" s="27"/>
      <c r="AO44" s="27"/>
      <c r="AP44" s="27"/>
      <c r="AQ44" s="27"/>
      <c r="AR44" s="27"/>
      <c r="AS44" s="27"/>
      <c r="AT44" s="27"/>
      <c r="AU44" s="27"/>
    </row>
    <row r="45" spans="1:48" ht="19.95" customHeight="1">
      <c r="A45" s="35"/>
      <c r="B45" s="35"/>
      <c r="C45" s="35"/>
      <c r="D45" s="8"/>
      <c r="E45" s="10"/>
      <c r="F45" s="8"/>
      <c r="G45" s="10"/>
      <c r="H45" s="37"/>
      <c r="I45" s="11"/>
      <c r="J45" s="8"/>
      <c r="K45" s="9"/>
      <c r="L45" s="9"/>
      <c r="M45" s="9"/>
      <c r="N45" s="32"/>
      <c r="O45" s="32"/>
      <c r="P45" s="32"/>
      <c r="Q45" s="32"/>
      <c r="R45" s="32"/>
      <c r="S45" s="32"/>
      <c r="T45" s="9"/>
      <c r="U45" s="8"/>
      <c r="V45" s="8"/>
      <c r="W45" s="8"/>
      <c r="X45" s="12"/>
      <c r="Y45" s="39"/>
      <c r="Z45" s="38"/>
      <c r="AA45" s="38"/>
      <c r="AB45" s="38"/>
      <c r="AC45" s="38"/>
      <c r="AD45" s="38"/>
      <c r="AE45" s="40"/>
      <c r="AF45" s="40"/>
      <c r="AG45" s="40"/>
      <c r="AH45" s="40"/>
      <c r="AI45" s="40"/>
      <c r="AJ45" s="40"/>
      <c r="AK45" s="40"/>
      <c r="AL45" s="40"/>
      <c r="AM45" s="40"/>
      <c r="AN45" s="27"/>
      <c r="AO45" s="27"/>
      <c r="AP45" s="27"/>
      <c r="AQ45" s="27"/>
      <c r="AR45" s="27"/>
      <c r="AS45" s="27"/>
      <c r="AT45" s="27"/>
      <c r="AU45" s="27"/>
    </row>
    <row r="46" spans="1:48" ht="19.95" customHeight="1">
      <c r="A46" s="35"/>
      <c r="B46" s="35"/>
      <c r="C46" s="35"/>
      <c r="D46" s="8"/>
      <c r="E46" s="10"/>
      <c r="F46" s="8"/>
      <c r="G46" s="10"/>
      <c r="H46" s="37"/>
      <c r="I46" s="11"/>
      <c r="J46" s="8"/>
      <c r="K46" s="9"/>
      <c r="L46" s="9"/>
      <c r="M46" s="9"/>
      <c r="N46" s="32"/>
      <c r="O46" s="32"/>
      <c r="P46" s="32"/>
      <c r="Q46" s="32"/>
      <c r="R46" s="32"/>
      <c r="S46" s="32"/>
      <c r="T46" s="9"/>
      <c r="U46" s="8"/>
      <c r="V46" s="8"/>
      <c r="W46" s="8"/>
      <c r="X46" s="12"/>
      <c r="Y46" s="39"/>
      <c r="Z46" s="38"/>
      <c r="AA46" s="38"/>
      <c r="AB46" s="38"/>
      <c r="AC46" s="38"/>
      <c r="AD46" s="38"/>
      <c r="AE46" s="40"/>
      <c r="AF46" s="40"/>
      <c r="AG46" s="40"/>
      <c r="AH46" s="40"/>
      <c r="AI46" s="40"/>
      <c r="AJ46" s="40"/>
      <c r="AK46" s="40"/>
      <c r="AL46" s="40"/>
      <c r="AM46" s="40"/>
      <c r="AN46" s="27"/>
      <c r="AO46" s="27"/>
      <c r="AP46" s="27"/>
      <c r="AQ46" s="27"/>
      <c r="AR46" s="27"/>
      <c r="AS46" s="27"/>
      <c r="AT46" s="27"/>
      <c r="AU46" s="27"/>
    </row>
    <row r="47" spans="1:48" ht="19.95" customHeight="1">
      <c r="A47" s="35"/>
      <c r="B47" s="35"/>
      <c r="C47" s="35"/>
      <c r="D47" s="8"/>
      <c r="E47" s="10"/>
      <c r="F47" s="8"/>
      <c r="G47" s="10"/>
      <c r="H47" s="37"/>
      <c r="I47" s="11"/>
      <c r="J47" s="8"/>
      <c r="K47" s="9"/>
      <c r="L47" s="9"/>
      <c r="M47" s="9"/>
      <c r="N47" s="32"/>
      <c r="O47" s="32"/>
      <c r="P47" s="32"/>
      <c r="Q47" s="32"/>
      <c r="R47" s="32"/>
      <c r="S47" s="32"/>
      <c r="T47" s="9"/>
      <c r="U47" s="8"/>
      <c r="V47" s="8"/>
      <c r="W47" s="8"/>
      <c r="X47" s="12"/>
      <c r="Y47" s="39"/>
      <c r="Z47" s="38"/>
      <c r="AA47" s="38"/>
      <c r="AB47" s="38"/>
      <c r="AC47" s="38"/>
      <c r="AD47" s="38"/>
      <c r="AE47" s="40"/>
      <c r="AF47" s="40"/>
      <c r="AG47" s="40"/>
      <c r="AH47" s="40"/>
      <c r="AI47" s="40"/>
      <c r="AJ47" s="40"/>
      <c r="AK47" s="40"/>
      <c r="AL47" s="40"/>
      <c r="AM47" s="40"/>
      <c r="AN47" s="27"/>
      <c r="AO47" s="27"/>
      <c r="AP47" s="27"/>
      <c r="AQ47" s="27"/>
      <c r="AR47" s="27"/>
      <c r="AS47" s="27"/>
      <c r="AT47" s="27"/>
      <c r="AU47" s="27"/>
    </row>
    <row r="48" spans="1:48" ht="19.95" customHeight="1">
      <c r="A48" s="35"/>
      <c r="B48" s="35"/>
      <c r="C48" s="35"/>
      <c r="D48" s="8"/>
      <c r="E48" s="10"/>
      <c r="F48" s="8"/>
      <c r="G48" s="10"/>
      <c r="H48" s="37"/>
      <c r="I48" s="11"/>
      <c r="J48" s="8"/>
      <c r="K48" s="9"/>
      <c r="L48" s="9"/>
      <c r="M48" s="9"/>
      <c r="N48" s="32"/>
      <c r="O48" s="32"/>
      <c r="P48" s="32"/>
      <c r="Q48" s="32"/>
      <c r="R48" s="32"/>
      <c r="S48" s="32"/>
      <c r="T48" s="9"/>
      <c r="U48" s="8"/>
      <c r="V48" s="8"/>
      <c r="W48" s="8"/>
      <c r="X48" s="12"/>
      <c r="Y48" s="39"/>
      <c r="Z48" s="38"/>
      <c r="AA48" s="38"/>
      <c r="AB48" s="38"/>
      <c r="AC48" s="38"/>
      <c r="AD48" s="38"/>
      <c r="AE48" s="40"/>
      <c r="AF48" s="40"/>
      <c r="AG48" s="40"/>
      <c r="AH48" s="40"/>
      <c r="AI48" s="40"/>
      <c r="AJ48" s="40"/>
      <c r="AK48" s="40"/>
      <c r="AL48" s="40"/>
      <c r="AM48" s="40"/>
      <c r="AN48" s="27"/>
      <c r="AO48" s="27"/>
      <c r="AP48" s="27"/>
      <c r="AQ48" s="27"/>
      <c r="AR48" s="27"/>
      <c r="AS48" s="27"/>
      <c r="AT48" s="27"/>
      <c r="AU48" s="27"/>
    </row>
    <row r="49" spans="1:47" ht="19.95" customHeight="1">
      <c r="A49" s="35"/>
      <c r="B49" s="35"/>
      <c r="C49" s="35"/>
      <c r="D49" s="8"/>
      <c r="E49" s="10"/>
      <c r="F49" s="8"/>
      <c r="G49" s="10"/>
      <c r="H49" s="37"/>
      <c r="I49" s="11"/>
      <c r="J49" s="8"/>
      <c r="K49" s="9"/>
      <c r="L49" s="9"/>
      <c r="M49" s="9"/>
      <c r="N49" s="32"/>
      <c r="O49" s="32"/>
      <c r="P49" s="32"/>
      <c r="Q49" s="32"/>
      <c r="R49" s="32"/>
      <c r="S49" s="32"/>
      <c r="T49" s="9"/>
      <c r="U49" s="8"/>
      <c r="V49" s="8"/>
      <c r="W49" s="8"/>
      <c r="X49" s="12"/>
      <c r="Y49" s="39"/>
      <c r="Z49" s="38"/>
      <c r="AA49" s="38"/>
      <c r="AB49" s="38"/>
      <c r="AC49" s="38"/>
      <c r="AD49" s="38"/>
      <c r="AE49" s="40"/>
      <c r="AF49" s="40"/>
      <c r="AG49" s="40"/>
      <c r="AH49" s="40"/>
      <c r="AI49" s="40"/>
      <c r="AJ49" s="40"/>
      <c r="AK49" s="40"/>
      <c r="AL49" s="40"/>
      <c r="AM49" s="40"/>
      <c r="AN49" s="27"/>
      <c r="AO49" s="27"/>
      <c r="AP49" s="27"/>
      <c r="AQ49" s="27"/>
      <c r="AR49" s="27"/>
      <c r="AS49" s="27"/>
      <c r="AT49" s="27"/>
      <c r="AU49" s="27"/>
    </row>
    <row r="50" spans="1:47" ht="19.95" customHeight="1">
      <c r="A50" s="35"/>
      <c r="B50" s="35"/>
      <c r="C50" s="35"/>
      <c r="D50" s="8"/>
      <c r="E50" s="10"/>
      <c r="F50" s="8"/>
      <c r="G50" s="10"/>
      <c r="H50" s="37"/>
      <c r="I50" s="11"/>
      <c r="J50" s="8"/>
      <c r="K50" s="9"/>
      <c r="L50" s="9"/>
      <c r="M50" s="9"/>
      <c r="N50" s="32"/>
      <c r="O50" s="32"/>
      <c r="P50" s="32"/>
      <c r="Q50" s="32"/>
      <c r="R50" s="32"/>
      <c r="S50" s="32"/>
      <c r="T50" s="9"/>
      <c r="U50" s="8"/>
      <c r="V50" s="8"/>
      <c r="W50" s="8"/>
      <c r="X50" s="12"/>
      <c r="Y50" s="39"/>
      <c r="Z50" s="38"/>
      <c r="AA50" s="38"/>
      <c r="AB50" s="38"/>
      <c r="AC50" s="38"/>
      <c r="AD50" s="38"/>
      <c r="AE50" s="40"/>
      <c r="AF50" s="40"/>
      <c r="AG50" s="40"/>
      <c r="AH50" s="40"/>
      <c r="AI50" s="40"/>
      <c r="AJ50" s="40"/>
      <c r="AK50" s="40"/>
      <c r="AL50" s="40"/>
      <c r="AM50" s="40"/>
      <c r="AN50" s="27"/>
      <c r="AO50" s="27"/>
      <c r="AP50" s="27"/>
      <c r="AQ50" s="27"/>
      <c r="AR50" s="27"/>
      <c r="AS50" s="27"/>
      <c r="AT50" s="27"/>
      <c r="AU50" s="27"/>
    </row>
    <row r="51" spans="1:47" ht="19.95" customHeight="1">
      <c r="A51" s="35"/>
      <c r="B51" s="35"/>
      <c r="C51" s="35"/>
      <c r="D51" s="8"/>
      <c r="E51" s="10"/>
      <c r="F51" s="8"/>
      <c r="G51" s="10"/>
      <c r="H51" s="37"/>
      <c r="I51" s="11"/>
      <c r="J51" s="8"/>
      <c r="K51" s="9"/>
      <c r="L51" s="9"/>
      <c r="M51" s="9"/>
      <c r="N51" s="32"/>
      <c r="O51" s="32"/>
      <c r="P51" s="32"/>
      <c r="Q51" s="32"/>
      <c r="R51" s="32"/>
      <c r="S51" s="32"/>
      <c r="T51" s="9"/>
      <c r="U51" s="8"/>
      <c r="V51" s="8"/>
      <c r="W51" s="8"/>
      <c r="X51" s="12"/>
      <c r="Y51" s="39"/>
      <c r="Z51" s="38"/>
      <c r="AA51" s="38"/>
      <c r="AB51" s="38"/>
      <c r="AC51" s="38"/>
      <c r="AD51" s="38"/>
      <c r="AE51" s="40"/>
      <c r="AF51" s="40"/>
      <c r="AG51" s="40"/>
      <c r="AH51" s="40"/>
      <c r="AI51" s="40"/>
      <c r="AJ51" s="40"/>
      <c r="AK51" s="40"/>
      <c r="AL51" s="40"/>
      <c r="AM51" s="40"/>
      <c r="AN51" s="27"/>
      <c r="AO51" s="27"/>
      <c r="AP51" s="27"/>
      <c r="AQ51" s="27"/>
      <c r="AR51" s="27"/>
      <c r="AS51" s="27"/>
      <c r="AT51" s="27"/>
      <c r="AU51" s="27"/>
    </row>
    <row r="52" spans="1:47" ht="19.95" customHeight="1">
      <c r="A52" s="35"/>
      <c r="B52" s="35"/>
      <c r="C52" s="35"/>
      <c r="D52" s="8"/>
      <c r="E52" s="10"/>
      <c r="F52" s="8"/>
      <c r="G52" s="10"/>
      <c r="H52" s="37"/>
      <c r="I52" s="11"/>
      <c r="J52" s="8"/>
      <c r="K52" s="9"/>
      <c r="L52" s="9"/>
      <c r="M52" s="9"/>
      <c r="N52" s="32"/>
      <c r="O52" s="32"/>
      <c r="P52" s="32"/>
      <c r="Q52" s="32"/>
      <c r="R52" s="32"/>
      <c r="S52" s="32"/>
      <c r="T52" s="9"/>
      <c r="U52" s="8"/>
      <c r="V52" s="8"/>
      <c r="W52" s="8"/>
      <c r="X52" s="12"/>
      <c r="Y52" s="39"/>
      <c r="Z52" s="38"/>
      <c r="AA52" s="38"/>
      <c r="AB52" s="38"/>
      <c r="AC52" s="38"/>
      <c r="AD52" s="38"/>
      <c r="AE52" s="40"/>
      <c r="AF52" s="40"/>
      <c r="AG52" s="40"/>
      <c r="AH52" s="40"/>
      <c r="AI52" s="40"/>
      <c r="AJ52" s="40"/>
      <c r="AK52" s="40"/>
      <c r="AL52" s="40"/>
      <c r="AM52" s="40"/>
      <c r="AN52" s="27"/>
      <c r="AO52" s="27"/>
      <c r="AP52" s="27"/>
      <c r="AQ52" s="27"/>
      <c r="AR52" s="27"/>
      <c r="AS52" s="27"/>
      <c r="AT52" s="27"/>
      <c r="AU52" s="27"/>
    </row>
    <row r="53" spans="1:47" ht="19.95" customHeight="1">
      <c r="A53" s="35"/>
      <c r="B53" s="35"/>
      <c r="C53" s="35"/>
      <c r="D53" s="8"/>
      <c r="E53" s="10"/>
      <c r="F53" s="8"/>
      <c r="G53" s="10"/>
      <c r="H53" s="37"/>
      <c r="I53" s="11"/>
      <c r="J53" s="8"/>
      <c r="K53" s="9"/>
      <c r="L53" s="9"/>
      <c r="M53" s="9"/>
      <c r="N53" s="32"/>
      <c r="O53" s="32"/>
      <c r="P53" s="32"/>
      <c r="Q53" s="32"/>
      <c r="R53" s="32"/>
      <c r="S53" s="32"/>
      <c r="T53" s="9"/>
      <c r="U53" s="8"/>
      <c r="V53" s="8"/>
      <c r="W53" s="8"/>
      <c r="X53" s="12"/>
      <c r="Y53" s="39"/>
      <c r="Z53" s="38"/>
      <c r="AA53" s="38"/>
      <c r="AB53" s="38"/>
      <c r="AC53" s="38"/>
      <c r="AD53" s="38"/>
      <c r="AE53" s="40"/>
      <c r="AF53" s="40"/>
      <c r="AG53" s="40"/>
      <c r="AH53" s="40"/>
      <c r="AI53" s="40"/>
      <c r="AJ53" s="40"/>
      <c r="AK53" s="40"/>
      <c r="AL53" s="40"/>
      <c r="AM53" s="40"/>
      <c r="AN53" s="27"/>
      <c r="AO53" s="27"/>
      <c r="AP53" s="27"/>
      <c r="AQ53" s="27"/>
      <c r="AR53" s="27"/>
      <c r="AS53" s="27"/>
      <c r="AT53" s="27"/>
      <c r="AU53" s="27"/>
    </row>
    <row r="54" spans="1:47" ht="19.95" customHeight="1">
      <c r="A54" s="35"/>
      <c r="B54" s="35"/>
      <c r="C54" s="35"/>
      <c r="D54" s="8"/>
      <c r="E54" s="10"/>
      <c r="F54" s="8"/>
      <c r="G54" s="10"/>
      <c r="H54" s="37"/>
      <c r="I54" s="11"/>
      <c r="J54" s="8"/>
      <c r="K54" s="9"/>
      <c r="L54" s="9"/>
      <c r="M54" s="9"/>
      <c r="N54" s="32"/>
      <c r="O54" s="32"/>
      <c r="P54" s="32"/>
      <c r="Q54" s="32"/>
      <c r="R54" s="32"/>
      <c r="S54" s="32"/>
      <c r="T54" s="9"/>
      <c r="U54" s="8"/>
      <c r="V54" s="8"/>
      <c r="W54" s="8"/>
      <c r="X54" s="12"/>
      <c r="Y54" s="39"/>
      <c r="Z54" s="38"/>
      <c r="AA54" s="38"/>
      <c r="AB54" s="38"/>
      <c r="AC54" s="38"/>
      <c r="AD54" s="38"/>
      <c r="AE54" s="40"/>
      <c r="AF54" s="40"/>
      <c r="AG54" s="40"/>
      <c r="AH54" s="40"/>
      <c r="AI54" s="40"/>
      <c r="AJ54" s="40"/>
      <c r="AK54" s="40"/>
      <c r="AL54" s="40"/>
      <c r="AM54" s="40"/>
      <c r="AN54" s="27"/>
      <c r="AO54" s="27"/>
      <c r="AP54" s="27"/>
      <c r="AQ54" s="27"/>
      <c r="AR54" s="27"/>
      <c r="AS54" s="27"/>
      <c r="AT54" s="27"/>
      <c r="AU54" s="27"/>
    </row>
    <row r="55" spans="1:47" ht="19.95" customHeight="1">
      <c r="A55" s="35"/>
      <c r="B55" s="35"/>
      <c r="C55" s="35"/>
      <c r="D55" s="8"/>
      <c r="E55" s="10"/>
      <c r="F55" s="8"/>
      <c r="G55" s="10"/>
      <c r="H55" s="37"/>
      <c r="I55" s="11"/>
      <c r="J55" s="8"/>
      <c r="K55" s="9"/>
      <c r="L55" s="9"/>
      <c r="M55" s="9"/>
      <c r="N55" s="32"/>
      <c r="O55" s="32"/>
      <c r="P55" s="32"/>
      <c r="Q55" s="32"/>
      <c r="R55" s="32"/>
      <c r="S55" s="32"/>
      <c r="T55" s="9"/>
      <c r="U55" s="8"/>
      <c r="V55" s="8"/>
      <c r="W55" s="8"/>
      <c r="X55" s="12"/>
      <c r="Y55" s="39"/>
      <c r="Z55" s="38"/>
      <c r="AA55" s="38"/>
      <c r="AB55" s="38"/>
      <c r="AC55" s="38"/>
      <c r="AD55" s="38"/>
      <c r="AE55" s="40"/>
      <c r="AF55" s="40"/>
      <c r="AG55" s="40"/>
      <c r="AH55" s="40"/>
      <c r="AI55" s="40"/>
      <c r="AJ55" s="40"/>
      <c r="AK55" s="40"/>
      <c r="AL55" s="40"/>
      <c r="AM55" s="40"/>
      <c r="AN55" s="27"/>
      <c r="AO55" s="27"/>
      <c r="AP55" s="27"/>
      <c r="AQ55" s="27"/>
      <c r="AR55" s="27"/>
      <c r="AS55" s="27"/>
      <c r="AT55" s="27"/>
      <c r="AU55" s="27"/>
    </row>
    <row r="56" spans="1:47" ht="19.95" customHeight="1">
      <c r="A56" s="35"/>
      <c r="B56" s="35"/>
      <c r="C56" s="35"/>
      <c r="D56" s="8"/>
      <c r="E56" s="10"/>
      <c r="F56" s="8"/>
      <c r="G56" s="10"/>
      <c r="H56" s="37"/>
      <c r="I56" s="11"/>
      <c r="J56" s="8"/>
      <c r="K56" s="9"/>
      <c r="L56" s="9"/>
      <c r="M56" s="9"/>
      <c r="N56" s="32"/>
      <c r="O56" s="32"/>
      <c r="P56" s="32"/>
      <c r="Q56" s="32"/>
      <c r="R56" s="32"/>
      <c r="S56" s="32"/>
      <c r="T56" s="9"/>
      <c r="U56" s="8"/>
      <c r="V56" s="8"/>
      <c r="W56" s="8"/>
      <c r="X56" s="12"/>
      <c r="Y56" s="39"/>
      <c r="Z56" s="38"/>
      <c r="AA56" s="38"/>
      <c r="AB56" s="38"/>
      <c r="AC56" s="38"/>
      <c r="AD56" s="38"/>
      <c r="AE56" s="40"/>
      <c r="AF56" s="40"/>
      <c r="AG56" s="40"/>
      <c r="AH56" s="40"/>
      <c r="AI56" s="40"/>
      <c r="AJ56" s="40"/>
      <c r="AK56" s="40"/>
      <c r="AL56" s="40"/>
      <c r="AM56" s="40"/>
      <c r="AN56" s="27"/>
      <c r="AO56" s="27"/>
      <c r="AP56" s="27"/>
      <c r="AQ56" s="27"/>
      <c r="AR56" s="27"/>
      <c r="AS56" s="27"/>
      <c r="AT56" s="27"/>
      <c r="AU56" s="27"/>
    </row>
    <row r="57" spans="1:47" ht="19.95" customHeight="1">
      <c r="A57" s="35"/>
      <c r="B57" s="35"/>
      <c r="C57" s="35"/>
      <c r="D57" s="8"/>
      <c r="E57" s="10"/>
      <c r="F57" s="8"/>
      <c r="G57" s="10"/>
      <c r="H57" s="37"/>
      <c r="I57" s="11"/>
      <c r="J57" s="8"/>
      <c r="K57" s="9"/>
      <c r="L57" s="9"/>
      <c r="M57" s="9"/>
      <c r="N57" s="32"/>
      <c r="O57" s="32"/>
      <c r="P57" s="32"/>
      <c r="Q57" s="32"/>
      <c r="R57" s="32"/>
      <c r="S57" s="32"/>
      <c r="T57" s="9"/>
      <c r="U57" s="8"/>
      <c r="V57" s="8"/>
      <c r="W57" s="8"/>
      <c r="X57" s="12"/>
      <c r="Y57" s="39"/>
      <c r="Z57" s="38"/>
      <c r="AA57" s="38"/>
      <c r="AB57" s="38"/>
      <c r="AC57" s="38"/>
      <c r="AD57" s="38"/>
      <c r="AE57" s="40"/>
      <c r="AF57" s="40"/>
      <c r="AG57" s="40"/>
      <c r="AH57" s="40"/>
      <c r="AI57" s="40"/>
      <c r="AJ57" s="40"/>
      <c r="AK57" s="40"/>
      <c r="AL57" s="40"/>
      <c r="AM57" s="40"/>
      <c r="AN57" s="27"/>
      <c r="AO57" s="27"/>
      <c r="AP57" s="27"/>
      <c r="AQ57" s="27"/>
      <c r="AR57" s="27"/>
      <c r="AS57" s="27"/>
      <c r="AT57" s="27"/>
      <c r="AU57" s="27"/>
    </row>
    <row r="58" spans="1:47" ht="19.95" customHeight="1">
      <c r="A58" s="35"/>
      <c r="B58" s="35"/>
      <c r="C58" s="35"/>
      <c r="D58" s="8"/>
      <c r="E58" s="10"/>
      <c r="F58" s="8"/>
      <c r="G58" s="10"/>
      <c r="H58" s="37"/>
      <c r="I58" s="11"/>
      <c r="J58" s="8"/>
      <c r="K58" s="9"/>
      <c r="L58" s="9"/>
      <c r="M58" s="9"/>
      <c r="N58" s="32"/>
      <c r="O58" s="32"/>
      <c r="P58" s="32"/>
      <c r="Q58" s="32"/>
      <c r="R58" s="32"/>
      <c r="S58" s="32"/>
      <c r="T58" s="9"/>
      <c r="U58" s="8"/>
      <c r="V58" s="8"/>
      <c r="W58" s="8"/>
      <c r="X58" s="12"/>
      <c r="Y58" s="39"/>
      <c r="Z58" s="38"/>
      <c r="AA58" s="38"/>
      <c r="AB58" s="38"/>
      <c r="AC58" s="38"/>
      <c r="AD58" s="38"/>
      <c r="AE58" s="40"/>
      <c r="AF58" s="40"/>
      <c r="AG58" s="40"/>
      <c r="AH58" s="40"/>
      <c r="AI58" s="40"/>
      <c r="AJ58" s="40"/>
      <c r="AK58" s="40"/>
      <c r="AL58" s="40"/>
      <c r="AM58" s="40"/>
      <c r="AN58" s="27"/>
      <c r="AO58" s="27"/>
      <c r="AP58" s="27"/>
      <c r="AQ58" s="27"/>
      <c r="AR58" s="27"/>
      <c r="AS58" s="27"/>
      <c r="AT58" s="27"/>
      <c r="AU58" s="27"/>
    </row>
    <row r="59" spans="1:47" ht="19.95" customHeight="1">
      <c r="A59" s="35"/>
      <c r="B59" s="35"/>
      <c r="C59" s="35"/>
      <c r="D59" s="8"/>
      <c r="E59" s="10"/>
      <c r="F59" s="8"/>
      <c r="G59" s="10"/>
      <c r="H59" s="37"/>
      <c r="I59" s="11"/>
      <c r="J59" s="8"/>
      <c r="K59" s="9"/>
      <c r="L59" s="9"/>
      <c r="M59" s="9"/>
      <c r="N59" s="32"/>
      <c r="O59" s="32"/>
      <c r="P59" s="32"/>
      <c r="Q59" s="32"/>
      <c r="R59" s="32"/>
      <c r="S59" s="32"/>
      <c r="T59" s="9"/>
      <c r="U59" s="8"/>
      <c r="V59" s="8"/>
      <c r="W59" s="8"/>
      <c r="X59" s="12"/>
      <c r="Y59" s="39"/>
      <c r="Z59" s="38"/>
      <c r="AA59" s="38"/>
      <c r="AB59" s="38"/>
      <c r="AC59" s="38"/>
      <c r="AD59" s="38"/>
      <c r="AE59" s="40"/>
      <c r="AF59" s="40"/>
      <c r="AG59" s="40"/>
      <c r="AH59" s="40"/>
      <c r="AI59" s="40"/>
      <c r="AJ59" s="40"/>
      <c r="AK59" s="40"/>
      <c r="AL59" s="40"/>
      <c r="AM59" s="40"/>
      <c r="AN59" s="27"/>
      <c r="AO59" s="27"/>
      <c r="AP59" s="27"/>
      <c r="AQ59" s="27"/>
      <c r="AR59" s="27"/>
      <c r="AS59" s="27"/>
      <c r="AT59" s="27"/>
      <c r="AU59" s="27"/>
    </row>
    <row r="60" spans="1:47" ht="19.95" customHeight="1">
      <c r="A60" s="35"/>
      <c r="B60" s="35"/>
      <c r="C60" s="35"/>
      <c r="D60" s="8"/>
      <c r="E60" s="10"/>
      <c r="F60" s="8"/>
      <c r="G60" s="10"/>
      <c r="H60" s="37"/>
      <c r="I60" s="11"/>
      <c r="J60" s="8"/>
      <c r="K60" s="9"/>
      <c r="L60" s="9"/>
      <c r="M60" s="9"/>
      <c r="N60" s="32"/>
      <c r="O60" s="32"/>
      <c r="P60" s="32"/>
      <c r="Q60" s="32"/>
      <c r="R60" s="32"/>
      <c r="S60" s="32"/>
      <c r="T60" s="9"/>
      <c r="U60" s="8"/>
      <c r="V60" s="8"/>
      <c r="W60" s="8"/>
      <c r="X60" s="12"/>
      <c r="Y60" s="39"/>
      <c r="Z60" s="38"/>
      <c r="AA60" s="38"/>
      <c r="AB60" s="38"/>
      <c r="AC60" s="38"/>
      <c r="AD60" s="38"/>
      <c r="AE60" s="40"/>
      <c r="AF60" s="40"/>
      <c r="AG60" s="40"/>
      <c r="AH60" s="40"/>
      <c r="AI60" s="40"/>
      <c r="AJ60" s="40"/>
      <c r="AK60" s="40"/>
      <c r="AL60" s="40"/>
      <c r="AM60" s="40"/>
      <c r="AN60" s="27"/>
      <c r="AO60" s="27"/>
      <c r="AP60" s="27"/>
      <c r="AQ60" s="27"/>
      <c r="AR60" s="27"/>
      <c r="AS60" s="27"/>
      <c r="AT60" s="27"/>
      <c r="AU60" s="27"/>
    </row>
    <row r="61" spans="1:47" ht="19.95" customHeight="1">
      <c r="A61" s="35"/>
      <c r="B61" s="35"/>
      <c r="C61" s="35"/>
      <c r="D61" s="8"/>
      <c r="E61" s="10"/>
      <c r="F61" s="8"/>
      <c r="G61" s="10"/>
      <c r="H61" s="37"/>
      <c r="I61" s="11"/>
      <c r="J61" s="8"/>
      <c r="K61" s="9"/>
      <c r="L61" s="9"/>
      <c r="M61" s="9"/>
      <c r="N61" s="32"/>
      <c r="O61" s="32"/>
      <c r="P61" s="32"/>
      <c r="Q61" s="32"/>
      <c r="R61" s="32"/>
      <c r="S61" s="32"/>
      <c r="T61" s="9"/>
      <c r="U61" s="8"/>
      <c r="V61" s="8"/>
      <c r="W61" s="8"/>
      <c r="X61" s="12"/>
      <c r="Y61" s="39"/>
      <c r="Z61" s="38"/>
      <c r="AA61" s="38"/>
      <c r="AB61" s="38"/>
      <c r="AC61" s="38"/>
      <c r="AD61" s="38"/>
      <c r="AE61" s="40"/>
      <c r="AF61" s="40"/>
      <c r="AG61" s="40"/>
      <c r="AH61" s="40"/>
      <c r="AI61" s="40"/>
      <c r="AJ61" s="40"/>
      <c r="AK61" s="40"/>
      <c r="AL61" s="40"/>
      <c r="AM61" s="40"/>
      <c r="AN61" s="27"/>
      <c r="AO61" s="27"/>
      <c r="AP61" s="27"/>
      <c r="AQ61" s="27"/>
      <c r="AR61" s="27"/>
      <c r="AS61" s="27"/>
      <c r="AT61" s="27"/>
      <c r="AU61" s="27"/>
    </row>
    <row r="62" spans="1:47" ht="19.95" customHeight="1">
      <c r="A62" s="35"/>
      <c r="B62" s="35"/>
      <c r="C62" s="35"/>
      <c r="D62" s="8"/>
      <c r="E62" s="10"/>
      <c r="F62" s="8"/>
      <c r="G62" s="10"/>
      <c r="H62" s="37"/>
      <c r="I62" s="11"/>
      <c r="J62" s="8"/>
      <c r="K62" s="9"/>
      <c r="L62" s="9"/>
      <c r="M62" s="9"/>
      <c r="N62" s="32"/>
      <c r="O62" s="32"/>
      <c r="P62" s="32"/>
      <c r="Q62" s="32"/>
      <c r="R62" s="32"/>
      <c r="S62" s="32"/>
      <c r="T62" s="9"/>
      <c r="U62" s="8"/>
      <c r="V62" s="8"/>
      <c r="W62" s="8"/>
      <c r="X62" s="12"/>
      <c r="Y62" s="39"/>
      <c r="Z62" s="38"/>
      <c r="AA62" s="38"/>
      <c r="AB62" s="38"/>
      <c r="AC62" s="38"/>
      <c r="AD62" s="38"/>
      <c r="AE62" s="40"/>
      <c r="AF62" s="40"/>
      <c r="AG62" s="40"/>
      <c r="AH62" s="40"/>
      <c r="AI62" s="40"/>
      <c r="AJ62" s="40"/>
      <c r="AK62" s="40"/>
      <c r="AL62" s="40"/>
      <c r="AM62" s="40"/>
      <c r="AN62" s="27"/>
      <c r="AO62" s="27"/>
      <c r="AP62" s="27"/>
      <c r="AQ62" s="27"/>
      <c r="AR62" s="27"/>
      <c r="AS62" s="27"/>
      <c r="AT62" s="27"/>
      <c r="AU62" s="27"/>
    </row>
    <row r="63" spans="1:47" ht="19.95" customHeight="1">
      <c r="A63" s="35"/>
      <c r="B63" s="35"/>
      <c r="C63" s="35"/>
      <c r="D63" s="8"/>
      <c r="E63" s="10"/>
      <c r="F63" s="8"/>
      <c r="G63" s="10"/>
      <c r="H63" s="37"/>
      <c r="I63" s="11"/>
      <c r="J63" s="8"/>
      <c r="K63" s="9"/>
      <c r="L63" s="9"/>
      <c r="M63" s="9"/>
      <c r="N63" s="32"/>
      <c r="O63" s="32"/>
      <c r="P63" s="32"/>
      <c r="Q63" s="32"/>
      <c r="R63" s="32"/>
      <c r="S63" s="32"/>
      <c r="T63" s="9"/>
      <c r="U63" s="8"/>
      <c r="V63" s="8"/>
      <c r="W63" s="8"/>
      <c r="X63" s="12"/>
      <c r="Y63" s="39"/>
      <c r="Z63" s="38"/>
      <c r="AA63" s="38"/>
      <c r="AB63" s="38"/>
      <c r="AC63" s="38"/>
      <c r="AD63" s="38"/>
      <c r="AE63" s="40"/>
      <c r="AF63" s="40"/>
      <c r="AG63" s="40"/>
      <c r="AH63" s="40"/>
      <c r="AI63" s="40"/>
      <c r="AJ63" s="40"/>
      <c r="AK63" s="40"/>
      <c r="AL63" s="40"/>
      <c r="AM63" s="40"/>
      <c r="AN63" s="27"/>
      <c r="AO63" s="27"/>
      <c r="AP63" s="27"/>
      <c r="AQ63" s="27"/>
      <c r="AR63" s="27"/>
      <c r="AS63" s="27"/>
      <c r="AT63" s="27"/>
      <c r="AU63" s="27"/>
    </row>
    <row r="64" spans="1:47" ht="19.95" customHeight="1">
      <c r="A64" s="35"/>
      <c r="B64" s="35"/>
      <c r="C64" s="35"/>
      <c r="D64" s="8"/>
      <c r="E64" s="10"/>
      <c r="F64" s="8"/>
      <c r="G64" s="10"/>
      <c r="H64" s="37"/>
      <c r="I64" s="11"/>
      <c r="J64" s="8"/>
      <c r="K64" s="9"/>
      <c r="L64" s="9"/>
      <c r="M64" s="9"/>
      <c r="N64" s="32"/>
      <c r="O64" s="32"/>
      <c r="P64" s="32"/>
      <c r="Q64" s="32"/>
      <c r="R64" s="32"/>
      <c r="S64" s="32"/>
      <c r="T64" s="9"/>
      <c r="U64" s="8"/>
      <c r="V64" s="8"/>
      <c r="W64" s="8"/>
      <c r="X64" s="12"/>
      <c r="Y64" s="39"/>
      <c r="Z64" s="38"/>
      <c r="AA64" s="38"/>
      <c r="AB64" s="38"/>
      <c r="AC64" s="38"/>
      <c r="AD64" s="38"/>
      <c r="AE64" s="40"/>
      <c r="AF64" s="40"/>
      <c r="AG64" s="40"/>
      <c r="AH64" s="40"/>
      <c r="AI64" s="40"/>
      <c r="AJ64" s="40"/>
      <c r="AK64" s="40"/>
      <c r="AL64" s="40"/>
      <c r="AM64" s="40"/>
      <c r="AN64" s="27"/>
      <c r="AO64" s="27"/>
      <c r="AP64" s="27"/>
      <c r="AQ64" s="27"/>
      <c r="AR64" s="27"/>
      <c r="AS64" s="27"/>
      <c r="AT64" s="27"/>
      <c r="AU64" s="27"/>
    </row>
    <row r="65" spans="1:47" ht="19.95" customHeight="1">
      <c r="A65" s="35"/>
      <c r="B65" s="35"/>
      <c r="C65" s="35"/>
      <c r="D65" s="8"/>
      <c r="E65" s="10"/>
      <c r="F65" s="8"/>
      <c r="G65" s="10"/>
      <c r="H65" s="37"/>
      <c r="I65" s="11"/>
      <c r="J65" s="8"/>
      <c r="K65" s="9"/>
      <c r="L65" s="9"/>
      <c r="M65" s="9"/>
      <c r="N65" s="32"/>
      <c r="O65" s="32"/>
      <c r="P65" s="32"/>
      <c r="Q65" s="32"/>
      <c r="R65" s="32"/>
      <c r="S65" s="32"/>
      <c r="T65" s="9"/>
      <c r="U65" s="8"/>
      <c r="V65" s="8"/>
      <c r="W65" s="8"/>
      <c r="X65" s="12"/>
      <c r="Y65" s="39"/>
      <c r="Z65" s="38"/>
      <c r="AA65" s="38"/>
      <c r="AB65" s="38"/>
      <c r="AC65" s="38"/>
      <c r="AD65" s="38"/>
      <c r="AE65" s="40"/>
      <c r="AF65" s="40"/>
      <c r="AG65" s="40"/>
      <c r="AH65" s="40"/>
      <c r="AI65" s="40"/>
      <c r="AJ65" s="40"/>
      <c r="AK65" s="40"/>
      <c r="AL65" s="40"/>
      <c r="AM65" s="40"/>
      <c r="AN65" s="27"/>
      <c r="AO65" s="27"/>
      <c r="AP65" s="27"/>
      <c r="AQ65" s="27"/>
      <c r="AR65" s="27"/>
      <c r="AS65" s="27"/>
      <c r="AT65" s="27"/>
      <c r="AU65" s="27"/>
    </row>
    <row r="66" spans="1:47" ht="19.95" customHeight="1">
      <c r="A66" s="35"/>
      <c r="B66" s="35"/>
      <c r="C66" s="35"/>
      <c r="D66" s="8"/>
      <c r="E66" s="10"/>
      <c r="F66" s="8"/>
      <c r="G66" s="10"/>
      <c r="H66" s="37"/>
      <c r="I66" s="11"/>
      <c r="J66" s="8"/>
      <c r="K66" s="9"/>
      <c r="L66" s="9"/>
      <c r="M66" s="9"/>
      <c r="N66" s="32"/>
      <c r="O66" s="32"/>
      <c r="P66" s="32"/>
      <c r="Q66" s="32"/>
      <c r="R66" s="32"/>
      <c r="S66" s="32"/>
      <c r="T66" s="9"/>
      <c r="U66" s="8"/>
      <c r="V66" s="8"/>
      <c r="W66" s="8"/>
      <c r="X66" s="12"/>
      <c r="Y66" s="39"/>
      <c r="Z66" s="38"/>
      <c r="AA66" s="38"/>
      <c r="AB66" s="38"/>
      <c r="AC66" s="38"/>
      <c r="AD66" s="38"/>
      <c r="AE66" s="40"/>
      <c r="AF66" s="40"/>
      <c r="AG66" s="40"/>
      <c r="AH66" s="40"/>
      <c r="AI66" s="40"/>
      <c r="AJ66" s="40"/>
      <c r="AK66" s="40"/>
      <c r="AL66" s="40"/>
      <c r="AM66" s="40"/>
      <c r="AN66" s="27"/>
      <c r="AO66" s="27"/>
      <c r="AP66" s="27"/>
      <c r="AQ66" s="27"/>
      <c r="AR66" s="27"/>
      <c r="AS66" s="27"/>
      <c r="AT66" s="27"/>
      <c r="AU66" s="27"/>
    </row>
    <row r="67" spans="1:47" ht="19.95" customHeight="1">
      <c r="A67" s="35"/>
      <c r="B67" s="35"/>
      <c r="C67" s="35"/>
      <c r="D67" s="8"/>
      <c r="E67" s="10"/>
      <c r="F67" s="8"/>
      <c r="G67" s="10"/>
      <c r="H67" s="37"/>
      <c r="I67" s="11"/>
      <c r="J67" s="8"/>
      <c r="K67" s="9"/>
      <c r="L67" s="9"/>
      <c r="M67" s="9"/>
      <c r="N67" s="32"/>
      <c r="O67" s="32"/>
      <c r="P67" s="32"/>
      <c r="Q67" s="32"/>
      <c r="R67" s="32"/>
      <c r="S67" s="32"/>
      <c r="T67" s="9"/>
      <c r="U67" s="8"/>
      <c r="V67" s="8"/>
      <c r="W67" s="8"/>
      <c r="X67" s="12"/>
      <c r="Y67" s="39"/>
      <c r="Z67" s="38"/>
      <c r="AA67" s="38"/>
      <c r="AB67" s="38"/>
      <c r="AC67" s="38"/>
      <c r="AD67" s="38"/>
      <c r="AE67" s="40"/>
      <c r="AF67" s="40"/>
      <c r="AG67" s="40"/>
      <c r="AH67" s="40"/>
      <c r="AI67" s="40"/>
      <c r="AJ67" s="40"/>
      <c r="AK67" s="40"/>
      <c r="AL67" s="40"/>
      <c r="AM67" s="40"/>
      <c r="AN67" s="27"/>
      <c r="AO67" s="27"/>
      <c r="AP67" s="27"/>
      <c r="AQ67" s="27"/>
      <c r="AR67" s="27"/>
      <c r="AS67" s="27"/>
      <c r="AT67" s="27"/>
      <c r="AU67" s="27"/>
    </row>
    <row r="68" spans="1:47" ht="19.95" customHeight="1">
      <c r="A68" s="35"/>
      <c r="B68" s="35"/>
      <c r="C68" s="35"/>
      <c r="D68" s="8"/>
      <c r="E68" s="10"/>
      <c r="F68" s="8"/>
      <c r="G68" s="10"/>
      <c r="H68" s="37"/>
      <c r="I68" s="11"/>
      <c r="J68" s="8"/>
      <c r="K68" s="9"/>
      <c r="L68" s="9"/>
      <c r="M68" s="9"/>
      <c r="N68" s="32"/>
      <c r="O68" s="32"/>
      <c r="P68" s="32"/>
      <c r="Q68" s="32"/>
      <c r="R68" s="32"/>
      <c r="S68" s="32"/>
      <c r="T68" s="9"/>
      <c r="U68" s="8"/>
      <c r="V68" s="8"/>
      <c r="W68" s="8"/>
      <c r="X68" s="12"/>
      <c r="Y68" s="39"/>
      <c r="Z68" s="38"/>
      <c r="AA68" s="38"/>
      <c r="AB68" s="38"/>
      <c r="AC68" s="38"/>
      <c r="AD68" s="38"/>
      <c r="AE68" s="40"/>
      <c r="AF68" s="40"/>
      <c r="AG68" s="40"/>
      <c r="AH68" s="40"/>
      <c r="AI68" s="40"/>
      <c r="AJ68" s="40"/>
      <c r="AK68" s="40"/>
      <c r="AL68" s="40"/>
      <c r="AM68" s="40"/>
      <c r="AN68" s="27"/>
      <c r="AO68" s="27"/>
      <c r="AP68" s="27"/>
      <c r="AQ68" s="27"/>
      <c r="AR68" s="27"/>
      <c r="AS68" s="27"/>
      <c r="AT68" s="27"/>
      <c r="AU68" s="27"/>
    </row>
    <row r="69" spans="1:47" ht="19.95" customHeight="1">
      <c r="A69" s="35"/>
      <c r="B69" s="35"/>
      <c r="C69" s="35"/>
      <c r="D69" s="8"/>
      <c r="E69" s="10"/>
      <c r="F69" s="8"/>
      <c r="G69" s="10"/>
      <c r="H69" s="37"/>
      <c r="I69" s="11"/>
      <c r="J69" s="8"/>
      <c r="K69" s="9"/>
      <c r="L69" s="9"/>
      <c r="M69" s="9"/>
      <c r="N69" s="32"/>
      <c r="O69" s="32"/>
      <c r="P69" s="32"/>
      <c r="Q69" s="32"/>
      <c r="R69" s="32"/>
      <c r="S69" s="32"/>
      <c r="T69" s="9"/>
      <c r="U69" s="8"/>
      <c r="V69" s="8"/>
      <c r="W69" s="8"/>
      <c r="X69" s="12"/>
      <c r="Y69" s="39"/>
      <c r="Z69" s="38"/>
      <c r="AA69" s="38"/>
      <c r="AB69" s="38"/>
      <c r="AC69" s="38"/>
      <c r="AD69" s="38"/>
      <c r="AE69" s="40"/>
      <c r="AF69" s="40"/>
      <c r="AG69" s="40"/>
      <c r="AH69" s="40"/>
      <c r="AI69" s="40"/>
      <c r="AJ69" s="40"/>
      <c r="AK69" s="40"/>
      <c r="AL69" s="40"/>
      <c r="AM69" s="40"/>
      <c r="AN69" s="27"/>
      <c r="AO69" s="27"/>
      <c r="AP69" s="27"/>
      <c r="AQ69" s="27"/>
      <c r="AR69" s="27"/>
      <c r="AS69" s="27"/>
      <c r="AT69" s="27"/>
      <c r="AU69" s="27"/>
    </row>
    <row r="70" spans="1:47" ht="19.95" customHeight="1">
      <c r="A70" s="35"/>
      <c r="B70" s="35"/>
      <c r="C70" s="35"/>
      <c r="D70" s="8"/>
      <c r="E70" s="10"/>
      <c r="F70" s="8"/>
      <c r="G70" s="10"/>
      <c r="H70" s="37"/>
      <c r="I70" s="11"/>
      <c r="J70" s="8"/>
      <c r="K70" s="9"/>
      <c r="L70" s="9"/>
      <c r="M70" s="9"/>
      <c r="N70" s="32"/>
      <c r="O70" s="32"/>
      <c r="P70" s="32"/>
      <c r="Q70" s="32"/>
      <c r="R70" s="32"/>
      <c r="S70" s="32"/>
      <c r="T70" s="9"/>
      <c r="U70" s="8"/>
      <c r="V70" s="8"/>
      <c r="W70" s="8"/>
      <c r="X70" s="12"/>
      <c r="Y70" s="39"/>
      <c r="Z70" s="38"/>
      <c r="AA70" s="38"/>
      <c r="AB70" s="38"/>
      <c r="AC70" s="38"/>
      <c r="AD70" s="38"/>
      <c r="AE70" s="40"/>
      <c r="AF70" s="40"/>
      <c r="AG70" s="40"/>
      <c r="AH70" s="40"/>
      <c r="AI70" s="40"/>
      <c r="AJ70" s="40"/>
      <c r="AK70" s="40"/>
      <c r="AL70" s="40"/>
      <c r="AM70" s="40"/>
      <c r="AN70" s="27"/>
      <c r="AO70" s="27"/>
      <c r="AP70" s="27"/>
      <c r="AQ70" s="27"/>
      <c r="AR70" s="27"/>
      <c r="AS70" s="27"/>
      <c r="AT70" s="27"/>
      <c r="AU70" s="27"/>
    </row>
    <row r="71" spans="1:47" ht="19.95" customHeight="1">
      <c r="A71" s="35"/>
      <c r="B71" s="35"/>
      <c r="C71" s="35"/>
      <c r="D71" s="8"/>
      <c r="E71" s="10"/>
      <c r="F71" s="8"/>
      <c r="G71" s="10"/>
      <c r="H71" s="37"/>
      <c r="I71" s="11"/>
      <c r="J71" s="8"/>
      <c r="K71" s="9"/>
      <c r="L71" s="9"/>
      <c r="M71" s="9"/>
      <c r="N71" s="32"/>
      <c r="O71" s="32"/>
      <c r="P71" s="32"/>
      <c r="Q71" s="32"/>
      <c r="R71" s="32"/>
      <c r="S71" s="32"/>
      <c r="T71" s="9"/>
      <c r="U71" s="8"/>
      <c r="V71" s="8"/>
      <c r="W71" s="8"/>
      <c r="X71" s="12"/>
      <c r="Y71" s="39"/>
      <c r="Z71" s="38"/>
      <c r="AA71" s="38"/>
      <c r="AB71" s="38"/>
      <c r="AC71" s="38"/>
      <c r="AD71" s="38"/>
      <c r="AE71" s="40"/>
      <c r="AF71" s="40"/>
      <c r="AG71" s="40"/>
      <c r="AH71" s="40"/>
      <c r="AI71" s="40"/>
      <c r="AJ71" s="40"/>
      <c r="AK71" s="40"/>
      <c r="AL71" s="40"/>
      <c r="AM71" s="40"/>
      <c r="AN71" s="27"/>
      <c r="AO71" s="27"/>
      <c r="AP71" s="27"/>
      <c r="AQ71" s="27"/>
      <c r="AR71" s="27"/>
      <c r="AS71" s="27"/>
      <c r="AT71" s="27"/>
      <c r="AU71" s="27"/>
    </row>
    <row r="72" spans="1:47" ht="19.95" customHeight="1">
      <c r="A72" s="35"/>
      <c r="B72" s="35"/>
      <c r="C72" s="35"/>
      <c r="D72" s="8"/>
      <c r="E72" s="10"/>
      <c r="F72" s="8"/>
      <c r="G72" s="10"/>
      <c r="H72" s="37"/>
      <c r="I72" s="11"/>
      <c r="J72" s="8"/>
      <c r="K72" s="9"/>
      <c r="L72" s="9"/>
      <c r="M72" s="9"/>
      <c r="N72" s="32"/>
      <c r="O72" s="32"/>
      <c r="P72" s="32"/>
      <c r="Q72" s="32"/>
      <c r="R72" s="32"/>
      <c r="S72" s="32"/>
      <c r="T72" s="9"/>
      <c r="U72" s="8"/>
      <c r="V72" s="8"/>
      <c r="W72" s="8"/>
      <c r="X72" s="12"/>
      <c r="Y72" s="39"/>
      <c r="Z72" s="38"/>
      <c r="AA72" s="38"/>
      <c r="AB72" s="38"/>
      <c r="AC72" s="38"/>
      <c r="AD72" s="38"/>
      <c r="AE72" s="40"/>
      <c r="AF72" s="40"/>
      <c r="AG72" s="40"/>
      <c r="AH72" s="40"/>
      <c r="AI72" s="40"/>
      <c r="AJ72" s="40"/>
      <c r="AK72" s="40"/>
      <c r="AL72" s="40"/>
      <c r="AM72" s="40"/>
      <c r="AN72" s="27"/>
      <c r="AO72" s="27"/>
      <c r="AP72" s="27"/>
      <c r="AQ72" s="27"/>
      <c r="AR72" s="27"/>
      <c r="AS72" s="27"/>
      <c r="AT72" s="27"/>
      <c r="AU72" s="27"/>
    </row>
    <row r="73" spans="1:47" ht="19.95" customHeight="1">
      <c r="A73" s="35"/>
      <c r="B73" s="35"/>
      <c r="C73" s="35"/>
      <c r="D73" s="8"/>
      <c r="E73" s="10"/>
      <c r="F73" s="8"/>
      <c r="G73" s="10"/>
      <c r="H73" s="37"/>
      <c r="I73" s="11"/>
      <c r="J73" s="8"/>
      <c r="K73" s="9"/>
      <c r="L73" s="9"/>
      <c r="M73" s="9"/>
      <c r="N73" s="32"/>
      <c r="O73" s="32"/>
      <c r="P73" s="32"/>
      <c r="Q73" s="32"/>
      <c r="R73" s="32"/>
      <c r="S73" s="32"/>
      <c r="T73" s="9"/>
      <c r="U73" s="8"/>
      <c r="V73" s="8"/>
      <c r="W73" s="8"/>
      <c r="X73" s="12"/>
      <c r="Y73" s="39"/>
      <c r="Z73" s="38"/>
      <c r="AA73" s="38"/>
      <c r="AB73" s="38"/>
      <c r="AC73" s="38"/>
      <c r="AD73" s="38"/>
      <c r="AE73" s="40"/>
      <c r="AF73" s="40"/>
      <c r="AG73" s="40"/>
      <c r="AH73" s="40"/>
      <c r="AI73" s="40"/>
      <c r="AJ73" s="40"/>
      <c r="AK73" s="40"/>
      <c r="AL73" s="40"/>
      <c r="AM73" s="40"/>
      <c r="AN73" s="27"/>
      <c r="AO73" s="27"/>
      <c r="AP73" s="27"/>
      <c r="AQ73" s="27"/>
      <c r="AR73" s="27"/>
      <c r="AS73" s="27"/>
      <c r="AT73" s="27"/>
      <c r="AU73" s="27"/>
    </row>
    <row r="74" spans="1:47" ht="19.95" customHeight="1">
      <c r="A74" s="35"/>
      <c r="B74" s="35"/>
      <c r="C74" s="35"/>
      <c r="D74" s="8"/>
      <c r="E74" s="10"/>
      <c r="F74" s="8"/>
      <c r="G74" s="10"/>
      <c r="H74" s="37"/>
      <c r="I74" s="11"/>
      <c r="J74" s="8"/>
      <c r="K74" s="9"/>
      <c r="L74" s="9"/>
      <c r="M74" s="9"/>
      <c r="N74" s="32"/>
      <c r="O74" s="32"/>
      <c r="P74" s="32"/>
      <c r="Q74" s="32"/>
      <c r="R74" s="32"/>
      <c r="S74" s="32"/>
      <c r="T74" s="9"/>
      <c r="U74" s="8"/>
      <c r="V74" s="8"/>
      <c r="W74" s="8"/>
      <c r="X74" s="12"/>
      <c r="Y74" s="39"/>
      <c r="Z74" s="38"/>
      <c r="AA74" s="38"/>
      <c r="AB74" s="38"/>
      <c r="AC74" s="38"/>
      <c r="AD74" s="38"/>
      <c r="AE74" s="40"/>
      <c r="AF74" s="40"/>
      <c r="AG74" s="40"/>
      <c r="AH74" s="40"/>
      <c r="AI74" s="40"/>
      <c r="AJ74" s="40"/>
      <c r="AK74" s="40"/>
      <c r="AL74" s="40"/>
      <c r="AM74" s="40"/>
      <c r="AN74" s="27"/>
      <c r="AO74" s="27"/>
      <c r="AP74" s="27"/>
      <c r="AQ74" s="27"/>
      <c r="AR74" s="27"/>
      <c r="AS74" s="27"/>
      <c r="AT74" s="27"/>
      <c r="AU74" s="27"/>
    </row>
    <row r="75" spans="1:47" ht="19.95" customHeight="1">
      <c r="A75" s="35"/>
      <c r="B75" s="35"/>
      <c r="C75" s="35"/>
      <c r="D75" s="8"/>
      <c r="E75" s="10"/>
      <c r="F75" s="8"/>
      <c r="G75" s="10"/>
      <c r="H75" s="37"/>
      <c r="I75" s="11"/>
      <c r="J75" s="8"/>
      <c r="K75" s="9"/>
      <c r="L75" s="9"/>
      <c r="M75" s="9"/>
      <c r="N75" s="32"/>
      <c r="O75" s="32"/>
      <c r="P75" s="32"/>
      <c r="Q75" s="32"/>
      <c r="R75" s="32"/>
      <c r="S75" s="32"/>
      <c r="T75" s="9"/>
      <c r="U75" s="8"/>
      <c r="V75" s="8"/>
      <c r="W75" s="8"/>
      <c r="X75" s="12"/>
      <c r="Y75" s="39"/>
      <c r="Z75" s="38"/>
      <c r="AA75" s="38"/>
      <c r="AB75" s="38"/>
      <c r="AC75" s="38"/>
      <c r="AD75" s="38"/>
      <c r="AE75" s="40"/>
      <c r="AF75" s="40"/>
      <c r="AG75" s="40"/>
      <c r="AH75" s="40"/>
      <c r="AI75" s="40"/>
      <c r="AJ75" s="40"/>
      <c r="AK75" s="40"/>
      <c r="AL75" s="40"/>
      <c r="AM75" s="40"/>
      <c r="AN75" s="27"/>
      <c r="AO75" s="27"/>
      <c r="AP75" s="27"/>
      <c r="AQ75" s="27"/>
      <c r="AR75" s="27"/>
      <c r="AS75" s="27"/>
      <c r="AT75" s="27"/>
      <c r="AU75" s="27"/>
    </row>
    <row r="76" spans="1:47" ht="19.95" customHeight="1">
      <c r="A76" s="35"/>
      <c r="B76" s="35"/>
      <c r="C76" s="35"/>
      <c r="D76" s="8"/>
      <c r="E76" s="10"/>
      <c r="F76" s="8"/>
      <c r="G76" s="10"/>
      <c r="H76" s="37"/>
      <c r="I76" s="11"/>
      <c r="J76" s="8"/>
      <c r="K76" s="9"/>
      <c r="L76" s="9"/>
      <c r="M76" s="9"/>
      <c r="N76" s="32"/>
      <c r="O76" s="32"/>
      <c r="P76" s="32"/>
      <c r="Q76" s="32"/>
      <c r="R76" s="32"/>
      <c r="S76" s="32"/>
      <c r="T76" s="9"/>
      <c r="U76" s="8"/>
      <c r="V76" s="8"/>
      <c r="W76" s="8"/>
      <c r="X76" s="12"/>
      <c r="Y76" s="39"/>
      <c r="Z76" s="38"/>
      <c r="AA76" s="38"/>
      <c r="AB76" s="38"/>
      <c r="AC76" s="38"/>
      <c r="AD76" s="38"/>
      <c r="AE76" s="40"/>
      <c r="AF76" s="40"/>
      <c r="AG76" s="40"/>
      <c r="AH76" s="40"/>
      <c r="AI76" s="40"/>
      <c r="AJ76" s="40"/>
      <c r="AK76" s="40"/>
      <c r="AL76" s="40"/>
      <c r="AM76" s="40"/>
      <c r="AN76" s="27"/>
      <c r="AO76" s="27"/>
      <c r="AP76" s="27"/>
      <c r="AQ76" s="27"/>
      <c r="AR76" s="27"/>
      <c r="AS76" s="27"/>
      <c r="AT76" s="27"/>
      <c r="AU76" s="27"/>
    </row>
    <row r="77" spans="1:47" ht="19.95" customHeight="1">
      <c r="A77" s="35"/>
      <c r="B77" s="35"/>
      <c r="C77" s="35"/>
      <c r="D77" s="8"/>
      <c r="E77" s="10"/>
      <c r="F77" s="8"/>
      <c r="G77" s="10"/>
      <c r="H77" s="37"/>
      <c r="I77" s="11"/>
      <c r="J77" s="8"/>
      <c r="K77" s="9"/>
      <c r="L77" s="9"/>
      <c r="M77" s="9"/>
      <c r="N77" s="32"/>
      <c r="O77" s="32"/>
      <c r="P77" s="32"/>
      <c r="Q77" s="32"/>
      <c r="R77" s="32"/>
      <c r="S77" s="32"/>
      <c r="T77" s="9"/>
      <c r="U77" s="8"/>
      <c r="V77" s="8"/>
      <c r="W77" s="8"/>
      <c r="X77" s="12"/>
      <c r="Y77" s="39"/>
      <c r="Z77" s="38"/>
      <c r="AA77" s="38"/>
      <c r="AB77" s="38"/>
      <c r="AC77" s="38"/>
      <c r="AD77" s="38"/>
      <c r="AE77" s="40"/>
      <c r="AF77" s="40"/>
      <c r="AG77" s="40"/>
      <c r="AH77" s="40"/>
      <c r="AI77" s="40"/>
      <c r="AJ77" s="40"/>
      <c r="AK77" s="40"/>
      <c r="AL77" s="40"/>
      <c r="AM77" s="40"/>
      <c r="AN77" s="27"/>
      <c r="AO77" s="27"/>
      <c r="AP77" s="27"/>
      <c r="AQ77" s="27"/>
      <c r="AR77" s="27"/>
      <c r="AS77" s="27"/>
      <c r="AT77" s="27"/>
      <c r="AU77" s="27"/>
    </row>
    <row r="78" spans="1:47" ht="19.95" customHeight="1">
      <c r="A78" s="35"/>
      <c r="B78" s="35"/>
      <c r="C78" s="35"/>
      <c r="D78" s="8"/>
      <c r="E78" s="10"/>
      <c r="F78" s="8"/>
      <c r="G78" s="10"/>
      <c r="H78" s="37"/>
      <c r="I78" s="11"/>
      <c r="J78" s="8"/>
      <c r="K78" s="9"/>
      <c r="L78" s="9"/>
      <c r="M78" s="9"/>
      <c r="N78" s="32"/>
      <c r="O78" s="32"/>
      <c r="P78" s="32"/>
      <c r="Q78" s="32"/>
      <c r="R78" s="32"/>
      <c r="S78" s="32"/>
      <c r="T78" s="9"/>
      <c r="U78" s="8"/>
      <c r="V78" s="8"/>
      <c r="W78" s="8"/>
      <c r="X78" s="12"/>
      <c r="Y78" s="39"/>
      <c r="Z78" s="38"/>
      <c r="AA78" s="38"/>
      <c r="AB78" s="38"/>
      <c r="AC78" s="38"/>
      <c r="AD78" s="38"/>
      <c r="AE78" s="40"/>
      <c r="AF78" s="40"/>
      <c r="AG78" s="40"/>
      <c r="AH78" s="40"/>
      <c r="AI78" s="40"/>
      <c r="AJ78" s="40"/>
      <c r="AK78" s="40"/>
      <c r="AL78" s="40"/>
      <c r="AM78" s="40"/>
      <c r="AN78" s="27"/>
      <c r="AO78" s="27"/>
      <c r="AP78" s="27"/>
      <c r="AQ78" s="27"/>
      <c r="AR78" s="27"/>
      <c r="AS78" s="27"/>
      <c r="AT78" s="27"/>
      <c r="AU78" s="27"/>
    </row>
    <row r="79" spans="1:47" ht="19.95" customHeight="1">
      <c r="A79" s="35"/>
      <c r="B79" s="35"/>
      <c r="C79" s="35"/>
      <c r="D79" s="8"/>
      <c r="E79" s="10"/>
      <c r="F79" s="8"/>
      <c r="G79" s="10"/>
      <c r="H79" s="37"/>
      <c r="I79" s="11"/>
      <c r="J79" s="8"/>
      <c r="K79" s="9"/>
      <c r="L79" s="9"/>
      <c r="M79" s="9"/>
      <c r="N79" s="32"/>
      <c r="O79" s="32"/>
      <c r="P79" s="32"/>
      <c r="Q79" s="32"/>
      <c r="R79" s="32"/>
      <c r="S79" s="32"/>
      <c r="T79" s="9"/>
      <c r="U79" s="8"/>
      <c r="V79" s="8"/>
      <c r="W79" s="8"/>
      <c r="X79" s="12"/>
      <c r="Y79" s="39"/>
      <c r="Z79" s="38"/>
      <c r="AA79" s="38"/>
      <c r="AB79" s="38"/>
      <c r="AC79" s="38"/>
      <c r="AD79" s="38"/>
      <c r="AE79" s="40"/>
      <c r="AF79" s="40"/>
      <c r="AG79" s="40"/>
      <c r="AH79" s="40"/>
      <c r="AI79" s="40"/>
      <c r="AJ79" s="40"/>
      <c r="AK79" s="40"/>
      <c r="AL79" s="40"/>
      <c r="AM79" s="40"/>
      <c r="AN79" s="27"/>
      <c r="AO79" s="27"/>
      <c r="AP79" s="27"/>
      <c r="AQ79" s="27"/>
      <c r="AR79" s="27"/>
      <c r="AS79" s="27"/>
      <c r="AT79" s="27"/>
      <c r="AU79" s="27"/>
    </row>
    <row r="80" spans="1:47" ht="19.95" customHeight="1">
      <c r="A80" s="35"/>
      <c r="B80" s="35"/>
      <c r="C80" s="35"/>
      <c r="D80" s="8"/>
      <c r="E80" s="10"/>
      <c r="F80" s="8"/>
      <c r="G80" s="10"/>
      <c r="H80" s="37"/>
      <c r="I80" s="11"/>
      <c r="J80" s="8"/>
      <c r="K80" s="9"/>
      <c r="L80" s="9"/>
      <c r="M80" s="9"/>
      <c r="N80" s="32"/>
      <c r="O80" s="32"/>
      <c r="P80" s="32"/>
      <c r="Q80" s="32"/>
      <c r="R80" s="32"/>
      <c r="S80" s="32"/>
      <c r="T80" s="9"/>
      <c r="U80" s="8"/>
      <c r="V80" s="8"/>
      <c r="W80" s="8"/>
      <c r="X80" s="12"/>
      <c r="Y80" s="39"/>
      <c r="Z80" s="38"/>
      <c r="AA80" s="38"/>
      <c r="AB80" s="38"/>
      <c r="AC80" s="38"/>
      <c r="AD80" s="38"/>
      <c r="AE80" s="40"/>
      <c r="AF80" s="40"/>
      <c r="AG80" s="40"/>
      <c r="AH80" s="40"/>
      <c r="AI80" s="40"/>
      <c r="AJ80" s="40"/>
      <c r="AK80" s="40"/>
      <c r="AL80" s="40"/>
      <c r="AM80" s="40"/>
      <c r="AN80" s="27"/>
      <c r="AO80" s="27"/>
      <c r="AP80" s="27"/>
      <c r="AQ80" s="27"/>
      <c r="AR80" s="27"/>
      <c r="AS80" s="27"/>
      <c r="AT80" s="27"/>
      <c r="AU80" s="27"/>
    </row>
    <row r="81" spans="1:47" ht="19.95" customHeight="1">
      <c r="A81" s="35"/>
      <c r="B81" s="35"/>
      <c r="C81" s="35"/>
      <c r="D81" s="8"/>
      <c r="E81" s="10"/>
      <c r="F81" s="8"/>
      <c r="G81" s="10"/>
      <c r="H81" s="37"/>
      <c r="I81" s="11"/>
      <c r="J81" s="8"/>
      <c r="K81" s="9"/>
      <c r="L81" s="9"/>
      <c r="M81" s="9"/>
      <c r="N81" s="32"/>
      <c r="O81" s="32"/>
      <c r="P81" s="32"/>
      <c r="Q81" s="32"/>
      <c r="R81" s="32"/>
      <c r="S81" s="32"/>
      <c r="T81" s="9"/>
      <c r="U81" s="8"/>
      <c r="V81" s="8"/>
      <c r="W81" s="8"/>
      <c r="X81" s="12"/>
      <c r="Y81" s="39"/>
      <c r="Z81" s="38"/>
      <c r="AA81" s="38"/>
      <c r="AB81" s="38"/>
      <c r="AC81" s="38"/>
      <c r="AD81" s="38"/>
      <c r="AE81" s="40"/>
      <c r="AF81" s="40"/>
      <c r="AG81" s="40"/>
      <c r="AH81" s="40"/>
      <c r="AI81" s="40"/>
      <c r="AJ81" s="40"/>
      <c r="AK81" s="40"/>
      <c r="AL81" s="40"/>
      <c r="AM81" s="40"/>
      <c r="AN81" s="27"/>
      <c r="AO81" s="27"/>
      <c r="AP81" s="27"/>
      <c r="AQ81" s="27"/>
      <c r="AR81" s="27"/>
      <c r="AS81" s="27"/>
      <c r="AT81" s="27"/>
      <c r="AU81" s="27"/>
    </row>
    <row r="82" spans="1:47" ht="19.95" customHeight="1">
      <c r="A82" s="35"/>
      <c r="B82" s="35"/>
      <c r="C82" s="35"/>
      <c r="D82" s="8"/>
      <c r="E82" s="10"/>
      <c r="F82" s="8"/>
      <c r="G82" s="10"/>
      <c r="H82" s="37"/>
      <c r="I82" s="11"/>
      <c r="J82" s="8"/>
      <c r="K82" s="9"/>
      <c r="L82" s="9"/>
      <c r="M82" s="9"/>
      <c r="N82" s="32"/>
      <c r="O82" s="32"/>
      <c r="P82" s="32"/>
      <c r="Q82" s="32"/>
      <c r="R82" s="32"/>
      <c r="S82" s="32"/>
      <c r="T82" s="9"/>
      <c r="U82" s="8"/>
      <c r="V82" s="8"/>
      <c r="W82" s="8"/>
      <c r="X82" s="12"/>
      <c r="Y82" s="39"/>
      <c r="Z82" s="38"/>
      <c r="AA82" s="38"/>
      <c r="AB82" s="38"/>
      <c r="AC82" s="38"/>
      <c r="AD82" s="38"/>
      <c r="AE82" s="40"/>
      <c r="AF82" s="40"/>
      <c r="AG82" s="40"/>
      <c r="AH82" s="40"/>
      <c r="AI82" s="40"/>
      <c r="AJ82" s="40"/>
      <c r="AK82" s="40"/>
      <c r="AL82" s="40"/>
      <c r="AM82" s="40"/>
      <c r="AN82" s="27"/>
      <c r="AO82" s="27"/>
      <c r="AP82" s="27"/>
      <c r="AQ82" s="27"/>
      <c r="AR82" s="27"/>
      <c r="AS82" s="27"/>
      <c r="AT82" s="27"/>
      <c r="AU82" s="27"/>
    </row>
    <row r="83" spans="1:47" ht="19.95" customHeight="1">
      <c r="A83" s="35"/>
      <c r="B83" s="35"/>
      <c r="C83" s="35"/>
      <c r="D83" s="8"/>
      <c r="E83" s="10"/>
      <c r="F83" s="8"/>
      <c r="G83" s="10"/>
      <c r="H83" s="37"/>
      <c r="I83" s="11"/>
      <c r="J83" s="8"/>
      <c r="K83" s="9"/>
      <c r="L83" s="9"/>
      <c r="M83" s="9"/>
      <c r="N83" s="32"/>
      <c r="O83" s="32"/>
      <c r="P83" s="32"/>
      <c r="Q83" s="32"/>
      <c r="R83" s="32"/>
      <c r="S83" s="32"/>
      <c r="T83" s="9"/>
      <c r="U83" s="8"/>
      <c r="V83" s="8"/>
      <c r="W83" s="8"/>
      <c r="X83" s="12"/>
      <c r="Y83" s="39"/>
      <c r="Z83" s="38"/>
      <c r="AA83" s="38"/>
      <c r="AB83" s="38"/>
      <c r="AC83" s="38"/>
      <c r="AD83" s="38"/>
      <c r="AE83" s="40"/>
      <c r="AF83" s="40"/>
      <c r="AG83" s="40"/>
      <c r="AH83" s="40"/>
      <c r="AI83" s="40"/>
      <c r="AJ83" s="40"/>
      <c r="AK83" s="40"/>
      <c r="AL83" s="40"/>
      <c r="AM83" s="40"/>
      <c r="AN83" s="27"/>
      <c r="AO83" s="27"/>
      <c r="AP83" s="27"/>
      <c r="AQ83" s="27"/>
      <c r="AR83" s="27"/>
      <c r="AS83" s="27"/>
      <c r="AT83" s="27"/>
      <c r="AU83" s="27"/>
    </row>
    <row r="84" spans="1:47" ht="19.95" customHeight="1">
      <c r="A84" s="35"/>
      <c r="B84" s="35"/>
      <c r="C84" s="35"/>
      <c r="D84" s="8"/>
      <c r="E84" s="10"/>
      <c r="F84" s="8"/>
      <c r="G84" s="10"/>
      <c r="H84" s="37"/>
      <c r="I84" s="11"/>
      <c r="J84" s="8"/>
      <c r="K84" s="9"/>
      <c r="L84" s="9"/>
      <c r="M84" s="9"/>
      <c r="N84" s="32"/>
      <c r="O84" s="32"/>
      <c r="P84" s="32"/>
      <c r="Q84" s="32"/>
      <c r="R84" s="32"/>
      <c r="S84" s="32"/>
      <c r="T84" s="9"/>
      <c r="U84" s="8"/>
      <c r="V84" s="8"/>
      <c r="W84" s="8"/>
      <c r="X84" s="12"/>
      <c r="Y84" s="39"/>
      <c r="Z84" s="38"/>
      <c r="AA84" s="38"/>
      <c r="AB84" s="38"/>
      <c r="AC84" s="38"/>
      <c r="AD84" s="38"/>
      <c r="AE84" s="40"/>
      <c r="AF84" s="40"/>
      <c r="AG84" s="40"/>
      <c r="AH84" s="40"/>
      <c r="AI84" s="40"/>
      <c r="AJ84" s="40"/>
      <c r="AK84" s="40"/>
      <c r="AL84" s="40"/>
      <c r="AM84" s="40"/>
      <c r="AN84" s="27"/>
      <c r="AO84" s="27"/>
      <c r="AP84" s="27"/>
      <c r="AQ84" s="27"/>
      <c r="AR84" s="27"/>
      <c r="AS84" s="27"/>
      <c r="AT84" s="27"/>
      <c r="AU84" s="27"/>
    </row>
    <row r="85" spans="1:47" ht="19.95" customHeight="1">
      <c r="A85" s="35"/>
      <c r="B85" s="35"/>
      <c r="C85" s="35"/>
      <c r="D85" s="8"/>
      <c r="E85" s="10"/>
      <c r="F85" s="8"/>
      <c r="G85" s="10"/>
      <c r="H85" s="37"/>
      <c r="I85" s="11"/>
      <c r="J85" s="8"/>
      <c r="K85" s="9"/>
      <c r="L85" s="9"/>
      <c r="M85" s="9"/>
      <c r="N85" s="32"/>
      <c r="O85" s="32"/>
      <c r="P85" s="32"/>
      <c r="Q85" s="32"/>
      <c r="R85" s="32"/>
      <c r="S85" s="32"/>
      <c r="T85" s="9"/>
      <c r="U85" s="8"/>
      <c r="V85" s="8"/>
      <c r="W85" s="8"/>
      <c r="X85" s="12"/>
      <c r="Y85" s="39"/>
      <c r="Z85" s="38"/>
      <c r="AA85" s="38"/>
      <c r="AB85" s="38"/>
      <c r="AC85" s="38"/>
      <c r="AD85" s="38"/>
      <c r="AE85" s="40"/>
      <c r="AF85" s="40"/>
      <c r="AG85" s="40"/>
      <c r="AH85" s="40"/>
      <c r="AI85" s="40"/>
      <c r="AJ85" s="40"/>
      <c r="AK85" s="40"/>
      <c r="AL85" s="40"/>
      <c r="AM85" s="40"/>
      <c r="AN85" s="27"/>
      <c r="AO85" s="27"/>
      <c r="AP85" s="27"/>
      <c r="AQ85" s="27"/>
      <c r="AR85" s="27"/>
      <c r="AS85" s="27"/>
      <c r="AT85" s="27"/>
      <c r="AU85" s="27"/>
    </row>
    <row r="86" spans="1:47" ht="19.95" customHeight="1">
      <c r="A86" s="35"/>
      <c r="B86" s="35"/>
      <c r="C86" s="35"/>
      <c r="D86" s="8"/>
      <c r="E86" s="10"/>
      <c r="F86" s="8"/>
      <c r="G86" s="10"/>
      <c r="H86" s="37"/>
      <c r="I86" s="11"/>
      <c r="J86" s="8"/>
      <c r="K86" s="9"/>
      <c r="L86" s="9"/>
      <c r="M86" s="9"/>
      <c r="N86" s="32"/>
      <c r="O86" s="32"/>
      <c r="P86" s="32"/>
      <c r="Q86" s="32"/>
      <c r="R86" s="32"/>
      <c r="S86" s="32"/>
      <c r="T86" s="9"/>
      <c r="U86" s="8"/>
      <c r="V86" s="8"/>
      <c r="W86" s="8"/>
      <c r="X86" s="12"/>
      <c r="Y86" s="39"/>
      <c r="Z86" s="38"/>
      <c r="AA86" s="38"/>
      <c r="AB86" s="38"/>
      <c r="AC86" s="38"/>
      <c r="AD86" s="38"/>
      <c r="AE86" s="40"/>
      <c r="AF86" s="40"/>
      <c r="AG86" s="40"/>
      <c r="AH86" s="40"/>
      <c r="AI86" s="40"/>
      <c r="AJ86" s="40"/>
      <c r="AK86" s="40"/>
      <c r="AL86" s="40"/>
      <c r="AM86" s="40"/>
      <c r="AN86" s="27"/>
      <c r="AO86" s="27"/>
      <c r="AP86" s="27"/>
      <c r="AQ86" s="27"/>
      <c r="AR86" s="27"/>
      <c r="AS86" s="27"/>
      <c r="AT86" s="27"/>
      <c r="AU86" s="27"/>
    </row>
    <row r="87" spans="1:47" ht="19.95" customHeight="1">
      <c r="Y87" s="1"/>
      <c r="Z87" s="1"/>
      <c r="AA87" s="1"/>
      <c r="AB87" s="1"/>
      <c r="AC87" s="1"/>
      <c r="AD87" s="1"/>
      <c r="AL87" s="1"/>
      <c r="AM87" s="1"/>
    </row>
    <row r="88" spans="1:47" ht="19.95" customHeight="1">
      <c r="Y88" s="1"/>
      <c r="Z88" s="1"/>
      <c r="AA88" s="1"/>
      <c r="AB88" s="1"/>
      <c r="AC88" s="1"/>
      <c r="AD88" s="1"/>
      <c r="AL88" s="1"/>
      <c r="AM88" s="1"/>
    </row>
    <row r="89" spans="1:47" ht="19.95" customHeight="1">
      <c r="Y89" s="1"/>
      <c r="Z89" s="1"/>
      <c r="AA89" s="1"/>
      <c r="AB89" s="1"/>
      <c r="AC89" s="1"/>
      <c r="AD89" s="1"/>
      <c r="AL89" s="1"/>
      <c r="AM89" s="1"/>
    </row>
    <row r="90" spans="1:47" ht="19.95" customHeight="1">
      <c r="Y90" s="1"/>
      <c r="Z90" s="1"/>
      <c r="AA90" s="1"/>
      <c r="AB90" s="1"/>
      <c r="AC90" s="1"/>
      <c r="AD90" s="1"/>
      <c r="AL90" s="1"/>
      <c r="AM90" s="1"/>
    </row>
    <row r="91" spans="1:47" ht="19.95" customHeight="1">
      <c r="Y91" s="1"/>
      <c r="Z91" s="1"/>
      <c r="AA91" s="1"/>
      <c r="AB91" s="1"/>
      <c r="AC91" s="1"/>
      <c r="AD91" s="1"/>
      <c r="AL91" s="1"/>
      <c r="AM91" s="1"/>
    </row>
    <row r="92" spans="1:47" ht="19.95" customHeight="1">
      <c r="Y92" s="1"/>
      <c r="Z92" s="1"/>
      <c r="AA92" s="1"/>
      <c r="AB92" s="1"/>
      <c r="AC92" s="1"/>
      <c r="AD92" s="1"/>
      <c r="AL92" s="1"/>
      <c r="AM92" s="1"/>
    </row>
    <row r="93" spans="1:47" ht="19.95" customHeight="1">
      <c r="Y93" s="1"/>
      <c r="Z93" s="1"/>
      <c r="AA93" s="1"/>
      <c r="AB93" s="1"/>
      <c r="AC93" s="1"/>
      <c r="AD93" s="1"/>
      <c r="AL93" s="1"/>
      <c r="AM93" s="1"/>
    </row>
    <row r="94" spans="1:47" ht="19.95" customHeight="1">
      <c r="Y94" s="1"/>
      <c r="Z94" s="1"/>
      <c r="AA94" s="1"/>
      <c r="AB94" s="1"/>
      <c r="AC94" s="1"/>
      <c r="AD94" s="1"/>
      <c r="AL94" s="1"/>
      <c r="AM94" s="1"/>
    </row>
    <row r="95" spans="1:47" ht="19.95" customHeight="1">
      <c r="Y95" s="1"/>
      <c r="Z95" s="1"/>
      <c r="AA95" s="1"/>
      <c r="AB95" s="1"/>
      <c r="AC95" s="1"/>
      <c r="AD95" s="1"/>
      <c r="AL95" s="1"/>
      <c r="AM95" s="1"/>
    </row>
    <row r="96" spans="1:47" ht="19.95" customHeight="1">
      <c r="Y96" s="1"/>
      <c r="Z96" s="1"/>
      <c r="AA96" s="1"/>
      <c r="AB96" s="1"/>
      <c r="AC96" s="1"/>
      <c r="AD96" s="1"/>
      <c r="AL96" s="1"/>
      <c r="AM96" s="1"/>
    </row>
    <row r="97" spans="25:39" ht="19.95" customHeight="1">
      <c r="Y97" s="1"/>
      <c r="Z97" s="1"/>
      <c r="AA97" s="1"/>
      <c r="AB97" s="1"/>
      <c r="AC97" s="1"/>
      <c r="AD97" s="1"/>
      <c r="AL97" s="1"/>
      <c r="AM97" s="1"/>
    </row>
    <row r="98" spans="25:39" ht="19.95" customHeight="1">
      <c r="Y98" s="1"/>
      <c r="Z98" s="1"/>
      <c r="AA98" s="1"/>
      <c r="AB98" s="1"/>
      <c r="AC98" s="1"/>
      <c r="AD98" s="1"/>
      <c r="AL98" s="1"/>
      <c r="AM98" s="1"/>
    </row>
    <row r="99" spans="25:39" ht="19.95" customHeight="1">
      <c r="Y99" s="1"/>
      <c r="Z99" s="1"/>
      <c r="AA99" s="1"/>
      <c r="AB99" s="1"/>
      <c r="AC99" s="1"/>
      <c r="AD99" s="1"/>
      <c r="AL99" s="1"/>
      <c r="AM99" s="1"/>
    </row>
    <row r="100" spans="25:39" ht="19.95" customHeight="1">
      <c r="Y100" s="1"/>
      <c r="Z100" s="1"/>
      <c r="AA100" s="1"/>
      <c r="AB100" s="1"/>
      <c r="AC100" s="1"/>
      <c r="AD100" s="1"/>
      <c r="AL100" s="1"/>
      <c r="AM100" s="1"/>
    </row>
    <row r="101" spans="25:39" ht="19.95" customHeight="1">
      <c r="Y101" s="1"/>
      <c r="Z101" s="1"/>
      <c r="AA101" s="1"/>
      <c r="AB101" s="1"/>
      <c r="AC101" s="1"/>
      <c r="AD101" s="1"/>
      <c r="AL101" s="1"/>
      <c r="AM101" s="1"/>
    </row>
    <row r="102" spans="25:39" ht="19.95" customHeight="1">
      <c r="Y102" s="1"/>
      <c r="Z102" s="1"/>
      <c r="AA102" s="1"/>
      <c r="AB102" s="1"/>
      <c r="AC102" s="1"/>
      <c r="AD102" s="1"/>
      <c r="AL102" s="1"/>
      <c r="AM102" s="1"/>
    </row>
    <row r="103" spans="25:39" ht="19.95" customHeight="1">
      <c r="Y103" s="1"/>
      <c r="Z103" s="1"/>
      <c r="AA103" s="1"/>
      <c r="AB103" s="1"/>
      <c r="AC103" s="1"/>
      <c r="AD103" s="1"/>
      <c r="AL103" s="1"/>
      <c r="AM103" s="1"/>
    </row>
    <row r="104" spans="25:39" ht="19.95" customHeight="1">
      <c r="Y104" s="1"/>
      <c r="Z104" s="1"/>
      <c r="AA104" s="1"/>
      <c r="AB104" s="1"/>
      <c r="AC104" s="1"/>
      <c r="AD104" s="1"/>
      <c r="AL104" s="1"/>
      <c r="AM104" s="1"/>
    </row>
    <row r="105" spans="25:39" ht="19.95" customHeight="1">
      <c r="Y105" s="1"/>
      <c r="Z105" s="1"/>
      <c r="AA105" s="1"/>
      <c r="AB105" s="1"/>
      <c r="AC105" s="1"/>
      <c r="AD105" s="1"/>
      <c r="AL105" s="1"/>
      <c r="AM105" s="1"/>
    </row>
    <row r="106" spans="25:39" ht="19.95" customHeight="1">
      <c r="Y106" s="1"/>
      <c r="Z106" s="1"/>
      <c r="AA106" s="1"/>
      <c r="AB106" s="1"/>
      <c r="AC106" s="1"/>
      <c r="AD106" s="1"/>
      <c r="AL106" s="1"/>
      <c r="AM106" s="1"/>
    </row>
    <row r="107" spans="25:39" ht="19.95" customHeight="1">
      <c r="Y107" s="1"/>
      <c r="Z107" s="1"/>
      <c r="AA107" s="1"/>
      <c r="AB107" s="1"/>
      <c r="AC107" s="1"/>
      <c r="AD107" s="1"/>
      <c r="AL107" s="1"/>
      <c r="AM107" s="1"/>
    </row>
    <row r="108" spans="25:39" ht="19.95" customHeight="1">
      <c r="Y108" s="1"/>
      <c r="Z108" s="1"/>
      <c r="AA108" s="1"/>
      <c r="AB108" s="1"/>
      <c r="AC108" s="1"/>
      <c r="AD108" s="1"/>
      <c r="AL108" s="1"/>
      <c r="AM108" s="1"/>
    </row>
    <row r="109" spans="25:39" ht="19.95" customHeight="1">
      <c r="Y109" s="1"/>
      <c r="Z109" s="1"/>
      <c r="AA109" s="1"/>
      <c r="AB109" s="1"/>
      <c r="AC109" s="1"/>
      <c r="AD109" s="1"/>
      <c r="AL109" s="1"/>
      <c r="AM109" s="1"/>
    </row>
    <row r="110" spans="25:39" ht="19.95" customHeight="1">
      <c r="Y110" s="1"/>
      <c r="Z110" s="1"/>
      <c r="AA110" s="1"/>
      <c r="AB110" s="1"/>
      <c r="AC110" s="1"/>
      <c r="AD110" s="1"/>
      <c r="AL110" s="1"/>
      <c r="AM110" s="1"/>
    </row>
    <row r="111" spans="25:39" ht="19.95" customHeight="1">
      <c r="Y111" s="1"/>
      <c r="Z111" s="1"/>
      <c r="AA111" s="1"/>
      <c r="AB111" s="1"/>
      <c r="AC111" s="1"/>
      <c r="AD111" s="1"/>
      <c r="AL111" s="1"/>
      <c r="AM111" s="1"/>
    </row>
    <row r="112" spans="25:39" ht="19.95" customHeight="1">
      <c r="Y112" s="1"/>
      <c r="Z112" s="1"/>
      <c r="AA112" s="1"/>
      <c r="AB112" s="1"/>
      <c r="AC112" s="1"/>
      <c r="AD112" s="1"/>
      <c r="AL112" s="1"/>
      <c r="AM112" s="1"/>
    </row>
    <row r="113" spans="25:39" ht="19.95" customHeight="1">
      <c r="Y113" s="1"/>
      <c r="Z113" s="1"/>
      <c r="AA113" s="1"/>
      <c r="AB113" s="1"/>
      <c r="AC113" s="1"/>
      <c r="AD113" s="1"/>
      <c r="AL113" s="1"/>
      <c r="AM113" s="1"/>
    </row>
    <row r="114" spans="25:39" ht="19.95" customHeight="1">
      <c r="Y114" s="1"/>
      <c r="Z114" s="1"/>
      <c r="AA114" s="1"/>
      <c r="AB114" s="1"/>
      <c r="AC114" s="1"/>
      <c r="AD114" s="1"/>
      <c r="AL114" s="1"/>
      <c r="AM114" s="1"/>
    </row>
    <row r="115" spans="25:39" ht="19.95" customHeight="1">
      <c r="Y115" s="1"/>
      <c r="Z115" s="1"/>
      <c r="AA115" s="1"/>
      <c r="AB115" s="1"/>
      <c r="AC115" s="1"/>
      <c r="AD115" s="1"/>
      <c r="AL115" s="1"/>
      <c r="AM115" s="1"/>
    </row>
    <row r="116" spans="25:39" ht="19.95" customHeight="1">
      <c r="Y116" s="1"/>
      <c r="Z116" s="1"/>
      <c r="AA116" s="1"/>
      <c r="AB116" s="1"/>
      <c r="AC116" s="1"/>
      <c r="AD116" s="1"/>
      <c r="AL116" s="1"/>
      <c r="AM116" s="1"/>
    </row>
    <row r="117" spans="25:39" ht="19.95" customHeight="1"/>
    <row r="118" spans="25:39" ht="19.95" customHeight="1"/>
    <row r="119" spans="25:39" ht="19.95" customHeight="1"/>
    <row r="120" spans="25:39" ht="19.95" customHeight="1"/>
    <row r="121" spans="25:39" ht="19.95" customHeight="1"/>
    <row r="122" spans="25:39" ht="19.95" customHeight="1"/>
    <row r="123" spans="25:39" ht="19.95" customHeight="1"/>
    <row r="124" spans="25:39" ht="19.95" customHeight="1"/>
    <row r="125" spans="25:39" ht="19.95" customHeight="1"/>
    <row r="126" spans="25:39" ht="19.95" customHeight="1"/>
    <row r="127" spans="25:39" ht="19.95" customHeight="1"/>
    <row r="128" spans="25:39" ht="19.95" customHeight="1"/>
    <row r="129" ht="19.95" customHeight="1"/>
    <row r="130" ht="19.95" customHeight="1"/>
    <row r="131" ht="19.95" customHeight="1"/>
    <row r="132" ht="19.95" customHeight="1"/>
    <row r="133" ht="19.95" customHeight="1"/>
    <row r="134" ht="19.95" customHeight="1"/>
    <row r="135" ht="19.95" customHeight="1"/>
    <row r="136" ht="19.95" customHeight="1"/>
    <row r="137" ht="19.95" customHeight="1"/>
    <row r="138" ht="19.95" customHeight="1"/>
    <row r="139" ht="19.95" customHeight="1"/>
    <row r="140" ht="19.95" customHeight="1"/>
    <row r="141" ht="19.95" customHeight="1"/>
    <row r="142" ht="19.95" customHeight="1"/>
    <row r="143" ht="19.95" customHeight="1"/>
    <row r="144" ht="19.95" customHeight="1"/>
    <row r="145" ht="19.95" customHeight="1"/>
    <row r="146" ht="19.95" customHeight="1"/>
    <row r="147" ht="19.95" customHeight="1"/>
    <row r="148" ht="19.95" customHeight="1"/>
    <row r="149" ht="19.95" customHeight="1"/>
    <row r="150" ht="19.95" customHeight="1"/>
    <row r="151" ht="19.95" customHeight="1"/>
    <row r="152" ht="19.95" customHeight="1"/>
    <row r="153" ht="19.95" customHeight="1"/>
    <row r="154" ht="19.95" customHeight="1"/>
    <row r="155" ht="19.95" customHeight="1"/>
    <row r="156" ht="19.95" customHeight="1"/>
    <row r="157" ht="19.95" customHeight="1"/>
    <row r="158" ht="19.95" customHeight="1"/>
    <row r="159" ht="19.95" customHeight="1"/>
    <row r="160" ht="19.95" customHeight="1"/>
    <row r="161" ht="19.95" customHeight="1"/>
    <row r="162" ht="19.95" customHeight="1"/>
    <row r="163" ht="19.95" customHeight="1"/>
    <row r="164" ht="19.95" customHeight="1"/>
    <row r="165" ht="19.95" customHeight="1"/>
    <row r="166" ht="19.95" customHeight="1"/>
    <row r="167" ht="19.95" customHeight="1"/>
    <row r="168" ht="19.95" customHeight="1"/>
    <row r="169" ht="19.95" customHeight="1"/>
    <row r="170" ht="19.95" customHeight="1"/>
    <row r="171" ht="19.95" customHeight="1"/>
    <row r="172" ht="19.95" customHeight="1"/>
    <row r="173" ht="19.95" customHeight="1"/>
    <row r="174" ht="19.95" customHeight="1"/>
    <row r="175" ht="19.95" customHeight="1"/>
    <row r="176" ht="19.95" customHeight="1"/>
    <row r="177" ht="19.95" customHeight="1"/>
    <row r="178" ht="19.95" customHeight="1"/>
    <row r="179" ht="19.95" customHeight="1"/>
    <row r="180" ht="19.95" customHeight="1"/>
    <row r="181" ht="19.95" customHeight="1"/>
    <row r="182" ht="19.95" customHeight="1"/>
    <row r="183" ht="19.95" customHeight="1"/>
    <row r="184" ht="19.95" customHeight="1"/>
    <row r="185" ht="19.95" customHeight="1"/>
    <row r="186" ht="19.95" customHeight="1"/>
    <row r="187" ht="19.95" customHeight="1"/>
    <row r="188" ht="19.95" customHeight="1"/>
    <row r="189" ht="19.95" customHeight="1"/>
    <row r="190" ht="19.95" customHeight="1"/>
    <row r="191" ht="19.95" customHeight="1"/>
    <row r="192" ht="19.95" customHeight="1"/>
    <row r="193" ht="19.95" customHeight="1"/>
    <row r="194" ht="19.95" customHeight="1"/>
    <row r="195" ht="19.95" customHeight="1"/>
    <row r="196" ht="19.95" customHeight="1"/>
    <row r="197" ht="19.95" customHeight="1"/>
    <row r="198" ht="19.95" customHeight="1"/>
    <row r="199" ht="19.95" customHeight="1"/>
    <row r="200" ht="19.95" customHeight="1"/>
    <row r="201" ht="19.95" customHeight="1"/>
    <row r="202" ht="19.95" customHeight="1"/>
    <row r="203" ht="19.95" customHeight="1"/>
    <row r="204" ht="19.95" customHeight="1"/>
    <row r="205" ht="19.95" customHeight="1"/>
    <row r="206" ht="19.95" customHeight="1"/>
    <row r="207" ht="19.95" customHeight="1"/>
    <row r="208" ht="19.95" customHeight="1"/>
    <row r="209" ht="19.95" customHeight="1"/>
    <row r="210" ht="19.95" customHeight="1"/>
    <row r="211" ht="19.95" customHeight="1"/>
    <row r="212" ht="19.95" customHeight="1"/>
    <row r="213" ht="19.95" customHeight="1"/>
    <row r="214" ht="19.95" customHeight="1"/>
    <row r="215" ht="19.95" customHeight="1"/>
    <row r="216" ht="19.95" customHeight="1"/>
    <row r="217" ht="19.95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9.95" customHeight="1"/>
    <row r="238" ht="19.95" customHeight="1"/>
    <row r="239" ht="19.95" customHeight="1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9.95" customHeight="1"/>
    <row r="255" ht="19.95" customHeight="1"/>
    <row r="256" ht="19.95" customHeight="1"/>
    <row r="257" ht="19.95" customHeight="1"/>
    <row r="258" ht="19.95" customHeight="1"/>
    <row r="259" ht="19.95" customHeight="1"/>
    <row r="260" ht="19.95" customHeight="1"/>
    <row r="261" ht="19.95" customHeight="1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</sheetData>
  <autoFilter ref="A2:AU35" xr:uid="{2AC89955-B654-4648-A6E4-FD67CBA54DDA}"/>
  <sortState xmlns:xlrd2="http://schemas.microsoft.com/office/spreadsheetml/2017/richdata2" ref="A3:AV35">
    <sortCondition ref="AV3:AV35"/>
  </sortState>
  <mergeCells count="1">
    <mergeCell ref="AT1:AU1"/>
  </mergeCells>
  <phoneticPr fontId="20" type="noConversion"/>
  <conditionalFormatting sqref="N1:S1 N3:S1048576">
    <cfRule type="containsText" dxfId="255" priority="187" operator="containsText" text="Pending">
      <formula>NOT(ISERROR(SEARCH("Pending",N1)))</formula>
    </cfRule>
  </conditionalFormatting>
  <conditionalFormatting sqref="V1:W1048576 AN1:AU1048576">
    <cfRule type="containsText" dxfId="254" priority="145" operator="containsText" text="Pending">
      <formula>NOT(ISERROR(SEARCH("Pending",V1)))</formula>
    </cfRule>
  </conditionalFormatting>
  <conditionalFormatting sqref="AU1:AU1048576">
    <cfRule type="containsText" dxfId="253" priority="140" operator="containsText" text="Reject">
      <formula>NOT(ISERROR(SEARCH("Reject",AU1)))</formula>
    </cfRule>
  </conditionalFormatting>
  <conditionalFormatting sqref="T1:T1048576 AU1:AU1048576">
    <cfRule type="containsText" dxfId="252" priority="141" operator="containsText" text="Condition">
      <formula>NOT(ISERROR(SEARCH("Condition",T1)))</formula>
    </cfRule>
  </conditionalFormatting>
  <conditionalFormatting sqref="U1:W1048576">
    <cfRule type="containsText" dxfId="251" priority="15" operator="containsText" text="Tx OK">
      <formula>NOT(ISERROR(SEARCH("Tx OK",U1)))</formula>
    </cfRule>
    <cfRule type="containsText" dxfId="250" priority="176" operator="containsText" text="MW Link OK">
      <formula>NOT(ISERROR(SEARCH("MW Link OK",U1)))</formula>
    </cfRule>
    <cfRule type="containsText" dxfId="249" priority="200" operator="containsText" text="Partially Removed">
      <formula>NOT(ISERROR(SEARCH("Partially Removed",U1)))</formula>
    </cfRule>
    <cfRule type="containsText" dxfId="248" priority="201" operator="containsText" text="Tx Pending">
      <formula>NOT(ISERROR(SEARCH("Tx Pending",U1)))</formula>
    </cfRule>
    <cfRule type="containsText" dxfId="247" priority="202" operator="containsText" text="MW Link Pending">
      <formula>NOT(ISERROR(SEARCH("MW Link Pending",U1)))</formula>
    </cfRule>
  </conditionalFormatting>
  <conditionalFormatting sqref="F1:F1048576">
    <cfRule type="containsText" dxfId="246" priority="1" operator="containsText" text="22">
      <formula>NOT(ISERROR(SEARCH("22",F1)))</formula>
    </cfRule>
    <cfRule type="containsText" dxfId="245" priority="12" operator="containsText" text="30">
      <formula>NOT(ISERROR(SEARCH("30",F1)))</formula>
    </cfRule>
    <cfRule type="containsText" dxfId="244" priority="13" operator="containsText" text="25">
      <formula>NOT(ISERROR(SEARCH("25",F1)))</formula>
    </cfRule>
    <cfRule type="containsText" dxfId="243" priority="14" operator="containsText" text="20">
      <formula>NOT(ISERROR(SEARCH("20",F1)))</formula>
    </cfRule>
  </conditionalFormatting>
  <conditionalFormatting sqref="A1:A1048576">
    <cfRule type="duplicateValues" dxfId="242" priority="11"/>
  </conditionalFormatting>
  <conditionalFormatting sqref="A37:A1048576">
    <cfRule type="duplicateValues" dxfId="241" priority="10"/>
  </conditionalFormatting>
  <conditionalFormatting sqref="V1:W1048576">
    <cfRule type="containsText" dxfId="240" priority="9" operator="containsText" text="Received">
      <formula>NOT(ISERROR(SEARCH("Received",V1)))</formula>
    </cfRule>
  </conditionalFormatting>
  <conditionalFormatting sqref="W1:W1048576">
    <cfRule type="containsText" dxfId="239" priority="2" operator="containsText" text="No">
      <formula>NOT(ISERROR(SEARCH("No",W1)))</formula>
    </cfRule>
    <cfRule type="containsText" dxfId="238" priority="3" operator="containsText" text="Yes">
      <formula>NOT(ISERROR(SEARCH("Yes",W1)))</formula>
    </cfRule>
  </conditionalFormatting>
  <conditionalFormatting sqref="J1:J1048576">
    <cfRule type="expression" dxfId="237" priority="203">
      <formula>EXACT(TRIM($J1),"On Air")</formula>
    </cfRule>
  </conditionalFormatting>
  <conditionalFormatting sqref="J1:J1048576">
    <cfRule type="expression" dxfId="236" priority="204">
      <formula>EXACT(TRIM($J1),"Partially On Air")</formula>
    </cfRule>
  </conditionalFormatting>
  <conditionalFormatting sqref="J1:J1048576">
    <cfRule type="expression" dxfId="235" priority="205">
      <formula>EXACT(TRIM($J1),"On Air Pending")</formula>
    </cfRule>
  </conditionalFormatting>
  <conditionalFormatting sqref="J1:J1048576">
    <cfRule type="expression" dxfId="234" priority="206">
      <formula>EXACT(TRIM($J1),"Installation Completed")</formula>
    </cfRule>
  </conditionalFormatting>
  <conditionalFormatting sqref="J1:J1048576">
    <cfRule type="expression" dxfId="233" priority="207">
      <formula>EXACT(TRIM($J1),"TE WIP")</formula>
    </cfRule>
  </conditionalFormatting>
  <conditionalFormatting sqref="J1:J1048576">
    <cfRule type="expression" dxfId="232" priority="208">
      <formula>EXACT(TRIM($J1),"To be Mobilized")</formula>
    </cfRule>
  </conditionalFormatting>
  <conditionalFormatting sqref="J1:J1048576">
    <cfRule type="expression" dxfId="231" priority="209">
      <formula>EXACT(TRIM($J1),"On Hold")</formula>
    </cfRule>
  </conditionalFormatting>
  <conditionalFormatting sqref="J1:J1048576">
    <cfRule type="expression" dxfId="230" priority="210">
      <formula>EXACT(TRIM($J1),"Commissioning Pending")</formula>
    </cfRule>
  </conditionalFormatting>
  <conditionalFormatting sqref="J1:J1048576">
    <cfRule type="expression" dxfId="229" priority="211">
      <formula>EXACT(TRIM($J1),"Tx Pending")</formula>
    </cfRule>
  </conditionalFormatting>
  <conditionalFormatting sqref="J1:J1048576">
    <cfRule type="expression" dxfId="228" priority="212">
      <formula>EXACT(TRIM($J1),"Partially Completed")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6D477-7CF2-4AAD-AE19-8473D1717077}">
  <sheetPr codeName="Sheet8"/>
  <dimension ref="A1:O27"/>
  <sheetViews>
    <sheetView workbookViewId="0">
      <pane xSplit="2" ySplit="2" topLeftCell="F6" activePane="bottomRight" state="frozen"/>
      <selection pane="topRight" activeCell="C1" sqref="C1"/>
      <selection pane="bottomLeft" activeCell="A3" sqref="A3"/>
      <selection pane="bottomRight" activeCell="J11" sqref="J11"/>
    </sheetView>
  </sheetViews>
  <sheetFormatPr defaultRowHeight="14.4"/>
  <cols>
    <col min="1" max="1" width="7.88671875" style="350" bestFit="1" customWidth="1"/>
    <col min="2" max="2" width="29.77734375" style="350" bestFit="1" customWidth="1"/>
    <col min="3" max="3" width="9.109375" style="350" bestFit="1" customWidth="1"/>
    <col min="4" max="4" width="11.77734375" style="350" bestFit="1" customWidth="1"/>
    <col min="5" max="5" width="16.5546875" style="350" bestFit="1" customWidth="1"/>
    <col min="6" max="6" width="10.88671875" style="351" bestFit="1" customWidth="1"/>
    <col min="7" max="7" width="35.6640625" style="351" bestFit="1" customWidth="1"/>
    <col min="8" max="8" width="24.6640625" style="351" bestFit="1" customWidth="1"/>
    <col min="9" max="9" width="51.33203125" style="366" customWidth="1"/>
    <col min="10" max="10" width="42.5546875" style="351" bestFit="1" customWidth="1"/>
    <col min="11" max="12" width="8.88671875" style="221"/>
    <col min="13" max="13" width="11.6640625" style="221" bestFit="1" customWidth="1"/>
    <col min="14" max="14" width="10.77734375" style="221" customWidth="1"/>
    <col min="15" max="15" width="16.5546875" style="221" customWidth="1"/>
    <col min="16" max="16384" width="8.88671875" style="221"/>
  </cols>
  <sheetData>
    <row r="1" spans="1:10" ht="30" customHeight="1">
      <c r="A1" s="234" t="s">
        <v>0</v>
      </c>
      <c r="B1" s="234" t="s">
        <v>1</v>
      </c>
      <c r="C1" s="234" t="s">
        <v>561</v>
      </c>
      <c r="D1" s="234" t="s">
        <v>74</v>
      </c>
      <c r="E1" s="234" t="s">
        <v>78</v>
      </c>
      <c r="F1" s="234" t="s">
        <v>403</v>
      </c>
      <c r="G1" s="234" t="s">
        <v>560</v>
      </c>
      <c r="H1" s="234" t="s">
        <v>559</v>
      </c>
      <c r="I1" s="234" t="s">
        <v>558</v>
      </c>
      <c r="J1" s="234" t="s">
        <v>557</v>
      </c>
    </row>
    <row r="2" spans="1:10" ht="15" customHeight="1">
      <c r="A2" s="233">
        <f t="shared" ref="A2:J2" si="0">SUBTOTAL(103, A3:A116)</f>
        <v>19</v>
      </c>
      <c r="B2" s="233">
        <f t="shared" si="0"/>
        <v>19</v>
      </c>
      <c r="C2" s="233">
        <f t="shared" si="0"/>
        <v>19</v>
      </c>
      <c r="D2" s="233">
        <f t="shared" si="0"/>
        <v>19</v>
      </c>
      <c r="E2" s="233">
        <f t="shared" si="0"/>
        <v>18</v>
      </c>
      <c r="F2" s="233">
        <f t="shared" si="0"/>
        <v>19</v>
      </c>
      <c r="G2" s="233">
        <f t="shared" si="0"/>
        <v>16</v>
      </c>
      <c r="H2" s="233">
        <f t="shared" si="0"/>
        <v>17</v>
      </c>
      <c r="I2" s="233">
        <f t="shared" si="0"/>
        <v>19</v>
      </c>
      <c r="J2" s="233">
        <f t="shared" si="0"/>
        <v>9</v>
      </c>
    </row>
    <row r="3" spans="1:10" s="360" customFormat="1">
      <c r="A3" s="357" t="s">
        <v>156</v>
      </c>
      <c r="B3" s="358" t="s">
        <v>157</v>
      </c>
      <c r="C3" s="359" t="s">
        <v>8</v>
      </c>
      <c r="D3" s="359" t="str">
        <f>VLOOKUP(A3, 'Full Plan'!$A:$G, 7,)</f>
        <v>Huawei</v>
      </c>
      <c r="E3" s="380" t="s">
        <v>186</v>
      </c>
      <c r="F3" s="376" t="s">
        <v>94</v>
      </c>
      <c r="G3" s="376" t="s">
        <v>158</v>
      </c>
      <c r="H3" s="376" t="s">
        <v>61</v>
      </c>
      <c r="I3" s="367" t="s">
        <v>520</v>
      </c>
      <c r="J3" s="376" t="s">
        <v>551</v>
      </c>
    </row>
    <row r="4" spans="1:10" s="360" customFormat="1">
      <c r="A4" s="357" t="s">
        <v>159</v>
      </c>
      <c r="B4" s="358" t="s">
        <v>160</v>
      </c>
      <c r="C4" s="359" t="s">
        <v>10</v>
      </c>
      <c r="D4" s="359" t="str">
        <f>VLOOKUP(A4, 'Full Plan'!$A:$G, 7,)</f>
        <v>Huawei</v>
      </c>
      <c r="E4" s="380" t="s">
        <v>188</v>
      </c>
      <c r="F4" s="376" t="s">
        <v>94</v>
      </c>
      <c r="G4" s="376" t="s">
        <v>274</v>
      </c>
      <c r="H4" s="376" t="s">
        <v>91</v>
      </c>
      <c r="I4" s="367" t="s">
        <v>520</v>
      </c>
      <c r="J4" s="376" t="s">
        <v>551</v>
      </c>
    </row>
    <row r="5" spans="1:10" s="360" customFormat="1">
      <c r="A5" s="357" t="s">
        <v>152</v>
      </c>
      <c r="B5" s="358" t="s">
        <v>153</v>
      </c>
      <c r="C5" s="359" t="s">
        <v>8</v>
      </c>
      <c r="D5" s="359" t="str">
        <f>VLOOKUP(A5, 'Full Plan'!$A:$G, 7,)</f>
        <v>Huawei</v>
      </c>
      <c r="E5" s="380" t="s">
        <v>184</v>
      </c>
      <c r="F5" s="376" t="s">
        <v>94</v>
      </c>
      <c r="G5" s="376" t="s">
        <v>161</v>
      </c>
      <c r="H5" s="376" t="s">
        <v>61</v>
      </c>
      <c r="I5" s="367" t="s">
        <v>520</v>
      </c>
      <c r="J5" s="376" t="s">
        <v>551</v>
      </c>
    </row>
    <row r="6" spans="1:10" s="360" customFormat="1">
      <c r="A6" s="357" t="s">
        <v>171</v>
      </c>
      <c r="B6" s="358" t="s">
        <v>179</v>
      </c>
      <c r="C6" s="359" t="s">
        <v>8</v>
      </c>
      <c r="D6" s="359" t="str">
        <f>VLOOKUP(A6, 'Full Plan'!$A:$G, 7,)</f>
        <v>Huawei</v>
      </c>
      <c r="E6" s="380" t="s">
        <v>187</v>
      </c>
      <c r="F6" s="376" t="s">
        <v>94</v>
      </c>
      <c r="G6" s="376" t="s">
        <v>264</v>
      </c>
      <c r="H6" s="376" t="s">
        <v>61</v>
      </c>
      <c r="I6" s="368" t="s">
        <v>520</v>
      </c>
      <c r="J6" s="376" t="s">
        <v>77</v>
      </c>
    </row>
    <row r="7" spans="1:10" s="360" customFormat="1">
      <c r="A7" s="357" t="s">
        <v>154</v>
      </c>
      <c r="B7" s="358" t="s">
        <v>155</v>
      </c>
      <c r="C7" s="359" t="s">
        <v>8</v>
      </c>
      <c r="D7" s="359" t="str">
        <f>VLOOKUP(A7, 'Full Plan'!$A:$G, 7,)</f>
        <v>Huawei</v>
      </c>
      <c r="E7" s="380" t="s">
        <v>185</v>
      </c>
      <c r="F7" s="376" t="s">
        <v>94</v>
      </c>
      <c r="G7" s="376" t="s">
        <v>161</v>
      </c>
      <c r="H7" s="376" t="s">
        <v>61</v>
      </c>
      <c r="I7" s="367" t="s">
        <v>520</v>
      </c>
      <c r="J7" s="381" t="s">
        <v>551</v>
      </c>
    </row>
    <row r="8" spans="1:10" s="360" customFormat="1">
      <c r="A8" s="357" t="s">
        <v>169</v>
      </c>
      <c r="B8" s="358" t="s">
        <v>177</v>
      </c>
      <c r="C8" s="359" t="s">
        <v>8</v>
      </c>
      <c r="D8" s="359" t="str">
        <f>VLOOKUP(A8, 'Full Plan'!$A:$G, 7,)</f>
        <v>Huawei</v>
      </c>
      <c r="E8" s="380" t="s">
        <v>309</v>
      </c>
      <c r="F8" s="376" t="s">
        <v>94</v>
      </c>
      <c r="G8" s="376" t="s">
        <v>459</v>
      </c>
      <c r="H8" s="376" t="s">
        <v>61</v>
      </c>
      <c r="I8" s="367" t="s">
        <v>520</v>
      </c>
      <c r="J8" s="381" t="s">
        <v>551</v>
      </c>
    </row>
    <row r="9" spans="1:10">
      <c r="A9" s="232" t="s">
        <v>216</v>
      </c>
      <c r="B9" s="231" t="s">
        <v>217</v>
      </c>
      <c r="C9" s="229" t="s">
        <v>8</v>
      </c>
      <c r="D9" s="229" t="str">
        <f>VLOOKUP(A9, 'Full Plan'!$A:$G, 7,)</f>
        <v>Ericsson</v>
      </c>
      <c r="E9" s="382" t="s">
        <v>312</v>
      </c>
      <c r="F9" s="375" t="s">
        <v>94</v>
      </c>
      <c r="G9" s="375" t="s">
        <v>317</v>
      </c>
      <c r="H9" s="375" t="s">
        <v>61</v>
      </c>
      <c r="I9" s="370" t="s">
        <v>14</v>
      </c>
      <c r="J9" s="383" t="s">
        <v>636</v>
      </c>
    </row>
    <row r="10" spans="1:10" ht="28.8">
      <c r="A10" s="346" t="s">
        <v>214</v>
      </c>
      <c r="B10" s="346" t="s">
        <v>215</v>
      </c>
      <c r="C10" s="229" t="s">
        <v>8</v>
      </c>
      <c r="D10" s="229" t="str">
        <f>VLOOKUP(A10, 'Full Plan'!$A:$G, 7,)</f>
        <v>Ericsson</v>
      </c>
      <c r="E10" s="382" t="s">
        <v>311</v>
      </c>
      <c r="F10" s="375" t="s">
        <v>94</v>
      </c>
      <c r="G10" s="375" t="s">
        <v>407</v>
      </c>
      <c r="H10" s="375" t="s">
        <v>61</v>
      </c>
      <c r="I10" s="369" t="s">
        <v>637</v>
      </c>
      <c r="J10" s="383" t="s">
        <v>636</v>
      </c>
    </row>
    <row r="11" spans="1:10">
      <c r="A11" s="230" t="s">
        <v>194</v>
      </c>
      <c r="B11" s="230" t="s">
        <v>195</v>
      </c>
      <c r="C11" s="229" t="s">
        <v>10</v>
      </c>
      <c r="D11" s="229" t="str">
        <f>VLOOKUP(A11, 'Full Plan'!$A:$G, 7,)</f>
        <v>Huawei</v>
      </c>
      <c r="E11" s="382" t="s">
        <v>220</v>
      </c>
      <c r="F11" s="375" t="s">
        <v>94</v>
      </c>
      <c r="G11" s="375" t="s">
        <v>328</v>
      </c>
      <c r="H11" s="375" t="s">
        <v>91</v>
      </c>
      <c r="I11" s="370" t="s">
        <v>556</v>
      </c>
      <c r="J11" s="375"/>
    </row>
    <row r="12" spans="1:10" ht="28.8">
      <c r="A12" s="232" t="s">
        <v>286</v>
      </c>
      <c r="B12" s="231" t="s">
        <v>287</v>
      </c>
      <c r="C12" s="229" t="s">
        <v>8</v>
      </c>
      <c r="D12" s="229" t="str">
        <f>VLOOKUP(A12, 'Full Plan'!$A:$G, 7,)</f>
        <v>Huawei</v>
      </c>
      <c r="E12" s="382" t="s">
        <v>302</v>
      </c>
      <c r="F12" s="375" t="s">
        <v>94</v>
      </c>
      <c r="G12" s="375" t="s">
        <v>459</v>
      </c>
      <c r="H12" s="375" t="s">
        <v>61</v>
      </c>
      <c r="I12" s="369" t="s">
        <v>644</v>
      </c>
      <c r="J12" s="375"/>
    </row>
    <row r="13" spans="1:10">
      <c r="A13" s="349" t="s">
        <v>200</v>
      </c>
      <c r="B13" s="349" t="s">
        <v>201</v>
      </c>
      <c r="C13" s="226" t="s">
        <v>8</v>
      </c>
      <c r="D13" s="226" t="str">
        <f>VLOOKUP(A13, 'Full Plan'!$A:$G, 7,)</f>
        <v>Huawei</v>
      </c>
      <c r="E13" s="384" t="s">
        <v>496</v>
      </c>
      <c r="F13" s="377" t="s">
        <v>94</v>
      </c>
      <c r="G13" s="374" t="s">
        <v>638</v>
      </c>
      <c r="H13" s="377" t="s">
        <v>61</v>
      </c>
      <c r="I13" s="371" t="s">
        <v>529</v>
      </c>
      <c r="J13" s="374" t="s">
        <v>651</v>
      </c>
    </row>
    <row r="14" spans="1:10">
      <c r="A14" s="228" t="s">
        <v>292</v>
      </c>
      <c r="B14" s="227" t="s">
        <v>293</v>
      </c>
      <c r="C14" s="226" t="s">
        <v>8</v>
      </c>
      <c r="D14" s="226" t="str">
        <f>VLOOKUP(A14, 'Full Plan'!$A:$G, 7,)</f>
        <v>Huawei</v>
      </c>
      <c r="E14" s="384" t="s">
        <v>304</v>
      </c>
      <c r="F14" s="377" t="s">
        <v>94</v>
      </c>
      <c r="G14" s="377" t="s">
        <v>353</v>
      </c>
      <c r="H14" s="377" t="s">
        <v>61</v>
      </c>
      <c r="I14" s="371" t="s">
        <v>529</v>
      </c>
      <c r="J14" s="377"/>
    </row>
    <row r="15" spans="1:10">
      <c r="A15" s="228" t="s">
        <v>190</v>
      </c>
      <c r="B15" s="227" t="s">
        <v>191</v>
      </c>
      <c r="C15" s="226" t="s">
        <v>8</v>
      </c>
      <c r="D15" s="226" t="str">
        <f>VLOOKUP(A15, 'Full Plan'!$A:$G, 7,)</f>
        <v>Ericsson</v>
      </c>
      <c r="E15" s="384" t="s">
        <v>219</v>
      </c>
      <c r="F15" s="374" t="s">
        <v>94</v>
      </c>
      <c r="G15" s="374" t="s">
        <v>605</v>
      </c>
      <c r="H15" s="374" t="s">
        <v>87</v>
      </c>
      <c r="I15" s="371" t="s">
        <v>529</v>
      </c>
      <c r="J15" s="377"/>
    </row>
    <row r="16" spans="1:10" ht="43.2">
      <c r="A16" s="411" t="s">
        <v>192</v>
      </c>
      <c r="B16" s="349" t="s">
        <v>193</v>
      </c>
      <c r="C16" s="226" t="s">
        <v>8</v>
      </c>
      <c r="D16" s="226" t="str">
        <f>VLOOKUP(A16, 'Full Plan'!$A:$G, 7,)</f>
        <v>Huawei</v>
      </c>
      <c r="E16" s="384" t="s">
        <v>400</v>
      </c>
      <c r="F16" s="377" t="s">
        <v>94</v>
      </c>
      <c r="G16" s="374" t="s">
        <v>639</v>
      </c>
      <c r="H16" s="377" t="s">
        <v>61</v>
      </c>
      <c r="I16" s="372" t="s">
        <v>650</v>
      </c>
      <c r="J16" s="377"/>
    </row>
    <row r="17" spans="1:15" ht="43.2">
      <c r="A17" s="411" t="s">
        <v>202</v>
      </c>
      <c r="B17" s="349" t="s">
        <v>203</v>
      </c>
      <c r="C17" s="226" t="s">
        <v>8</v>
      </c>
      <c r="D17" s="226" t="str">
        <f>VLOOKUP(A17, 'Full Plan'!$A:$G, 7,)</f>
        <v>Huawei</v>
      </c>
      <c r="E17" s="384" t="s">
        <v>313</v>
      </c>
      <c r="F17" s="377" t="s">
        <v>94</v>
      </c>
      <c r="G17" s="374" t="s">
        <v>639</v>
      </c>
      <c r="H17" s="377" t="s">
        <v>61</v>
      </c>
      <c r="I17" s="372" t="s">
        <v>650</v>
      </c>
      <c r="J17" s="377"/>
    </row>
    <row r="18" spans="1:15">
      <c r="A18" s="224" t="s">
        <v>290</v>
      </c>
      <c r="B18" s="223" t="s">
        <v>291</v>
      </c>
      <c r="C18" s="222" t="s">
        <v>10</v>
      </c>
      <c r="D18" s="222" t="str">
        <f>VLOOKUP(A18, 'Full Plan'!$A:$G, 7,)</f>
        <v>Huawei</v>
      </c>
      <c r="E18" s="385" t="s">
        <v>303</v>
      </c>
      <c r="F18" s="378" t="s">
        <v>94</v>
      </c>
      <c r="G18" s="378" t="s">
        <v>525</v>
      </c>
      <c r="H18" s="378" t="s">
        <v>91</v>
      </c>
      <c r="I18" s="373" t="s">
        <v>642</v>
      </c>
      <c r="J18" s="378"/>
    </row>
    <row r="19" spans="1:15">
      <c r="A19" s="225" t="s">
        <v>204</v>
      </c>
      <c r="B19" s="225" t="s">
        <v>205</v>
      </c>
      <c r="C19" s="222" t="s">
        <v>10</v>
      </c>
      <c r="D19" s="222" t="str">
        <f>VLOOKUP(A19, 'Full Plan'!$A:$G, 7,)</f>
        <v>Huawei</v>
      </c>
      <c r="E19" s="385" t="s">
        <v>519</v>
      </c>
      <c r="F19" s="379" t="s">
        <v>94</v>
      </c>
      <c r="G19" s="378"/>
      <c r="H19" s="379" t="s">
        <v>91</v>
      </c>
      <c r="I19" s="373" t="s">
        <v>643</v>
      </c>
      <c r="J19" s="378"/>
    </row>
    <row r="20" spans="1:15">
      <c r="A20" s="224" t="s">
        <v>212</v>
      </c>
      <c r="B20" s="223" t="s">
        <v>296</v>
      </c>
      <c r="C20" s="222" t="s">
        <v>8</v>
      </c>
      <c r="D20" s="222" t="str">
        <f>VLOOKUP(A20, 'Full Plan'!$A:$G, 7,)</f>
        <v>Ericsson</v>
      </c>
      <c r="E20" s="385" t="s">
        <v>310</v>
      </c>
      <c r="F20" s="378" t="s">
        <v>77</v>
      </c>
      <c r="G20" s="378"/>
      <c r="H20" s="378"/>
      <c r="I20" s="373" t="s">
        <v>526</v>
      </c>
      <c r="J20" s="378"/>
    </row>
    <row r="21" spans="1:15">
      <c r="A21" s="365" t="s">
        <v>645</v>
      </c>
      <c r="B21" s="365" t="s">
        <v>646</v>
      </c>
      <c r="C21" s="222" t="s">
        <v>8</v>
      </c>
      <c r="D21" s="222" t="str">
        <f>VLOOKUP(A21, 'Full Plan'!$A:$G, 7,)</f>
        <v>Ericsson</v>
      </c>
      <c r="E21" s="385"/>
      <c r="F21" s="378" t="s">
        <v>77</v>
      </c>
      <c r="G21" s="378"/>
      <c r="H21" s="378"/>
      <c r="I21" s="373" t="s">
        <v>526</v>
      </c>
      <c r="J21" s="378"/>
    </row>
    <row r="22" spans="1:15" ht="16.2" customHeight="1"/>
    <row r="23" spans="1:15">
      <c r="M23" s="352" t="s">
        <v>110</v>
      </c>
      <c r="N23" s="353">
        <v>33</v>
      </c>
      <c r="O23" s="353"/>
    </row>
    <row r="24" spans="1:15">
      <c r="M24" s="352" t="s">
        <v>528</v>
      </c>
      <c r="N24" s="353">
        <v>4</v>
      </c>
      <c r="O24" s="353"/>
    </row>
    <row r="25" spans="1:15" s="350" customFormat="1" ht="43.2">
      <c r="I25" s="366"/>
      <c r="J25" s="351"/>
      <c r="M25" s="354" t="s">
        <v>640</v>
      </c>
      <c r="N25" s="355">
        <v>29</v>
      </c>
      <c r="O25" s="356" t="s">
        <v>647</v>
      </c>
    </row>
    <row r="26" spans="1:15" s="350" customFormat="1" ht="28.8">
      <c r="I26" s="366"/>
      <c r="J26" s="351"/>
      <c r="M26" s="354" t="s">
        <v>641</v>
      </c>
      <c r="N26" s="355">
        <v>15</v>
      </c>
      <c r="O26" s="356" t="s">
        <v>648</v>
      </c>
    </row>
    <row r="27" spans="1:15" ht="28.8">
      <c r="M27" s="354" t="s">
        <v>10</v>
      </c>
      <c r="N27" s="355">
        <v>4</v>
      </c>
      <c r="O27" s="356" t="s">
        <v>649</v>
      </c>
    </row>
  </sheetData>
  <autoFilter ref="A2:I21" xr:uid="{BA5ADC1B-0962-497D-BA1C-3681721A6A16}"/>
  <phoneticPr fontId="20" type="noConversion"/>
  <conditionalFormatting sqref="A1">
    <cfRule type="duplicateValues" dxfId="227" priority="14"/>
  </conditionalFormatting>
  <conditionalFormatting sqref="F1:H1 J1">
    <cfRule type="containsText" dxfId="226" priority="9" operator="containsText" text="Pending">
      <formula>NOT(ISERROR(SEARCH("Pending",F1)))</formula>
    </cfRule>
  </conditionalFormatting>
  <conditionalFormatting sqref="E1:H1 J1">
    <cfRule type="containsText" dxfId="225" priority="8" operator="containsText" text="Condition">
      <formula>NOT(ISERROR(SEARCH("Condition",E1)))</formula>
    </cfRule>
  </conditionalFormatting>
  <conditionalFormatting sqref="F1:J1">
    <cfRule type="containsText" dxfId="224" priority="7" operator="containsText" text="Tx OK">
      <formula>NOT(ISERROR(SEARCH("Tx OK",F1)))</formula>
    </cfRule>
    <cfRule type="containsText" dxfId="223" priority="10" operator="containsText" text="MW Link OK">
      <formula>NOT(ISERROR(SEARCH("MW Link OK",F1)))</formula>
    </cfRule>
    <cfRule type="containsText" dxfId="222" priority="11" operator="containsText" text="Partially Removed">
      <formula>NOT(ISERROR(SEARCH("Partially Removed",F1)))</formula>
    </cfRule>
    <cfRule type="containsText" dxfId="221" priority="12" operator="containsText" text="Tx Pending">
      <formula>NOT(ISERROR(SEARCH("Tx Pending",F1)))</formula>
    </cfRule>
    <cfRule type="containsText" dxfId="220" priority="13" operator="containsText" text="MW Link Pending">
      <formula>NOT(ISERROR(SEARCH("MW Link Pending",F1)))</formula>
    </cfRule>
  </conditionalFormatting>
  <conditionalFormatting sqref="F1:H1 J1">
    <cfRule type="containsText" dxfId="219" priority="6" operator="containsText" text="Received">
      <formula>NOT(ISERROR(SEARCH("Received",F1)))</formula>
    </cfRule>
  </conditionalFormatting>
  <conditionalFormatting sqref="F1:H1 J1 F29:H1048576 F28:G28 N26:N27 N23:O25 J3:J1048576 F3:H22">
    <cfRule type="containsText" dxfId="218" priority="4" operator="containsText" text="Pending">
      <formula>NOT(ISERROR(SEARCH("Pending",F1)))</formula>
    </cfRule>
    <cfRule type="containsText" dxfId="217" priority="5" operator="containsText" text="Received">
      <formula>NOT(ISERROR(SEARCH("Received",F1)))</formula>
    </cfRule>
  </conditionalFormatting>
  <conditionalFormatting sqref="I3:J3">
    <cfRule type="containsText" dxfId="216" priority="2" operator="containsText" text="Pending">
      <formula>NOT(ISERROR(SEARCH("Pending",I3)))</formula>
    </cfRule>
    <cfRule type="containsText" dxfId="215" priority="3" operator="containsText" text="Received">
      <formula>NOT(ISERROR(SEARCH("Received",I3)))</formula>
    </cfRule>
  </conditionalFormatting>
  <conditionalFormatting sqref="A21">
    <cfRule type="duplicateValues" dxfId="214" priority="1"/>
  </conditionalFormatting>
  <conditionalFormatting sqref="A3:A20">
    <cfRule type="duplicateValues" dxfId="213" priority="663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CFC16-56D9-468A-9F15-E867D31C4CF5}">
  <sheetPr codeName="Sheet9"/>
  <dimension ref="A1:H39"/>
  <sheetViews>
    <sheetView topLeftCell="A18" zoomScale="90" zoomScaleNormal="90" workbookViewId="0">
      <selection activeCell="D40" sqref="D40"/>
    </sheetView>
  </sheetViews>
  <sheetFormatPr defaultRowHeight="14.4"/>
  <cols>
    <col min="1" max="1" width="18.21875" customWidth="1"/>
    <col min="2" max="2" width="26.21875" style="1" bestFit="1" customWidth="1"/>
    <col min="3" max="3" width="19.77734375" bestFit="1" customWidth="1"/>
    <col min="4" max="4" width="19.88671875" bestFit="1" customWidth="1"/>
    <col min="5" max="5" width="38.6640625" bestFit="1" customWidth="1"/>
    <col min="6" max="6" width="24.5546875" bestFit="1" customWidth="1"/>
    <col min="7" max="7" width="22.109375" style="1" bestFit="1" customWidth="1"/>
    <col min="8" max="8" width="35.33203125" bestFit="1" customWidth="1"/>
    <col min="9" max="9" width="19.109375" bestFit="1" customWidth="1"/>
    <col min="10" max="10" width="8.77734375" bestFit="1" customWidth="1"/>
    <col min="11" max="11" width="29.6640625" bestFit="1" customWidth="1"/>
    <col min="12" max="12" width="9.88671875" bestFit="1" customWidth="1"/>
  </cols>
  <sheetData>
    <row r="1" spans="1:7" ht="30" customHeight="1" thickBot="1">
      <c r="A1" s="65" t="s">
        <v>0</v>
      </c>
      <c r="B1" s="65" t="s">
        <v>1</v>
      </c>
      <c r="C1" s="65" t="s">
        <v>399</v>
      </c>
      <c r="D1" s="84" t="s">
        <v>15</v>
      </c>
      <c r="E1" s="84" t="s">
        <v>136</v>
      </c>
      <c r="F1" s="84" t="s">
        <v>135</v>
      </c>
      <c r="G1" s="84" t="s">
        <v>142</v>
      </c>
    </row>
    <row r="2" spans="1:7" s="152" customFormat="1" ht="19.95" customHeight="1" thickBot="1">
      <c r="A2" s="150">
        <f t="shared" ref="A2:G2" si="0">SUBTOTAL(103, A4:A128)</f>
        <v>18</v>
      </c>
      <c r="B2" s="150">
        <f t="shared" si="0"/>
        <v>18</v>
      </c>
      <c r="C2" s="150">
        <f t="shared" si="0"/>
        <v>32</v>
      </c>
      <c r="D2" s="151">
        <f t="shared" si="0"/>
        <v>31</v>
      </c>
      <c r="E2" s="151">
        <f t="shared" si="0"/>
        <v>31</v>
      </c>
      <c r="F2" s="151">
        <f t="shared" si="0"/>
        <v>32</v>
      </c>
      <c r="G2" s="151">
        <f t="shared" si="0"/>
        <v>32</v>
      </c>
    </row>
    <row r="3" spans="1:7" s="149" customFormat="1" ht="19.95" customHeight="1" thickBot="1">
      <c r="A3" s="147" t="s">
        <v>156</v>
      </c>
      <c r="B3" s="148" t="s">
        <v>157</v>
      </c>
      <c r="C3" s="78" t="str">
        <f>VLOOKUP(A3,'Full Plan'!A:I,8,)</f>
        <v>MW-HYB</v>
      </c>
      <c r="D3" s="79" t="str">
        <f>VLOOKUP(A3,'Full Plan'!A:J, 10,)</f>
        <v>On Air Pending</v>
      </c>
      <c r="E3" s="80" t="str">
        <f>VLOOKUP(A3,'Full Plan'!A:K, 11,)</f>
        <v>CSR Installed on 26th July</v>
      </c>
      <c r="F3" s="80" t="str">
        <f>VLOOKUP(A3,'Full Plan'!A:M, 13,)</f>
        <v>PAT Done on 26th July</v>
      </c>
      <c r="G3" s="128">
        <f>VLOOKUP(A3,'Full Plan'!A:AH, 34,)</f>
        <v>0</v>
      </c>
    </row>
    <row r="4" spans="1:7" s="149" customFormat="1" ht="19.95" customHeight="1" thickBot="1">
      <c r="A4" s="147" t="s">
        <v>171</v>
      </c>
      <c r="B4" s="148" t="s">
        <v>179</v>
      </c>
      <c r="C4" s="78" t="str">
        <f>VLOOKUP(A4,'Full Plan'!A:I,8,)</f>
        <v>MW-HYB</v>
      </c>
      <c r="D4" s="79" t="str">
        <f>VLOOKUP(A4,'Full Plan'!A:J, 10,)</f>
        <v>Installation Completed</v>
      </c>
      <c r="E4" s="80" t="str">
        <f>VLOOKUP(A4,'Full Plan'!A:K, 11,)</f>
        <v>No CSR at HUB, used back-to-back from Hub</v>
      </c>
      <c r="F4" s="80" t="str">
        <f>VLOOKUP(A4,'Full Plan'!A:M, 13,)</f>
        <v>PAT Done on 24th July</v>
      </c>
      <c r="G4" s="128">
        <f>VLOOKUP(A4,'Full Plan'!A:AH, 34,)</f>
        <v>0</v>
      </c>
    </row>
    <row r="5" spans="1:7" s="149" customFormat="1" ht="19.95" customHeight="1" thickBot="1">
      <c r="A5" s="147" t="s">
        <v>159</v>
      </c>
      <c r="B5" s="148" t="s">
        <v>160</v>
      </c>
      <c r="C5" s="78" t="str">
        <f>VLOOKUP(A5,'Full Plan'!A:I,8,)</f>
        <v>WiBAS</v>
      </c>
      <c r="D5" s="79" t="str">
        <f>VLOOKUP(A5,'Full Plan'!A:J, 10,)</f>
        <v>Partially On Air</v>
      </c>
      <c r="E5" s="80" t="str">
        <f>VLOOKUP(A5,'Full Plan'!A:K, 11,)</f>
        <v>No power at site, Hub changed due to access issue</v>
      </c>
      <c r="F5" s="80" t="str">
        <f>VLOOKUP(A5,'Full Plan'!A:M, 13,)</f>
        <v>PAT Plan on 27th July</v>
      </c>
      <c r="G5" s="128">
        <f>VLOOKUP(A5,'Full Plan'!A:AH, 34,)</f>
        <v>0</v>
      </c>
    </row>
    <row r="6" spans="1:7" s="149" customFormat="1" ht="19.95" customHeight="1" thickBot="1">
      <c r="A6" s="147" t="s">
        <v>154</v>
      </c>
      <c r="B6" s="148" t="s">
        <v>155</v>
      </c>
      <c r="C6" s="78" t="str">
        <f>VLOOKUP(A6,'Full Plan'!A:I,8,)</f>
        <v>MW-HYB</v>
      </c>
      <c r="D6" s="79" t="str">
        <f>VLOOKUP(A6,'Full Plan'!A:J, 10,)</f>
        <v>On Air Pending</v>
      </c>
      <c r="E6" s="80">
        <f>VLOOKUP(A6,'Full Plan'!A:K, 11,)</f>
        <v>0</v>
      </c>
      <c r="F6" s="80" t="str">
        <f>VLOOKUP(A6,'Full Plan'!A:M, 13,)</f>
        <v>PAT Plan on 29th July</v>
      </c>
      <c r="G6" s="128">
        <f>VLOOKUP(A6,'Full Plan'!A:AH, 34,)</f>
        <v>0</v>
      </c>
    </row>
    <row r="7" spans="1:7" s="149" customFormat="1" ht="19.95" customHeight="1" thickBot="1">
      <c r="A7" s="147" t="s">
        <v>169</v>
      </c>
      <c r="B7" s="148" t="s">
        <v>177</v>
      </c>
      <c r="C7" s="78" t="str">
        <f>VLOOKUP(A7,'Full Plan'!A:I,8,)</f>
        <v>MW-HYB</v>
      </c>
      <c r="D7" s="79" t="str">
        <f>VLOOKUP(A7,'Full Plan'!A:J, 10,)</f>
        <v>Installation Completed</v>
      </c>
      <c r="E7" s="80" t="str">
        <f>VLOOKUP(A7,'Full Plan'!A:K, 11,)</f>
        <v>TE Materials Delivered on 26th July</v>
      </c>
      <c r="F7" s="80">
        <f>VLOOKUP(A7,'Full Plan'!A:M, 13,)</f>
        <v>0</v>
      </c>
      <c r="G7" s="128">
        <f>VLOOKUP(A7,'Full Plan'!A:AH, 34,)</f>
        <v>0</v>
      </c>
    </row>
    <row r="8" spans="1:7" s="149" customFormat="1" ht="19.95" customHeight="1" thickBot="1">
      <c r="A8" s="147" t="s">
        <v>152</v>
      </c>
      <c r="B8" s="148" t="s">
        <v>153</v>
      </c>
      <c r="C8" s="78" t="str">
        <f>VLOOKUP(A8,'Full Plan'!A:I,8,)</f>
        <v>MW-HYB</v>
      </c>
      <c r="D8" s="79" t="str">
        <f>VLOOKUP(A8,'Full Plan'!A:J, 10,)</f>
        <v>Partially On Air</v>
      </c>
      <c r="E8" s="80">
        <f>VLOOKUP(A8,'Full Plan'!A:K, 11,)</f>
        <v>0</v>
      </c>
      <c r="F8" s="80" t="str">
        <f>VLOOKUP(A8,'Full Plan'!A:M, 13,)</f>
        <v>PAT Plan on 30th July</v>
      </c>
      <c r="G8" s="128">
        <f>VLOOKUP(A8,'Full Plan'!A:AH, 34,)</f>
        <v>0</v>
      </c>
    </row>
    <row r="9" spans="1:7" s="149" customFormat="1" ht="19.95" customHeight="1" thickBot="1">
      <c r="A9" s="147" t="s">
        <v>194</v>
      </c>
      <c r="B9" s="148" t="s">
        <v>195</v>
      </c>
      <c r="C9" s="78" t="str">
        <f>VLOOKUP(A9,'Full Plan'!A:I,8,)</f>
        <v>WiBAS</v>
      </c>
      <c r="D9" s="79" t="str">
        <f>VLOOKUP(A9,'Full Plan'!A:J, 10,)</f>
        <v>On Hold</v>
      </c>
      <c r="E9" s="80">
        <f>VLOOKUP(A9,'Full Plan'!A:K, 11,)</f>
        <v>0</v>
      </c>
      <c r="F9" s="80">
        <f>VLOOKUP(A9,'Full Plan'!A:M, 13,)</f>
        <v>0</v>
      </c>
      <c r="G9" s="128">
        <f>VLOOKUP(A9,'Full Plan'!A:AH, 34,)</f>
        <v>0</v>
      </c>
    </row>
    <row r="10" spans="1:7" s="149" customFormat="1" ht="19.95" customHeight="1" thickBot="1">
      <c r="A10" s="147" t="s">
        <v>202</v>
      </c>
      <c r="B10" s="148" t="s">
        <v>203</v>
      </c>
      <c r="C10" s="78" t="str">
        <f>VLOOKUP(A10,'Full Plan'!A:I,8,)</f>
        <v>MW-HYB</v>
      </c>
      <c r="D10" s="79" t="str">
        <f>VLOOKUP(A10,'Full Plan'!A:J, 10,)</f>
        <v>On Hold</v>
      </c>
      <c r="E10" s="80" t="str">
        <f>VLOOKUP(A10,'Full Plan'!A:K, 11,)</f>
        <v>Tx WO &amp; Mapping Pending</v>
      </c>
      <c r="F10" s="80">
        <f>VLOOKUP(A10,'Full Plan'!A:M, 13,)</f>
        <v>0</v>
      </c>
      <c r="G10" s="128">
        <f>VLOOKUP(A10,'Full Plan'!A:AH, 34,)</f>
        <v>0</v>
      </c>
    </row>
    <row r="11" spans="1:7" s="149" customFormat="1" ht="19.95" customHeight="1" thickBot="1">
      <c r="A11" s="147" t="s">
        <v>192</v>
      </c>
      <c r="B11" s="148" t="s">
        <v>193</v>
      </c>
      <c r="C11" s="78" t="str">
        <f>VLOOKUP(A11,'Full Plan'!A:I,8,)</f>
        <v>MW-HYB</v>
      </c>
      <c r="D11" s="79" t="str">
        <f>VLOOKUP(A11,'Full Plan'!A:J, 10,)</f>
        <v>Dispute</v>
      </c>
      <c r="E11" s="80" t="str">
        <f>VLOOKUP(A11,'Full Plan'!A:K, 11,)</f>
        <v>Dispute Ongoing</v>
      </c>
      <c r="F11" s="80">
        <f>VLOOKUP(A11,'Full Plan'!A:M, 13,)</f>
        <v>0</v>
      </c>
      <c r="G11" s="128">
        <f>VLOOKUP(A11,'Full Plan'!A:AH, 34,)</f>
        <v>0</v>
      </c>
    </row>
    <row r="12" spans="1:7" s="149" customFormat="1" ht="19.95" customHeight="1" thickBot="1">
      <c r="A12" s="147" t="s">
        <v>200</v>
      </c>
      <c r="B12" s="148" t="s">
        <v>201</v>
      </c>
      <c r="C12" s="78" t="str">
        <f>VLOOKUP(A12,'Full Plan'!A:I,8,)</f>
        <v>MW-HYB</v>
      </c>
      <c r="D12" s="79" t="str">
        <f>VLOOKUP(A12,'Full Plan'!A:J, 10,)</f>
        <v>On Hold</v>
      </c>
      <c r="E12" s="80" t="str">
        <f>VLOOKUP(A12,'Full Plan'!A:K, 11,)</f>
        <v>Tx WO &amp; Mapping Pending</v>
      </c>
      <c r="F12" s="80">
        <f>VLOOKUP(A12,'Full Plan'!A:M, 13,)</f>
        <v>0</v>
      </c>
      <c r="G12" s="128">
        <f>VLOOKUP(A12,'Full Plan'!A:AH, 34,)</f>
        <v>0</v>
      </c>
    </row>
    <row r="13" spans="1:7" s="149" customFormat="1" ht="19.95" customHeight="1" thickBot="1">
      <c r="A13" s="147" t="s">
        <v>204</v>
      </c>
      <c r="B13" s="148" t="s">
        <v>205</v>
      </c>
      <c r="C13" s="78" t="str">
        <f>VLOOKUP(A13,'Full Plan'!A:I,8,)</f>
        <v>WiBAS</v>
      </c>
      <c r="D13" s="79" t="str">
        <f>VLOOKUP(A13,'Full Plan'!A:J, 10,)</f>
        <v>On Hold</v>
      </c>
      <c r="E13" s="80" t="str">
        <f>VLOOKUP(A13,'Full Plan'!A:K, 11,)</f>
        <v>Tx WO &amp; Mapping Pending, BBU Pending</v>
      </c>
      <c r="F13" s="80">
        <f>VLOOKUP(A13,'Full Plan'!A:M, 13,)</f>
        <v>0</v>
      </c>
      <c r="G13" s="128">
        <f>VLOOKUP(A13,'Full Plan'!A:AH, 34,)</f>
        <v>0</v>
      </c>
    </row>
    <row r="14" spans="1:7" s="149" customFormat="1" ht="19.95" customHeight="1" thickBot="1">
      <c r="A14" s="76"/>
      <c r="B14" s="77"/>
      <c r="C14" s="78" t="e">
        <f>VLOOKUP(A14,'Full Plan'!A:I,8,)</f>
        <v>#N/A</v>
      </c>
      <c r="D14" s="79" t="e">
        <f>VLOOKUP(A14,'Full Plan'!A:J, 10,)</f>
        <v>#N/A</v>
      </c>
      <c r="E14" s="80" t="e">
        <f>VLOOKUP(A14,'Full Plan'!A:K, 11,)</f>
        <v>#N/A</v>
      </c>
      <c r="F14" s="80" t="e">
        <f>VLOOKUP(A14,'Full Plan'!A:M, 13,)</f>
        <v>#N/A</v>
      </c>
      <c r="G14" s="128" t="e">
        <f>VLOOKUP(A14,'Full Plan'!A:AH, 34,)</f>
        <v>#N/A</v>
      </c>
    </row>
    <row r="15" spans="1:7" s="149" customFormat="1" ht="19.95" customHeight="1" thickBot="1">
      <c r="A15" s="76"/>
      <c r="B15" s="77"/>
      <c r="C15" s="78" t="e">
        <f>VLOOKUP(A15,'Full Plan'!A:I,8,)</f>
        <v>#N/A</v>
      </c>
      <c r="D15" s="79" t="e">
        <f>VLOOKUP(A15,'Full Plan'!A:J, 10,)</f>
        <v>#N/A</v>
      </c>
      <c r="E15" s="80" t="e">
        <f>VLOOKUP(A15,'Full Plan'!A:K, 11,)</f>
        <v>#N/A</v>
      </c>
      <c r="F15" s="80" t="e">
        <f>VLOOKUP(A15,'Full Plan'!A:M, 13,)</f>
        <v>#N/A</v>
      </c>
      <c r="G15" s="128" t="e">
        <f>VLOOKUP(A15,'Full Plan'!A:AH, 34,)</f>
        <v>#N/A</v>
      </c>
    </row>
    <row r="16" spans="1:7" s="149" customFormat="1" ht="19.95" customHeight="1" thickBot="1">
      <c r="A16" s="76"/>
      <c r="B16" s="77"/>
      <c r="C16" s="78" t="e">
        <f>VLOOKUP(A16,'Full Plan'!A:I,8,)</f>
        <v>#N/A</v>
      </c>
      <c r="D16" s="79" t="e">
        <f>VLOOKUP(A16,'Full Plan'!A:J, 10,)</f>
        <v>#N/A</v>
      </c>
      <c r="E16" s="80" t="e">
        <f>VLOOKUP(A16,'Full Plan'!A:K, 11,)</f>
        <v>#N/A</v>
      </c>
      <c r="F16" s="80" t="e">
        <f>VLOOKUP(A16,'Full Plan'!A:M, 13,)</f>
        <v>#N/A</v>
      </c>
      <c r="G16" s="128" t="e">
        <f>VLOOKUP(A16,'Full Plan'!A:AH, 34,)</f>
        <v>#N/A</v>
      </c>
    </row>
    <row r="17" spans="1:8" s="149" customFormat="1" ht="19.95" customHeight="1" thickBot="1">
      <c r="A17" s="76"/>
      <c r="B17" s="77"/>
      <c r="C17" s="78" t="e">
        <f>VLOOKUP(A17,'Full Plan'!A:I,8,)</f>
        <v>#N/A</v>
      </c>
      <c r="D17" s="79" t="e">
        <f>VLOOKUP(A17,'Full Plan'!A:J, 10,)</f>
        <v>#N/A</v>
      </c>
      <c r="E17" s="80" t="e">
        <f>VLOOKUP(A17,'Full Plan'!A:K, 11,)</f>
        <v>#N/A</v>
      </c>
      <c r="F17" s="80" t="e">
        <f>VLOOKUP(A17,'Full Plan'!A:M, 13,)</f>
        <v>#N/A</v>
      </c>
      <c r="G17" s="128" t="e">
        <f>VLOOKUP(A17,'Full Plan'!A:AH, 34,)</f>
        <v>#N/A</v>
      </c>
    </row>
    <row r="18" spans="1:8" s="149" customFormat="1" ht="19.95" customHeight="1" thickBot="1">
      <c r="A18" s="76"/>
      <c r="B18" s="77"/>
      <c r="C18" s="78" t="e">
        <f>VLOOKUP(A18,'Full Plan'!A:I,8,)</f>
        <v>#N/A</v>
      </c>
      <c r="D18" s="79" t="e">
        <f>VLOOKUP(A18,'Full Plan'!A:J, 10,)</f>
        <v>#N/A</v>
      </c>
      <c r="E18" s="80" t="e">
        <f>VLOOKUP(A18,'Full Plan'!A:K, 11,)</f>
        <v>#N/A</v>
      </c>
      <c r="F18" s="80" t="e">
        <f>VLOOKUP(A18,'Full Plan'!A:M, 13,)</f>
        <v>#N/A</v>
      </c>
      <c r="G18" s="128" t="e">
        <f>VLOOKUP(A18,'Full Plan'!A:AH, 34,)</f>
        <v>#N/A</v>
      </c>
    </row>
    <row r="19" spans="1:8" s="149" customFormat="1" ht="19.95" customHeight="1" thickBot="1">
      <c r="A19" s="76"/>
      <c r="B19" s="77"/>
      <c r="C19" s="78" t="e">
        <f>VLOOKUP(A19,'Full Plan'!A:I,8,)</f>
        <v>#N/A</v>
      </c>
      <c r="D19" s="79" t="e">
        <f>VLOOKUP(A19,'Full Plan'!A:J, 10,)</f>
        <v>#N/A</v>
      </c>
      <c r="E19" s="80" t="e">
        <f>VLOOKUP(A19,'Full Plan'!A:K, 11,)</f>
        <v>#N/A</v>
      </c>
      <c r="F19" s="80" t="e">
        <f>VLOOKUP(A19,'Full Plan'!A:M, 13,)</f>
        <v>#N/A</v>
      </c>
      <c r="G19" s="128" t="e">
        <f>VLOOKUP(A19,'Full Plan'!A:AH, 34,)</f>
        <v>#N/A</v>
      </c>
    </row>
    <row r="20" spans="1:8" s="149" customFormat="1" ht="19.95" customHeight="1" thickBot="1">
      <c r="A20" s="76"/>
      <c r="B20" s="77"/>
      <c r="C20" s="78" t="e">
        <f>VLOOKUP(A20,'Full Plan'!A:I,8,)</f>
        <v>#N/A</v>
      </c>
      <c r="D20" s="79" t="e">
        <f>VLOOKUP(A20,'Full Plan'!A:J, 10,)</f>
        <v>#N/A</v>
      </c>
      <c r="E20" s="80" t="e">
        <f>VLOOKUP(A20,'Full Plan'!A:K, 11,)</f>
        <v>#N/A</v>
      </c>
      <c r="F20" s="80" t="e">
        <f>VLOOKUP(A20,'Full Plan'!A:M, 13,)</f>
        <v>#N/A</v>
      </c>
      <c r="G20" s="128" t="e">
        <f>VLOOKUP(A20,'Full Plan'!A:AH, 34,)</f>
        <v>#N/A</v>
      </c>
    </row>
    <row r="21" spans="1:8" s="149" customFormat="1" ht="19.95" customHeight="1" thickBot="1">
      <c r="A21" s="79"/>
      <c r="B21" s="81"/>
      <c r="C21" s="78" t="e">
        <f>VLOOKUP(A21,'Full Plan'!A:I,8,)</f>
        <v>#N/A</v>
      </c>
      <c r="D21" s="79" t="e">
        <f>VLOOKUP(A21,'Full Plan'!A:J, 10,)</f>
        <v>#N/A</v>
      </c>
      <c r="E21" s="80" t="e">
        <f>VLOOKUP(A21,'Full Plan'!A:K, 11,)</f>
        <v>#N/A</v>
      </c>
      <c r="F21" s="80" t="e">
        <f>VLOOKUP(A21,'Full Plan'!A:M, 13,)</f>
        <v>#N/A</v>
      </c>
      <c r="G21" s="128" t="e">
        <f>VLOOKUP(A21,'Full Plan'!A:AH, 34,)</f>
        <v>#N/A</v>
      </c>
    </row>
    <row r="22" spans="1:8" s="149" customFormat="1" ht="19.95" customHeight="1" thickBot="1">
      <c r="A22" s="79"/>
      <c r="B22" s="81"/>
      <c r="C22" s="78" t="e">
        <f>VLOOKUP(A22,'Full Plan'!A:I,8,)</f>
        <v>#N/A</v>
      </c>
      <c r="D22" s="79" t="e">
        <f>VLOOKUP(A22,'Full Plan'!A:J, 10,)</f>
        <v>#N/A</v>
      </c>
      <c r="E22" s="80" t="e">
        <f>VLOOKUP(A22,'Full Plan'!A:K, 11,)</f>
        <v>#N/A</v>
      </c>
      <c r="F22" s="80" t="e">
        <f>VLOOKUP(A22,'Full Plan'!A:M, 13,)</f>
        <v>#N/A</v>
      </c>
      <c r="G22" s="128" t="e">
        <f>VLOOKUP(A22,'Full Plan'!A:AH, 34,)</f>
        <v>#N/A</v>
      </c>
    </row>
    <row r="23" spans="1:8" s="149" customFormat="1" ht="19.95" customHeight="1" thickBot="1">
      <c r="A23" s="79"/>
      <c r="B23" s="81"/>
      <c r="C23" s="78" t="e">
        <f>VLOOKUP(A23,'Full Plan'!A:I,8,)</f>
        <v>#N/A</v>
      </c>
      <c r="D23" s="79" t="e">
        <f>VLOOKUP(A23,'Full Plan'!A:J, 10,)</f>
        <v>#N/A</v>
      </c>
      <c r="E23" s="80" t="e">
        <f>VLOOKUP(A23,'Full Plan'!A:K, 11,)</f>
        <v>#N/A</v>
      </c>
      <c r="F23" s="80" t="e">
        <f>VLOOKUP(A23,'Full Plan'!A:M, 13,)</f>
        <v>#N/A</v>
      </c>
      <c r="G23" s="128" t="e">
        <f>VLOOKUP(A23,'Full Plan'!A:AH, 34,)</f>
        <v>#N/A</v>
      </c>
    </row>
    <row r="24" spans="1:8" s="149" customFormat="1" ht="19.95" customHeight="1" thickBot="1">
      <c r="A24" s="76"/>
      <c r="B24" s="77"/>
      <c r="C24" s="78" t="e">
        <f>VLOOKUP(A24,'Full Plan'!A:I,8,)</f>
        <v>#N/A</v>
      </c>
      <c r="D24" s="79" t="e">
        <f>VLOOKUP(A24,'Full Plan'!A:J, 10,)</f>
        <v>#N/A</v>
      </c>
      <c r="E24" s="80" t="e">
        <f>VLOOKUP(A24,'Full Plan'!A:K, 11,)</f>
        <v>#N/A</v>
      </c>
      <c r="F24" s="80" t="e">
        <f>VLOOKUP(A24,'Full Plan'!A:M, 13,)</f>
        <v>#N/A</v>
      </c>
      <c r="G24" s="128" t="e">
        <f>VLOOKUP(A24,'Full Plan'!A:AH, 34,)</f>
        <v>#N/A</v>
      </c>
    </row>
    <row r="25" spans="1:8" s="149" customFormat="1" ht="19.95" customHeight="1" thickBot="1">
      <c r="A25" s="79"/>
      <c r="B25" s="81"/>
      <c r="C25" s="78" t="e">
        <f>VLOOKUP(A25,'Full Plan'!A:I,8,)</f>
        <v>#N/A</v>
      </c>
      <c r="D25" s="79" t="e">
        <f>VLOOKUP(A25,'Full Plan'!A:J, 10,)</f>
        <v>#N/A</v>
      </c>
      <c r="E25" s="80" t="e">
        <f>VLOOKUP(A25,'Full Plan'!A:K, 11,)</f>
        <v>#N/A</v>
      </c>
      <c r="F25" s="80" t="e">
        <f>VLOOKUP(A25,'Full Plan'!A:M, 13,)</f>
        <v>#N/A</v>
      </c>
      <c r="G25" s="128" t="e">
        <f>VLOOKUP(A25,'Full Plan'!A:AH, 34,)</f>
        <v>#N/A</v>
      </c>
    </row>
    <row r="26" spans="1:8" s="149" customFormat="1" ht="19.95" customHeight="1" thickBot="1">
      <c r="A26" s="76"/>
      <c r="B26" s="77"/>
      <c r="C26" s="78" t="e">
        <f>VLOOKUP(A26,'Full Plan'!A:I,8,)</f>
        <v>#N/A</v>
      </c>
      <c r="D26" s="79" t="e">
        <f>VLOOKUP(A26,'Full Plan'!A:J, 10,)</f>
        <v>#N/A</v>
      </c>
      <c r="E26" s="80" t="e">
        <f>VLOOKUP(A26,'Full Plan'!A:K, 11,)</f>
        <v>#N/A</v>
      </c>
      <c r="F26" s="80" t="e">
        <f>VLOOKUP(A26,'Full Plan'!A:M, 13,)</f>
        <v>#N/A</v>
      </c>
      <c r="G26" s="128" t="e">
        <f>VLOOKUP(A26,'Full Plan'!A:AH, 34,)</f>
        <v>#N/A</v>
      </c>
    </row>
    <row r="27" spans="1:8" s="149" customFormat="1" ht="19.95" customHeight="1" thickBot="1">
      <c r="A27" s="82"/>
      <c r="B27" s="83"/>
      <c r="C27" s="78" t="e">
        <f>VLOOKUP(A27,'Full Plan'!A:I,8,)</f>
        <v>#N/A</v>
      </c>
      <c r="D27" s="79" t="e">
        <f>VLOOKUP(A27,'Full Plan'!A:J, 10,)</f>
        <v>#N/A</v>
      </c>
      <c r="E27" s="80" t="e">
        <f>VLOOKUP(A27,'Full Plan'!A:K, 11,)</f>
        <v>#N/A</v>
      </c>
      <c r="F27" s="80" t="e">
        <f>VLOOKUP(A27,'Full Plan'!A:M, 13,)</f>
        <v>#N/A</v>
      </c>
      <c r="G27" s="128" t="e">
        <f>VLOOKUP(A27,'Full Plan'!A:AH, 34,)</f>
        <v>#N/A</v>
      </c>
    </row>
    <row r="32" spans="1:8" ht="34.950000000000003" customHeight="1">
      <c r="A32" s="124" t="s">
        <v>0</v>
      </c>
      <c r="B32" s="124" t="s">
        <v>1</v>
      </c>
      <c r="C32" s="217" t="s">
        <v>541</v>
      </c>
      <c r="D32" s="217" t="s">
        <v>542</v>
      </c>
      <c r="E32" s="217" t="s">
        <v>543</v>
      </c>
      <c r="F32" s="217" t="s">
        <v>544</v>
      </c>
      <c r="G32" s="217" t="s">
        <v>545</v>
      </c>
      <c r="H32" s="217" t="s">
        <v>546</v>
      </c>
    </row>
    <row r="33" spans="1:8">
      <c r="A33" s="113" t="s">
        <v>159</v>
      </c>
      <c r="B33" s="214" t="s">
        <v>160</v>
      </c>
      <c r="C33" s="219" t="s">
        <v>537</v>
      </c>
      <c r="D33" s="218">
        <v>46230</v>
      </c>
      <c r="E33" s="104" t="s">
        <v>478</v>
      </c>
      <c r="F33" s="104" t="s">
        <v>551</v>
      </c>
      <c r="G33" s="218">
        <v>46234</v>
      </c>
      <c r="H33" s="58"/>
    </row>
    <row r="34" spans="1:8">
      <c r="A34" s="113" t="s">
        <v>152</v>
      </c>
      <c r="B34" s="214" t="s">
        <v>153</v>
      </c>
      <c r="C34" s="219" t="s">
        <v>537</v>
      </c>
      <c r="D34" s="218">
        <v>46233</v>
      </c>
      <c r="E34" s="104" t="s">
        <v>490</v>
      </c>
      <c r="F34" s="104" t="s">
        <v>551</v>
      </c>
      <c r="G34" s="218">
        <v>46234</v>
      </c>
      <c r="H34" s="58"/>
    </row>
    <row r="35" spans="1:8">
      <c r="A35" s="113" t="s">
        <v>156</v>
      </c>
      <c r="B35" s="214" t="s">
        <v>157</v>
      </c>
      <c r="C35" s="59" t="s">
        <v>108</v>
      </c>
      <c r="D35" s="218">
        <v>46230</v>
      </c>
      <c r="E35" s="104" t="s">
        <v>476</v>
      </c>
      <c r="F35" s="104" t="s">
        <v>550</v>
      </c>
      <c r="G35" s="104" t="s">
        <v>550</v>
      </c>
      <c r="H35" s="58" t="s">
        <v>552</v>
      </c>
    </row>
    <row r="36" spans="1:8">
      <c r="A36" s="89" t="s">
        <v>154</v>
      </c>
      <c r="B36" s="215" t="s">
        <v>155</v>
      </c>
      <c r="C36" s="59" t="s">
        <v>108</v>
      </c>
      <c r="D36" s="218">
        <v>46234</v>
      </c>
      <c r="E36" s="104" t="s">
        <v>478</v>
      </c>
      <c r="F36" s="104" t="s">
        <v>77</v>
      </c>
      <c r="G36" s="104" t="s">
        <v>77</v>
      </c>
      <c r="H36" s="58" t="s">
        <v>77</v>
      </c>
    </row>
    <row r="37" spans="1:8">
      <c r="A37" s="58" t="s">
        <v>547</v>
      </c>
      <c r="B37" s="216" t="s">
        <v>548</v>
      </c>
      <c r="C37" s="59" t="s">
        <v>108</v>
      </c>
      <c r="D37" s="218">
        <v>46234</v>
      </c>
      <c r="E37" s="104" t="s">
        <v>549</v>
      </c>
      <c r="F37" s="104" t="s">
        <v>550</v>
      </c>
      <c r="G37" s="218">
        <v>46211</v>
      </c>
      <c r="H37" s="58" t="s">
        <v>553</v>
      </c>
    </row>
    <row r="38" spans="1:8">
      <c r="A38" s="21" t="s">
        <v>171</v>
      </c>
      <c r="B38" s="21" t="s">
        <v>179</v>
      </c>
      <c r="C38" s="59" t="s">
        <v>108</v>
      </c>
      <c r="D38" s="218">
        <v>46233</v>
      </c>
      <c r="E38" s="104" t="s">
        <v>490</v>
      </c>
      <c r="F38" s="104" t="s">
        <v>550</v>
      </c>
      <c r="G38" s="104" t="s">
        <v>550</v>
      </c>
      <c r="H38" s="58" t="s">
        <v>555</v>
      </c>
    </row>
    <row r="39" spans="1:8">
      <c r="A39" s="21" t="s">
        <v>169</v>
      </c>
      <c r="B39" s="21" t="s">
        <v>177</v>
      </c>
      <c r="C39" s="220" t="s">
        <v>554</v>
      </c>
      <c r="D39" s="104"/>
      <c r="E39" s="104"/>
      <c r="F39" s="104" t="s">
        <v>77</v>
      </c>
      <c r="G39" s="218">
        <v>46236</v>
      </c>
      <c r="H39" s="58"/>
    </row>
  </sheetData>
  <conditionalFormatting sqref="A2:G2">
    <cfRule type="expression" dxfId="212" priority="148">
      <formula>$V2=TODAY() +1</formula>
    </cfRule>
    <cfRule type="expression" dxfId="211" priority="149">
      <formula>$V2=TODAY()</formula>
    </cfRule>
  </conditionalFormatting>
  <conditionalFormatting sqref="D3:D27">
    <cfRule type="containsText" dxfId="210" priority="72" operator="containsText" text="To be Mobilized">
      <formula>NOT(ISERROR(SEARCH("To be Mobilized",D3)))</formula>
    </cfRule>
    <cfRule type="containsText" dxfId="209" priority="73" operator="containsText" text="Commissioning Pending">
      <formula>NOT(ISERROR(SEARCH("Commissioning Pending",D3)))</formula>
    </cfRule>
    <cfRule type="containsText" dxfId="208" priority="74" operator="containsText" text="On Air Pending">
      <formula>NOT(ISERROR(SEARCH("On Air Pending",D3)))</formula>
    </cfRule>
    <cfRule type="containsText" dxfId="207" priority="75" operator="containsText" text="On Air">
      <formula>NOT(ISERROR(SEARCH("On Air",D3)))</formula>
    </cfRule>
    <cfRule type="containsText" dxfId="206" priority="77" operator="containsText" text="Tx Pending">
      <formula>NOT(ISERROR(SEARCH("Tx Pending",D3)))</formula>
    </cfRule>
    <cfRule type="containsText" dxfId="205" priority="78" operator="containsText" text="Partially Completed">
      <formula>NOT(ISERROR(SEARCH("Partially Completed",D3)))</formula>
    </cfRule>
    <cfRule type="containsText" dxfId="204" priority="79" operator="containsText" text="On Hold">
      <formula>NOT(ISERROR(SEARCH("On Hold",D3)))</formula>
    </cfRule>
  </conditionalFormatting>
  <conditionalFormatting sqref="D3:D27">
    <cfRule type="containsText" dxfId="203" priority="69" operator="containsText" text="Installation Completed">
      <formula>NOT(ISERROR(SEARCH("Installation Completed",D3)))</formula>
    </cfRule>
    <cfRule type="containsText" dxfId="202" priority="76" operator="containsText" text="TE WIP">
      <formula>NOT(ISERROR(SEARCH("TE WIP",D3)))</formula>
    </cfRule>
  </conditionalFormatting>
  <conditionalFormatting sqref="B23">
    <cfRule type="duplicateValues" dxfId="201" priority="45"/>
  </conditionalFormatting>
  <conditionalFormatting sqref="A23">
    <cfRule type="duplicateValues" dxfId="200" priority="44"/>
  </conditionalFormatting>
  <conditionalFormatting sqref="B26:B27 B14:B22 B24">
    <cfRule type="duplicateValues" dxfId="199" priority="310"/>
  </conditionalFormatting>
  <conditionalFormatting sqref="A26:A27 A14:A22 A24">
    <cfRule type="duplicateValues" dxfId="198" priority="315"/>
  </conditionalFormatting>
  <conditionalFormatting sqref="A5:B13 A3:B3">
    <cfRule type="containsText" dxfId="197" priority="9" operator="containsText" text="Partially">
      <formula>NOT(ISERROR(SEARCH("Partially",A3)))</formula>
    </cfRule>
  </conditionalFormatting>
  <conditionalFormatting sqref="A4:B4">
    <cfRule type="containsText" dxfId="196" priority="6" operator="containsText" text="Partially">
      <formula>NOT(ISERROR(SEARCH("Partially",A4)))</formula>
    </cfRule>
  </conditionalFormatting>
  <conditionalFormatting sqref="A4:B4">
    <cfRule type="duplicateValues" dxfId="195" priority="7"/>
  </conditionalFormatting>
  <conditionalFormatting sqref="A3:A13">
    <cfRule type="duplicateValues" dxfId="194" priority="604"/>
  </conditionalFormatting>
  <conditionalFormatting sqref="A5:B13 A3:B3">
    <cfRule type="duplicateValues" dxfId="193" priority="641"/>
  </conditionalFormatting>
  <conditionalFormatting sqref="A37">
    <cfRule type="duplicateValues" dxfId="192" priority="2"/>
  </conditionalFormatting>
  <conditionalFormatting sqref="A33:A34">
    <cfRule type="duplicateValues" dxfId="191" priority="3"/>
  </conditionalFormatting>
  <conditionalFormatting sqref="A35:A36">
    <cfRule type="duplicateValues" dxfId="190" priority="4"/>
  </conditionalFormatting>
  <conditionalFormatting sqref="A38:A39">
    <cfRule type="duplicateValues" dxfId="189" priority="1"/>
  </conditionalFormatting>
  <conditionalFormatting sqref="A32">
    <cfRule type="duplicateValues" dxfId="188" priority="5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E1A6-E6D9-4287-B414-704C6BC83190}">
  <sheetPr codeName="Sheet4" filterMode="1"/>
  <dimension ref="A1:AS282"/>
  <sheetViews>
    <sheetView zoomScale="70" zoomScaleNormal="70" workbookViewId="0">
      <pane xSplit="4" ySplit="2" topLeftCell="M23" activePane="bottomRight" state="frozen"/>
      <selection activeCell="RR41" sqref="RR41"/>
      <selection pane="topRight" activeCell="RR41" sqref="RR41"/>
      <selection pane="bottomLeft" activeCell="RR41" sqref="RR41"/>
      <selection pane="bottomRight" activeCell="Z23" sqref="Z23"/>
    </sheetView>
  </sheetViews>
  <sheetFormatPr defaultColWidth="8.88671875" defaultRowHeight="13.2"/>
  <cols>
    <col min="1" max="1" width="12.33203125" style="57" bestFit="1" customWidth="1"/>
    <col min="2" max="2" width="28.33203125" style="57" bestFit="1" customWidth="1"/>
    <col min="3" max="3" width="35.5546875" style="57" bestFit="1" customWidth="1"/>
    <col min="4" max="4" width="15.88671875" style="55" bestFit="1" customWidth="1"/>
    <col min="5" max="5" width="16.33203125" style="57" bestFit="1" customWidth="1"/>
    <col min="6" max="6" width="29.33203125" style="57" bestFit="1" customWidth="1"/>
    <col min="7" max="7" width="21.88671875" style="94" bestFit="1" customWidth="1"/>
    <col min="8" max="8" width="15.44140625" style="94" bestFit="1" customWidth="1"/>
    <col min="9" max="9" width="13.77734375" style="94" bestFit="1" customWidth="1"/>
    <col min="10" max="10" width="29.33203125" style="94" bestFit="1" customWidth="1"/>
    <col min="11" max="11" width="16.33203125" style="94" bestFit="1" customWidth="1"/>
    <col min="12" max="12" width="19.109375" style="94" bestFit="1" customWidth="1"/>
    <col min="13" max="13" width="22.33203125" style="94" bestFit="1" customWidth="1"/>
    <col min="14" max="14" width="19.77734375" style="94" bestFit="1" customWidth="1"/>
    <col min="15" max="15" width="9.109375" style="94" bestFit="1" customWidth="1"/>
    <col min="16" max="16" width="20.33203125" style="55" bestFit="1" customWidth="1"/>
    <col min="17" max="17" width="27.44140625" style="55" bestFit="1" customWidth="1"/>
    <col min="18" max="18" width="14.44140625" style="55" bestFit="1" customWidth="1"/>
    <col min="19" max="19" width="14.6640625" style="55" bestFit="1" customWidth="1"/>
    <col min="20" max="20" width="14.44140625" style="55" bestFit="1" customWidth="1"/>
    <col min="21" max="21" width="16.88671875" style="55" bestFit="1" customWidth="1"/>
    <col min="22" max="22" width="22.44140625" style="55" bestFit="1" customWidth="1"/>
    <col min="23" max="23" width="14.44140625" style="55" bestFit="1" customWidth="1"/>
    <col min="24" max="24" width="22.44140625" style="55" customWidth="1"/>
    <col min="25" max="25" width="42.77734375" style="57" bestFit="1" customWidth="1"/>
    <col min="26" max="26" width="18.77734375" style="94" bestFit="1" customWidth="1"/>
    <col min="27" max="27" width="25.88671875" style="94" bestFit="1" customWidth="1"/>
    <col min="28" max="28" width="13.21875" style="94" bestFit="1" customWidth="1"/>
    <col min="29" max="29" width="14.6640625" style="94" bestFit="1" customWidth="1"/>
    <col min="30" max="30" width="14.109375" style="94" bestFit="1" customWidth="1"/>
    <col min="31" max="31" width="16.77734375" style="94" bestFit="1" customWidth="1"/>
    <col min="32" max="32" width="21" style="94" bestFit="1" customWidth="1"/>
    <col min="33" max="33" width="13.33203125" style="94" bestFit="1" customWidth="1"/>
    <col min="34" max="34" width="21" style="94" bestFit="1" customWidth="1"/>
    <col min="35" max="35" width="39.21875" style="95" bestFit="1" customWidth="1"/>
    <col min="36" max="36" width="22.21875" style="95" bestFit="1" customWidth="1"/>
    <col min="37" max="37" width="13.44140625" style="95" bestFit="1" customWidth="1"/>
    <col min="38" max="39" width="15.21875" style="95" bestFit="1" customWidth="1"/>
    <col min="40" max="40" width="45" style="95" bestFit="1" customWidth="1"/>
    <col min="41" max="41" width="18" style="95" bestFit="1" customWidth="1"/>
    <col min="42" max="42" width="40.44140625" style="95" bestFit="1" customWidth="1"/>
    <col min="43" max="43" width="7.88671875" style="94" bestFit="1" customWidth="1"/>
    <col min="44" max="44" width="25.88671875" style="94" bestFit="1" customWidth="1"/>
    <col min="45" max="45" width="19.109375" style="94" bestFit="1" customWidth="1"/>
    <col min="46" max="16384" width="8.88671875" style="6"/>
  </cols>
  <sheetData>
    <row r="1" spans="1:45" s="5" customFormat="1" ht="49.95" customHeight="1">
      <c r="A1" s="54" t="s">
        <v>25</v>
      </c>
      <c r="B1" s="54" t="s">
        <v>71</v>
      </c>
      <c r="C1" s="54" t="s">
        <v>116</v>
      </c>
      <c r="D1" s="54" t="s">
        <v>21</v>
      </c>
      <c r="E1" s="54" t="s">
        <v>26</v>
      </c>
      <c r="F1" s="54" t="s">
        <v>16</v>
      </c>
      <c r="G1" s="54" t="s">
        <v>27</v>
      </c>
      <c r="H1" s="54" t="s">
        <v>28</v>
      </c>
      <c r="I1" s="54" t="s">
        <v>29</v>
      </c>
      <c r="J1" s="54" t="s">
        <v>30</v>
      </c>
      <c r="K1" s="54" t="s">
        <v>31</v>
      </c>
      <c r="L1" s="54" t="s">
        <v>22</v>
      </c>
      <c r="M1" s="54" t="s">
        <v>32</v>
      </c>
      <c r="N1" s="54" t="s">
        <v>33</v>
      </c>
      <c r="O1" s="54" t="s">
        <v>34</v>
      </c>
      <c r="P1" s="54" t="s">
        <v>35</v>
      </c>
      <c r="Q1" s="54" t="s">
        <v>36</v>
      </c>
      <c r="R1" s="54" t="s">
        <v>37</v>
      </c>
      <c r="S1" s="54" t="s">
        <v>38</v>
      </c>
      <c r="T1" s="54" t="s">
        <v>39</v>
      </c>
      <c r="U1" s="54" t="s">
        <v>40</v>
      </c>
      <c r="V1" s="54" t="s">
        <v>41</v>
      </c>
      <c r="W1" s="54" t="s">
        <v>42</v>
      </c>
      <c r="X1" s="54" t="s">
        <v>43</v>
      </c>
      <c r="Y1" s="54" t="s">
        <v>44</v>
      </c>
      <c r="Z1" s="54" t="s">
        <v>45</v>
      </c>
      <c r="AA1" s="54" t="s">
        <v>46</v>
      </c>
      <c r="AB1" s="54" t="s">
        <v>47</v>
      </c>
      <c r="AC1" s="54" t="s">
        <v>48</v>
      </c>
      <c r="AD1" s="54" t="s">
        <v>49</v>
      </c>
      <c r="AE1" s="54" t="s">
        <v>50</v>
      </c>
      <c r="AF1" s="54" t="s">
        <v>51</v>
      </c>
      <c r="AG1" s="54" t="s">
        <v>52</v>
      </c>
      <c r="AH1" s="54" t="s">
        <v>53</v>
      </c>
      <c r="AI1" s="54" t="s">
        <v>54</v>
      </c>
      <c r="AJ1" s="54" t="s">
        <v>55</v>
      </c>
      <c r="AK1" s="54" t="s">
        <v>56</v>
      </c>
      <c r="AL1" s="54" t="s">
        <v>253</v>
      </c>
      <c r="AM1" s="54" t="s">
        <v>254</v>
      </c>
      <c r="AN1" s="54" t="s">
        <v>57</v>
      </c>
      <c r="AO1" s="54" t="s">
        <v>58</v>
      </c>
      <c r="AP1" s="54" t="s">
        <v>127</v>
      </c>
      <c r="AQ1" s="54" t="s">
        <v>45</v>
      </c>
      <c r="AR1" s="54" t="s">
        <v>46</v>
      </c>
      <c r="AS1" s="54" t="s">
        <v>134</v>
      </c>
    </row>
    <row r="2" spans="1:45" s="5" customFormat="1" ht="19.95" customHeight="1">
      <c r="A2" s="393">
        <f>SUBTOTAL(103, A3:A152)</f>
        <v>2</v>
      </c>
      <c r="B2" s="393">
        <f>SUBTOTAL(103, B3:B152)</f>
        <v>2</v>
      </c>
      <c r="C2" s="393">
        <f>SUBTOTAL(103, C3:C152)</f>
        <v>2</v>
      </c>
      <c r="D2" s="393">
        <f>SUBTOTAL(103, D3:D152)</f>
        <v>2</v>
      </c>
      <c r="E2" s="393">
        <f>SUBTOTAL(103, E3:E152)</f>
        <v>0</v>
      </c>
      <c r="F2" s="393">
        <f>SUBTOTAL(103, F3:F152)</f>
        <v>0</v>
      </c>
      <c r="G2" s="393">
        <f>SUBTOTAL(103, G3:G152)</f>
        <v>2</v>
      </c>
      <c r="H2" s="393">
        <f>SUBTOTAL(103, H3:H152)</f>
        <v>2</v>
      </c>
      <c r="I2" s="393">
        <f>SUBTOTAL(103, I3:I152)</f>
        <v>2</v>
      </c>
      <c r="J2" s="393">
        <f>SUBTOTAL(103, J3:J152)</f>
        <v>0</v>
      </c>
      <c r="K2" s="393">
        <f>SUBTOTAL(103, K3:K152)</f>
        <v>2</v>
      </c>
      <c r="L2" s="393">
        <f>SUBTOTAL(103, L3:L152)</f>
        <v>2</v>
      </c>
      <c r="M2" s="393">
        <f>SUBTOTAL(103, M3:M152)</f>
        <v>2</v>
      </c>
      <c r="N2" s="393">
        <f>SUBTOTAL(103, N3:N152)</f>
        <v>2</v>
      </c>
      <c r="O2" s="393">
        <f>SUBTOTAL(103, O3:O152)</f>
        <v>2</v>
      </c>
      <c r="P2" s="393">
        <f>SUBTOTAL(103, P3:P152)</f>
        <v>2</v>
      </c>
      <c r="Q2" s="393">
        <f>SUBTOTAL(103, Q3:Q152)</f>
        <v>2</v>
      </c>
      <c r="R2" s="393">
        <f>SUBTOTAL(103, R3:R152)</f>
        <v>2</v>
      </c>
      <c r="S2" s="393">
        <f>SUBTOTAL(103, S3:S152)</f>
        <v>2</v>
      </c>
      <c r="T2" s="393">
        <f>SUBTOTAL(103, T3:T152)</f>
        <v>2</v>
      </c>
      <c r="U2" s="393">
        <f>SUBTOTAL(103, U3:U152)</f>
        <v>2</v>
      </c>
      <c r="V2" s="393">
        <f>SUBTOTAL(103, V3:V152)</f>
        <v>2</v>
      </c>
      <c r="W2" s="393">
        <f>SUBTOTAL(103, W3:W152)</f>
        <v>2</v>
      </c>
      <c r="X2" s="393">
        <f>SUBTOTAL(103, X3:X152)</f>
        <v>2</v>
      </c>
      <c r="Y2" s="393">
        <f>SUBTOTAL(103, Y3:Y152)</f>
        <v>2</v>
      </c>
      <c r="Z2" s="393">
        <f>SUBTOTAL(103, Z3:Z152)</f>
        <v>2</v>
      </c>
      <c r="AA2" s="393">
        <f>SUBTOTAL(103, AA3:AA152)</f>
        <v>2</v>
      </c>
      <c r="AB2" s="393">
        <f>SUBTOTAL(103, AB3:AB152)</f>
        <v>2</v>
      </c>
      <c r="AC2" s="393">
        <f>SUBTOTAL(103, AC3:AC152)</f>
        <v>2</v>
      </c>
      <c r="AD2" s="393">
        <f>SUBTOTAL(103, AD3:AD152)</f>
        <v>2</v>
      </c>
      <c r="AE2" s="393">
        <f>SUBTOTAL(103, AE3:AE152)</f>
        <v>2</v>
      </c>
      <c r="AF2" s="393">
        <f>SUBTOTAL(103, AF3:AF152)</f>
        <v>2</v>
      </c>
      <c r="AG2" s="393">
        <f>SUBTOTAL(103, AG3:AG152)</f>
        <v>2</v>
      </c>
      <c r="AH2" s="393">
        <f>SUBTOTAL(103, AH3:AH152)</f>
        <v>2</v>
      </c>
      <c r="AI2" s="393">
        <f>SUBTOTAL(103, AI3:AI152)</f>
        <v>2</v>
      </c>
      <c r="AJ2" s="393">
        <f>SUBTOTAL(103, AJ3:AJ152)</f>
        <v>2</v>
      </c>
      <c r="AK2" s="393">
        <f>SUBTOTAL(103, AK3:AK152)</f>
        <v>2</v>
      </c>
      <c r="AL2" s="393">
        <f>SUBTOTAL(103, AL3:AL152)</f>
        <v>2</v>
      </c>
      <c r="AM2" s="393">
        <f>SUBTOTAL(103, AM3:AM152)</f>
        <v>2</v>
      </c>
      <c r="AN2" s="393">
        <f>SUBTOTAL(103, AN3:AN152)</f>
        <v>2</v>
      </c>
      <c r="AO2" s="393">
        <f>SUBTOTAL(103, AO3:AO152)</f>
        <v>2</v>
      </c>
      <c r="AP2" s="393">
        <f>SUBTOTAL(103, AP3:AP152)</f>
        <v>0</v>
      </c>
      <c r="AQ2" s="393">
        <f>SUBTOTAL(103, AQ3:AQ152)</f>
        <v>2</v>
      </c>
      <c r="AR2" s="393">
        <f>SUBTOTAL(103, AR3:AR152)</f>
        <v>2</v>
      </c>
      <c r="AS2" s="393">
        <f>SUBTOTAL(103, AS3:AS152)</f>
        <v>2</v>
      </c>
    </row>
    <row r="3" spans="1:45" ht="19.95" hidden="1" customHeight="1">
      <c r="A3" s="394" t="s">
        <v>152</v>
      </c>
      <c r="B3" s="395" t="s">
        <v>153</v>
      </c>
      <c r="C3" s="395" t="s">
        <v>174</v>
      </c>
      <c r="D3" s="37" t="str">
        <f>VLOOKUP(A3,'Full Plan'!A:H,8,)</f>
        <v>MW-HYB</v>
      </c>
      <c r="E3" s="23" t="s">
        <v>184</v>
      </c>
      <c r="F3" s="395" t="s">
        <v>161</v>
      </c>
      <c r="G3" s="14" t="s">
        <v>61</v>
      </c>
      <c r="H3" s="14" t="s">
        <v>59</v>
      </c>
      <c r="I3" s="14">
        <v>400</v>
      </c>
      <c r="J3" s="14"/>
      <c r="K3" s="14" t="s">
        <v>60</v>
      </c>
      <c r="L3" s="14" t="s">
        <v>235</v>
      </c>
      <c r="M3" s="14">
        <v>3.58</v>
      </c>
      <c r="N3" s="14">
        <v>20</v>
      </c>
      <c r="O3" s="14">
        <v>-29.05</v>
      </c>
      <c r="P3" s="396" t="s">
        <v>152</v>
      </c>
      <c r="Q3" s="396" t="s">
        <v>153</v>
      </c>
      <c r="R3" s="13">
        <v>9.4768559999999997</v>
      </c>
      <c r="S3" s="13">
        <v>80.190871999999999</v>
      </c>
      <c r="T3" s="15">
        <v>0</v>
      </c>
      <c r="U3" s="15">
        <v>17920</v>
      </c>
      <c r="V3" s="15">
        <v>0.6</v>
      </c>
      <c r="W3" s="15">
        <v>46</v>
      </c>
      <c r="X3" s="15">
        <v>27</v>
      </c>
      <c r="Y3" s="51" t="s">
        <v>236</v>
      </c>
      <c r="Z3" s="22" t="s">
        <v>237</v>
      </c>
      <c r="AA3" s="22" t="s">
        <v>238</v>
      </c>
      <c r="AB3" s="22">
        <v>9.4992400000000004</v>
      </c>
      <c r="AC3" s="22">
        <v>80.214393000000001</v>
      </c>
      <c r="AD3" s="22">
        <v>0</v>
      </c>
      <c r="AE3" s="22">
        <v>18930</v>
      </c>
      <c r="AF3" s="22">
        <v>1.2</v>
      </c>
      <c r="AG3" s="22">
        <v>226</v>
      </c>
      <c r="AH3" s="22">
        <v>30</v>
      </c>
      <c r="AI3" s="56" t="s">
        <v>239</v>
      </c>
      <c r="AJ3" s="23" t="s">
        <v>243</v>
      </c>
      <c r="AK3" s="23" t="s">
        <v>241</v>
      </c>
      <c r="AL3" s="23" t="s">
        <v>242</v>
      </c>
      <c r="AM3" s="23" t="s">
        <v>240</v>
      </c>
      <c r="AN3" s="23" t="s">
        <v>244</v>
      </c>
      <c r="AO3" s="23" t="s">
        <v>245</v>
      </c>
      <c r="AP3" s="23"/>
      <c r="AQ3" s="34" t="str">
        <f>Z3</f>
        <v>KI0023</v>
      </c>
      <c r="AR3" s="34" t="str">
        <f>AA3</f>
        <v>Pooneryne_DTL</v>
      </c>
      <c r="AS3" s="34" t="str">
        <f>L3</f>
        <v>18G3920</v>
      </c>
    </row>
    <row r="4" spans="1:45" ht="19.2" hidden="1" customHeight="1">
      <c r="A4" s="394" t="s">
        <v>154</v>
      </c>
      <c r="B4" s="395" t="s">
        <v>155</v>
      </c>
      <c r="C4" s="395" t="s">
        <v>174</v>
      </c>
      <c r="D4" s="37" t="str">
        <f>VLOOKUP(A4,'Full Plan'!A:H,8,)</f>
        <v>MW-HYB</v>
      </c>
      <c r="E4" s="23" t="s">
        <v>185</v>
      </c>
      <c r="F4" s="395" t="s">
        <v>161</v>
      </c>
      <c r="G4" s="14" t="s">
        <v>61</v>
      </c>
      <c r="H4" s="14" t="s">
        <v>59</v>
      </c>
      <c r="I4" s="14">
        <v>400</v>
      </c>
      <c r="J4" s="14"/>
      <c r="K4" s="14" t="s">
        <v>60</v>
      </c>
      <c r="L4" s="14" t="s">
        <v>246</v>
      </c>
      <c r="M4" s="14">
        <v>3.17</v>
      </c>
      <c r="N4" s="14">
        <v>20</v>
      </c>
      <c r="O4" s="14">
        <v>-27.99</v>
      </c>
      <c r="P4" s="396" t="s">
        <v>154</v>
      </c>
      <c r="Q4" s="396" t="s">
        <v>155</v>
      </c>
      <c r="R4" s="13">
        <v>9.4910460000000008</v>
      </c>
      <c r="S4" s="13">
        <v>80.186674999999994</v>
      </c>
      <c r="T4" s="15">
        <v>0</v>
      </c>
      <c r="U4" s="15">
        <v>17920</v>
      </c>
      <c r="V4" s="15">
        <v>0.6</v>
      </c>
      <c r="W4" s="15">
        <v>73</v>
      </c>
      <c r="X4" s="15">
        <v>27</v>
      </c>
      <c r="Y4" s="51" t="s">
        <v>247</v>
      </c>
      <c r="Z4" s="22" t="s">
        <v>237</v>
      </c>
      <c r="AA4" s="22" t="s">
        <v>238</v>
      </c>
      <c r="AB4" s="22">
        <v>9.4992400000000004</v>
      </c>
      <c r="AC4" s="22">
        <v>80.214393000000001</v>
      </c>
      <c r="AD4" s="22">
        <v>0</v>
      </c>
      <c r="AE4" s="22">
        <v>18930</v>
      </c>
      <c r="AF4" s="22">
        <v>1.2</v>
      </c>
      <c r="AG4" s="22">
        <v>253</v>
      </c>
      <c r="AH4" s="22">
        <v>35</v>
      </c>
      <c r="AI4" s="56" t="s">
        <v>248</v>
      </c>
      <c r="AJ4" s="23" t="s">
        <v>252</v>
      </c>
      <c r="AK4" s="23" t="s">
        <v>250</v>
      </c>
      <c r="AL4" s="23" t="s">
        <v>251</v>
      </c>
      <c r="AM4" s="23" t="s">
        <v>249</v>
      </c>
      <c r="AN4" s="23" t="s">
        <v>244</v>
      </c>
      <c r="AO4" s="23" t="s">
        <v>255</v>
      </c>
      <c r="AP4" s="23"/>
      <c r="AQ4" s="34" t="str">
        <f>Z4</f>
        <v>KI0023</v>
      </c>
      <c r="AR4" s="34" t="str">
        <f>AA4</f>
        <v>Pooneryne_DTL</v>
      </c>
      <c r="AS4" s="34" t="str">
        <f>L4</f>
        <v>18G3921</v>
      </c>
    </row>
    <row r="5" spans="1:45" ht="19.95" hidden="1" customHeight="1">
      <c r="A5" s="394" t="s">
        <v>156</v>
      </c>
      <c r="B5" s="397" t="s">
        <v>157</v>
      </c>
      <c r="C5" s="395" t="s">
        <v>174</v>
      </c>
      <c r="D5" s="37" t="str">
        <f>VLOOKUP(A5,'Full Plan'!A:H,8,)</f>
        <v>MW-HYB</v>
      </c>
      <c r="E5" s="23" t="s">
        <v>186</v>
      </c>
      <c r="F5" s="395"/>
      <c r="G5" s="14" t="s">
        <v>61</v>
      </c>
      <c r="H5" s="14" t="s">
        <v>59</v>
      </c>
      <c r="I5" s="14">
        <v>400</v>
      </c>
      <c r="J5" s="14"/>
      <c r="K5" s="14" t="s">
        <v>60</v>
      </c>
      <c r="L5" s="14" t="s">
        <v>222</v>
      </c>
      <c r="M5" s="14">
        <v>3.16</v>
      </c>
      <c r="N5" s="14">
        <v>20</v>
      </c>
      <c r="O5" s="14">
        <v>-32.97</v>
      </c>
      <c r="P5" s="396" t="s">
        <v>156</v>
      </c>
      <c r="Q5" s="396" t="s">
        <v>157</v>
      </c>
      <c r="R5" s="13">
        <v>8.7992709999999992</v>
      </c>
      <c r="S5" s="13">
        <v>79.982692</v>
      </c>
      <c r="T5" s="15">
        <v>7.44</v>
      </c>
      <c r="U5" s="15">
        <v>17920</v>
      </c>
      <c r="V5" s="15">
        <v>0.6</v>
      </c>
      <c r="W5" s="15">
        <v>111</v>
      </c>
      <c r="X5" s="15">
        <v>25</v>
      </c>
      <c r="Y5" s="51" t="s">
        <v>223</v>
      </c>
      <c r="Z5" s="22" t="s">
        <v>224</v>
      </c>
      <c r="AA5" s="22" t="s">
        <v>225</v>
      </c>
      <c r="AB5" s="22">
        <v>8.7889119999999998</v>
      </c>
      <c r="AC5" s="22">
        <v>80.009517000000002</v>
      </c>
      <c r="AD5" s="22">
        <v>11.3</v>
      </c>
      <c r="AE5" s="22">
        <v>18930</v>
      </c>
      <c r="AF5" s="22">
        <v>0.6</v>
      </c>
      <c r="AG5" s="22">
        <v>291</v>
      </c>
      <c r="AH5" s="22">
        <v>25</v>
      </c>
      <c r="AI5" s="56" t="s">
        <v>226</v>
      </c>
      <c r="AJ5" s="23" t="s">
        <v>230</v>
      </c>
      <c r="AK5" s="23" t="s">
        <v>229</v>
      </c>
      <c r="AL5" s="23" t="s">
        <v>228</v>
      </c>
      <c r="AM5" s="23" t="s">
        <v>227</v>
      </c>
      <c r="AN5" s="23" t="s">
        <v>466</v>
      </c>
      <c r="AO5" s="23" t="s">
        <v>465</v>
      </c>
      <c r="AP5" s="23"/>
      <c r="AQ5" s="34" t="str">
        <f>Z5</f>
        <v>MA0035</v>
      </c>
      <c r="AR5" s="34" t="str">
        <f>AA5</f>
        <v>Veppankulam</v>
      </c>
      <c r="AS5" s="34" t="str">
        <f>L5</f>
        <v>18G3917</v>
      </c>
    </row>
    <row r="6" spans="1:45" ht="19.95" hidden="1" customHeight="1">
      <c r="A6" s="394" t="s">
        <v>171</v>
      </c>
      <c r="B6" s="395" t="s">
        <v>179</v>
      </c>
      <c r="C6" s="395" t="s">
        <v>176</v>
      </c>
      <c r="D6" s="37" t="str">
        <f>VLOOKUP(A6,'Full Plan'!A:H,8,)</f>
        <v>MW-HYB</v>
      </c>
      <c r="E6" s="23" t="s">
        <v>187</v>
      </c>
      <c r="F6" s="395"/>
      <c r="G6" s="14" t="s">
        <v>61</v>
      </c>
      <c r="H6" s="14" t="s">
        <v>59</v>
      </c>
      <c r="I6" s="14">
        <v>400</v>
      </c>
      <c r="J6" s="14"/>
      <c r="K6" s="14" t="s">
        <v>60</v>
      </c>
      <c r="L6" s="14" t="s">
        <v>259</v>
      </c>
      <c r="M6" s="14">
        <v>2.5299999999999998</v>
      </c>
      <c r="N6" s="14">
        <v>20</v>
      </c>
      <c r="O6" s="14">
        <v>-31.83</v>
      </c>
      <c r="P6" s="396" t="s">
        <v>171</v>
      </c>
      <c r="Q6" s="396" t="s">
        <v>179</v>
      </c>
      <c r="R6" s="13">
        <v>9.2157149999999994</v>
      </c>
      <c r="S6" s="13">
        <v>80.635919999999999</v>
      </c>
      <c r="T6" s="15">
        <v>0</v>
      </c>
      <c r="U6" s="15">
        <v>17920</v>
      </c>
      <c r="V6" s="15">
        <v>0.6</v>
      </c>
      <c r="W6" s="15">
        <v>120</v>
      </c>
      <c r="X6" s="15">
        <v>27</v>
      </c>
      <c r="Y6" s="51" t="s">
        <v>260</v>
      </c>
      <c r="Z6" s="22" t="s">
        <v>261</v>
      </c>
      <c r="AA6" s="22" t="s">
        <v>262</v>
      </c>
      <c r="AB6" s="22">
        <v>9.2043300000000006</v>
      </c>
      <c r="AC6" s="22">
        <v>80.655900000000003</v>
      </c>
      <c r="AD6" s="22">
        <v>0</v>
      </c>
      <c r="AE6" s="22">
        <v>18930</v>
      </c>
      <c r="AF6" s="22">
        <v>0.6</v>
      </c>
      <c r="AG6" s="22">
        <v>300</v>
      </c>
      <c r="AH6" s="22">
        <v>30</v>
      </c>
      <c r="AI6" s="56" t="s">
        <v>263</v>
      </c>
      <c r="AJ6" s="23" t="s">
        <v>269</v>
      </c>
      <c r="AK6" s="23" t="s">
        <v>270</v>
      </c>
      <c r="AL6" s="23" t="s">
        <v>268</v>
      </c>
      <c r="AM6" s="23" t="s">
        <v>267</v>
      </c>
      <c r="AN6" s="23" t="s">
        <v>271</v>
      </c>
      <c r="AO6" s="23" t="s">
        <v>126</v>
      </c>
      <c r="AP6" s="23"/>
      <c r="AQ6" s="34" t="str">
        <f>Z6</f>
        <v>MU0052</v>
      </c>
      <c r="AR6" s="34" t="str">
        <f>AA6</f>
        <v>Muthiankattu</v>
      </c>
      <c r="AS6" s="34" t="str">
        <f>L6</f>
        <v>18G3922</v>
      </c>
    </row>
    <row r="7" spans="1:45" ht="19.95" hidden="1" customHeight="1">
      <c r="A7" s="394" t="s">
        <v>159</v>
      </c>
      <c r="B7" s="395" t="s">
        <v>160</v>
      </c>
      <c r="C7" s="395" t="s">
        <v>176</v>
      </c>
      <c r="D7" s="37" t="str">
        <f>VLOOKUP(A7,'Full Plan'!A:H,8,)</f>
        <v>WiBAS</v>
      </c>
      <c r="E7" s="23" t="s">
        <v>188</v>
      </c>
      <c r="F7" s="23"/>
      <c r="G7" s="14" t="s">
        <v>92</v>
      </c>
      <c r="H7" s="14" t="s">
        <v>59</v>
      </c>
      <c r="I7" s="14">
        <v>200</v>
      </c>
      <c r="J7" s="398" t="s">
        <v>128</v>
      </c>
      <c r="K7" s="14" t="s">
        <v>60</v>
      </c>
      <c r="L7" s="14" t="s">
        <v>281</v>
      </c>
      <c r="M7" s="14">
        <v>4.8</v>
      </c>
      <c r="N7" s="14">
        <v>20</v>
      </c>
      <c r="O7" s="14">
        <v>-50</v>
      </c>
      <c r="P7" s="15" t="s">
        <v>159</v>
      </c>
      <c r="Q7" s="15" t="s">
        <v>160</v>
      </c>
      <c r="R7" s="15">
        <v>9.4291820000000008</v>
      </c>
      <c r="S7" s="15">
        <v>80.572123000000005</v>
      </c>
      <c r="T7" s="15">
        <v>7.92</v>
      </c>
      <c r="U7" s="15">
        <v>10567</v>
      </c>
      <c r="V7" s="15">
        <v>0.3</v>
      </c>
      <c r="W7" s="15">
        <v>248</v>
      </c>
      <c r="X7" s="15">
        <v>19</v>
      </c>
      <c r="Y7" s="51" t="s">
        <v>451</v>
      </c>
      <c r="Z7" s="22" t="s">
        <v>445</v>
      </c>
      <c r="AA7" s="22" t="s">
        <v>449</v>
      </c>
      <c r="AB7" s="22">
        <v>9.4107299999999992</v>
      </c>
      <c r="AC7" s="22">
        <v>80.522099999999995</v>
      </c>
      <c r="AD7" s="22">
        <v>0</v>
      </c>
      <c r="AE7" s="22">
        <v>10217</v>
      </c>
      <c r="AF7" s="22">
        <v>0.6</v>
      </c>
      <c r="AG7" s="22">
        <v>67</v>
      </c>
      <c r="AH7" s="22">
        <v>30</v>
      </c>
      <c r="AI7" s="56" t="s">
        <v>450</v>
      </c>
      <c r="AJ7" s="129" t="s">
        <v>280</v>
      </c>
      <c r="AK7" s="129"/>
      <c r="AL7" s="129" t="s">
        <v>279</v>
      </c>
      <c r="AM7" s="129" t="s">
        <v>446</v>
      </c>
      <c r="AN7" s="129" t="s">
        <v>447</v>
      </c>
      <c r="AO7" s="129" t="s">
        <v>448</v>
      </c>
      <c r="AP7" s="23"/>
      <c r="AQ7" s="34" t="str">
        <f>Z7</f>
        <v>KI0034</v>
      </c>
      <c r="AR7" s="34" t="str">
        <f>AA7</f>
        <v>Dharmapuram</v>
      </c>
      <c r="AS7" s="34" t="str">
        <f>L7</f>
        <v>10G1549</v>
      </c>
    </row>
    <row r="8" spans="1:45" ht="19.95" hidden="1" customHeight="1">
      <c r="A8" s="394" t="s">
        <v>169</v>
      </c>
      <c r="B8" s="395" t="s">
        <v>177</v>
      </c>
      <c r="C8" s="395" t="s">
        <v>176</v>
      </c>
      <c r="D8" s="37" t="str">
        <f>VLOOKUP(A8,'Full Plan'!A:H,8,)</f>
        <v>MW-HYB</v>
      </c>
      <c r="E8" s="23" t="s">
        <v>309</v>
      </c>
      <c r="F8" s="23"/>
      <c r="G8" s="14" t="s">
        <v>61</v>
      </c>
      <c r="H8" s="14" t="s">
        <v>59</v>
      </c>
      <c r="I8" s="14">
        <v>400</v>
      </c>
      <c r="J8" s="14"/>
      <c r="K8" s="14" t="s">
        <v>60</v>
      </c>
      <c r="L8" s="14" t="s">
        <v>424</v>
      </c>
      <c r="M8" s="14">
        <v>4.5599999999999996</v>
      </c>
      <c r="N8" s="14">
        <v>20</v>
      </c>
      <c r="O8" s="14">
        <v>-31.15</v>
      </c>
      <c r="P8" s="15" t="s">
        <v>169</v>
      </c>
      <c r="Q8" s="15" t="s">
        <v>177</v>
      </c>
      <c r="R8" s="15">
        <v>9.2143449999999998</v>
      </c>
      <c r="S8" s="15">
        <v>80.324506999999997</v>
      </c>
      <c r="T8" s="15">
        <v>0</v>
      </c>
      <c r="U8" s="15">
        <v>17920</v>
      </c>
      <c r="V8" s="15">
        <v>0.6</v>
      </c>
      <c r="W8" s="15">
        <v>307</v>
      </c>
      <c r="X8" s="15">
        <v>19</v>
      </c>
      <c r="Y8" s="51" t="s">
        <v>425</v>
      </c>
      <c r="Z8" s="22" t="s">
        <v>426</v>
      </c>
      <c r="AA8" s="22" t="s">
        <v>428</v>
      </c>
      <c r="AB8" s="22">
        <v>9.2392249999999994</v>
      </c>
      <c r="AC8" s="22">
        <v>80.291433330000004</v>
      </c>
      <c r="AD8" s="22">
        <v>0</v>
      </c>
      <c r="AE8" s="22">
        <v>18930</v>
      </c>
      <c r="AF8" s="22">
        <v>1.2</v>
      </c>
      <c r="AG8" s="22">
        <v>127</v>
      </c>
      <c r="AH8" s="22">
        <v>30</v>
      </c>
      <c r="AI8" s="56" t="s">
        <v>427</v>
      </c>
      <c r="AJ8" s="129" t="s">
        <v>452</v>
      </c>
      <c r="AK8" s="129" t="s">
        <v>453</v>
      </c>
      <c r="AL8" s="129" t="s">
        <v>430</v>
      </c>
      <c r="AM8" s="129" t="s">
        <v>429</v>
      </c>
      <c r="AN8" s="129" t="s">
        <v>431</v>
      </c>
      <c r="AO8" s="129" t="s">
        <v>432</v>
      </c>
      <c r="AP8" s="23"/>
      <c r="AQ8" s="34" t="str">
        <f>Z8</f>
        <v>MU0045</v>
      </c>
      <c r="AR8" s="34" t="str">
        <f>AA8</f>
        <v>Thunukkai_North</v>
      </c>
      <c r="AS8" s="34" t="str">
        <f>L8</f>
        <v>18G3926</v>
      </c>
    </row>
    <row r="9" spans="1:45" ht="19.95" hidden="1" customHeight="1">
      <c r="A9" s="399" t="s">
        <v>200</v>
      </c>
      <c r="B9" s="395" t="s">
        <v>201</v>
      </c>
      <c r="C9" s="395" t="s">
        <v>218</v>
      </c>
      <c r="D9" s="37" t="str">
        <f>VLOOKUP(A9,'Full Plan'!A:H,8,)</f>
        <v>MW-HYB</v>
      </c>
      <c r="E9" s="23" t="s">
        <v>496</v>
      </c>
      <c r="F9" s="23"/>
      <c r="G9" s="14" t="s">
        <v>61</v>
      </c>
      <c r="H9" s="14" t="s">
        <v>59</v>
      </c>
      <c r="I9" s="14">
        <v>400</v>
      </c>
      <c r="J9" s="14"/>
      <c r="K9" s="14" t="s">
        <v>60</v>
      </c>
      <c r="L9" s="14" t="s">
        <v>491</v>
      </c>
      <c r="M9" s="14">
        <v>4.7300000000000004</v>
      </c>
      <c r="N9" s="14">
        <v>20</v>
      </c>
      <c r="O9" s="14">
        <v>-31.47</v>
      </c>
      <c r="P9" s="15" t="s">
        <v>200</v>
      </c>
      <c r="Q9" s="15" t="s">
        <v>492</v>
      </c>
      <c r="R9" s="15">
        <v>7.4877855000000002</v>
      </c>
      <c r="S9" s="15">
        <v>81.692250000000001</v>
      </c>
      <c r="T9" s="15">
        <v>0</v>
      </c>
      <c r="U9" s="15">
        <v>17920</v>
      </c>
      <c r="V9" s="15">
        <v>0.6</v>
      </c>
      <c r="W9" s="15">
        <v>69</v>
      </c>
      <c r="X9" s="15">
        <v>27</v>
      </c>
      <c r="Y9" s="51" t="s">
        <v>497</v>
      </c>
      <c r="Z9" s="22" t="s">
        <v>498</v>
      </c>
      <c r="AA9" s="22" t="s">
        <v>499</v>
      </c>
      <c r="AB9" s="22">
        <v>7.5033500000000002</v>
      </c>
      <c r="AC9" s="22">
        <v>81.732167000000004</v>
      </c>
      <c r="AD9" s="22">
        <v>0</v>
      </c>
      <c r="AE9" s="22">
        <v>18930</v>
      </c>
      <c r="AF9" s="22">
        <v>1.2</v>
      </c>
      <c r="AG9" s="22">
        <v>249</v>
      </c>
      <c r="AH9" s="22">
        <v>30</v>
      </c>
      <c r="AI9" s="56" t="s">
        <v>500</v>
      </c>
      <c r="AJ9" s="23" t="s">
        <v>504</v>
      </c>
      <c r="AK9" s="23" t="s">
        <v>502</v>
      </c>
      <c r="AL9" s="23" t="s">
        <v>503</v>
      </c>
      <c r="AM9" s="23" t="s">
        <v>501</v>
      </c>
      <c r="AN9" s="23" t="s">
        <v>505</v>
      </c>
      <c r="AO9" s="23" t="s">
        <v>126</v>
      </c>
      <c r="AP9" s="23"/>
      <c r="AQ9" s="34" t="str">
        <f>Z9</f>
        <v>BA0023</v>
      </c>
      <c r="AR9" s="34" t="str">
        <f>AA9</f>
        <v>Mandur</v>
      </c>
      <c r="AS9" s="34" t="str">
        <f>L9</f>
        <v>18G3943</v>
      </c>
    </row>
    <row r="10" spans="1:45" ht="19.95" hidden="1" customHeight="1">
      <c r="A10" s="399" t="s">
        <v>202</v>
      </c>
      <c r="B10" s="395" t="s">
        <v>203</v>
      </c>
      <c r="C10" s="395" t="s">
        <v>218</v>
      </c>
      <c r="D10" s="37" t="str">
        <f>VLOOKUP(A10,'Full Plan'!A:H,8,)</f>
        <v>MW-HYB</v>
      </c>
      <c r="E10" s="23"/>
      <c r="F10" s="23"/>
      <c r="G10" s="14" t="s">
        <v>61</v>
      </c>
      <c r="H10" s="14"/>
      <c r="I10" s="14"/>
      <c r="J10" s="14"/>
      <c r="K10" s="14"/>
      <c r="L10" s="14"/>
      <c r="M10" s="14"/>
      <c r="N10" s="14"/>
      <c r="O10" s="14"/>
      <c r="P10" s="15"/>
      <c r="Q10" s="15"/>
      <c r="R10" s="15"/>
      <c r="S10" s="15"/>
      <c r="T10" s="15"/>
      <c r="U10" s="15"/>
      <c r="V10" s="15"/>
      <c r="W10" s="15"/>
      <c r="X10" s="15"/>
      <c r="Y10" s="51"/>
      <c r="Z10" s="22"/>
      <c r="AA10" s="22"/>
      <c r="AB10" s="22"/>
      <c r="AC10" s="22"/>
      <c r="AD10" s="22"/>
      <c r="AE10" s="22"/>
      <c r="AF10" s="22"/>
      <c r="AG10" s="22"/>
      <c r="AH10" s="22"/>
      <c r="AI10" s="56"/>
      <c r="AJ10" s="23"/>
      <c r="AK10" s="23"/>
      <c r="AL10" s="23"/>
      <c r="AM10" s="23"/>
      <c r="AN10" s="23"/>
      <c r="AO10" s="23"/>
      <c r="AP10" s="23"/>
      <c r="AQ10" s="34">
        <f>Z10</f>
        <v>0</v>
      </c>
      <c r="AR10" s="34">
        <f>AA10</f>
        <v>0</v>
      </c>
      <c r="AS10" s="34">
        <f>L10</f>
        <v>0</v>
      </c>
    </row>
    <row r="11" spans="1:45" ht="19.95" hidden="1" customHeight="1">
      <c r="A11" s="399" t="s">
        <v>204</v>
      </c>
      <c r="B11" s="395" t="s">
        <v>205</v>
      </c>
      <c r="C11" s="395" t="s">
        <v>218</v>
      </c>
      <c r="D11" s="37" t="str">
        <f>VLOOKUP(A11,'Full Plan'!A:H,8,)</f>
        <v>WiBAS</v>
      </c>
      <c r="E11" s="23"/>
      <c r="F11" s="23"/>
      <c r="G11" s="14" t="s">
        <v>61</v>
      </c>
      <c r="H11" s="14"/>
      <c r="I11" s="14"/>
      <c r="J11" s="14"/>
      <c r="K11" s="14"/>
      <c r="L11" s="14"/>
      <c r="M11" s="14"/>
      <c r="N11" s="14"/>
      <c r="O11" s="14"/>
      <c r="P11" s="15"/>
      <c r="Q11" s="15"/>
      <c r="R11" s="15"/>
      <c r="S11" s="15"/>
      <c r="T11" s="15"/>
      <c r="U11" s="15"/>
      <c r="V11" s="15"/>
      <c r="W11" s="15"/>
      <c r="X11" s="15"/>
      <c r="Y11" s="51"/>
      <c r="Z11" s="22"/>
      <c r="AA11" s="22"/>
      <c r="AB11" s="22"/>
      <c r="AC11" s="22"/>
      <c r="AD11" s="22"/>
      <c r="AE11" s="22"/>
      <c r="AF11" s="22"/>
      <c r="AG11" s="22"/>
      <c r="AH11" s="22"/>
      <c r="AI11" s="56"/>
      <c r="AJ11" s="23"/>
      <c r="AK11" s="23"/>
      <c r="AL11" s="23"/>
      <c r="AM11" s="23"/>
      <c r="AN11" s="23"/>
      <c r="AO11" s="23"/>
      <c r="AP11" s="23"/>
      <c r="AQ11" s="34">
        <f>Z11</f>
        <v>0</v>
      </c>
      <c r="AR11" s="34">
        <f>AA11</f>
        <v>0</v>
      </c>
      <c r="AS11" s="34">
        <f>L11</f>
        <v>0</v>
      </c>
    </row>
    <row r="12" spans="1:45" ht="19.95" hidden="1" customHeight="1">
      <c r="A12" s="399" t="s">
        <v>194</v>
      </c>
      <c r="B12" s="395" t="s">
        <v>195</v>
      </c>
      <c r="C12" s="395" t="s">
        <v>176</v>
      </c>
      <c r="D12" s="37" t="str">
        <f>VLOOKUP(A12,'Full Plan'!A:H,8,)</f>
        <v>WiBAS</v>
      </c>
      <c r="E12" s="23" t="s">
        <v>220</v>
      </c>
      <c r="F12" s="23"/>
      <c r="G12" s="14" t="s">
        <v>92</v>
      </c>
      <c r="H12" s="14"/>
      <c r="I12" s="14"/>
      <c r="J12" s="14"/>
      <c r="K12" s="14"/>
      <c r="L12" s="14" t="s">
        <v>488</v>
      </c>
      <c r="M12" s="14"/>
      <c r="N12" s="14"/>
      <c r="O12" s="14">
        <v>-50</v>
      </c>
      <c r="P12" s="15" t="s">
        <v>194</v>
      </c>
      <c r="Q12" s="15" t="s">
        <v>195</v>
      </c>
      <c r="R12" s="15"/>
      <c r="S12" s="15"/>
      <c r="T12" s="15"/>
      <c r="U12" s="15"/>
      <c r="V12" s="15"/>
      <c r="W12" s="15"/>
      <c r="X12" s="15"/>
      <c r="Y12" s="51" t="s">
        <v>327</v>
      </c>
      <c r="Z12" s="22"/>
      <c r="AA12" s="22"/>
      <c r="AB12" s="22"/>
      <c r="AC12" s="22"/>
      <c r="AD12" s="22"/>
      <c r="AE12" s="22"/>
      <c r="AF12" s="22"/>
      <c r="AG12" s="22"/>
      <c r="AH12" s="22"/>
      <c r="AI12" s="56"/>
      <c r="AJ12" s="23" t="s">
        <v>332</v>
      </c>
      <c r="AK12" s="23"/>
      <c r="AL12" s="23" t="s">
        <v>331</v>
      </c>
      <c r="AM12" s="23" t="s">
        <v>330</v>
      </c>
      <c r="AN12" s="23" t="s">
        <v>333</v>
      </c>
      <c r="AO12" s="23" t="s">
        <v>167</v>
      </c>
      <c r="AP12" s="23"/>
      <c r="AQ12" s="34">
        <f>Z12</f>
        <v>0</v>
      </c>
      <c r="AR12" s="34">
        <f>AA12</f>
        <v>0</v>
      </c>
      <c r="AS12" s="34" t="str">
        <f>L12</f>
        <v>10G1547</v>
      </c>
    </row>
    <row r="13" spans="1:45" ht="19.95" hidden="1" customHeight="1">
      <c r="A13" s="400" t="s">
        <v>192</v>
      </c>
      <c r="B13" s="401" t="s">
        <v>193</v>
      </c>
      <c r="C13" s="401" t="s">
        <v>176</v>
      </c>
      <c r="D13" s="37" t="str">
        <f>VLOOKUP(A13,'Full Plan'!A:H,8,)</f>
        <v>MW-HYB</v>
      </c>
      <c r="E13" s="23" t="s">
        <v>400</v>
      </c>
      <c r="F13" s="23"/>
      <c r="G13" s="14" t="s">
        <v>61</v>
      </c>
      <c r="H13" s="14" t="s">
        <v>59</v>
      </c>
      <c r="I13" s="14">
        <v>400</v>
      </c>
      <c r="J13" s="14"/>
      <c r="K13" s="14" t="s">
        <v>60</v>
      </c>
      <c r="L13" s="14" t="s">
        <v>433</v>
      </c>
      <c r="M13" s="14">
        <v>4.63</v>
      </c>
      <c r="N13" s="14">
        <v>20</v>
      </c>
      <c r="O13" s="14">
        <v>-31.28</v>
      </c>
      <c r="P13" s="15" t="s">
        <v>192</v>
      </c>
      <c r="Q13" s="15" t="s">
        <v>193</v>
      </c>
      <c r="R13" s="15">
        <v>9.5931999999999995</v>
      </c>
      <c r="S13" s="15">
        <v>80.324089999999998</v>
      </c>
      <c r="T13" s="15">
        <v>0</v>
      </c>
      <c r="U13" s="15">
        <v>18030</v>
      </c>
      <c r="V13" s="15">
        <v>0.6</v>
      </c>
      <c r="W13" s="15">
        <v>103</v>
      </c>
      <c r="X13" s="15">
        <v>27</v>
      </c>
      <c r="Y13" s="51" t="s">
        <v>434</v>
      </c>
      <c r="Z13" s="22" t="s">
        <v>485</v>
      </c>
      <c r="AA13" s="22" t="s">
        <v>486</v>
      </c>
      <c r="AB13" s="22">
        <v>9.5839160000000003</v>
      </c>
      <c r="AC13" s="22">
        <v>80.365220199999996</v>
      </c>
      <c r="AD13" s="22">
        <v>0</v>
      </c>
      <c r="AE13" s="22">
        <v>19040</v>
      </c>
      <c r="AF13" s="22">
        <v>1.2</v>
      </c>
      <c r="AG13" s="22">
        <v>283</v>
      </c>
      <c r="AH13" s="22">
        <v>30</v>
      </c>
      <c r="AI13" s="56" t="s">
        <v>487</v>
      </c>
      <c r="AJ13" s="23" t="s">
        <v>482</v>
      </c>
      <c r="AK13" s="23" t="s">
        <v>480</v>
      </c>
      <c r="AL13" s="23" t="s">
        <v>481</v>
      </c>
      <c r="AM13" s="23" t="s">
        <v>479</v>
      </c>
      <c r="AN13" s="23" t="s">
        <v>483</v>
      </c>
      <c r="AO13" s="23" t="s">
        <v>484</v>
      </c>
      <c r="AP13" s="23"/>
      <c r="AQ13" s="34" t="str">
        <f>Z13</f>
        <v>KI0095</v>
      </c>
      <c r="AR13" s="34" t="str">
        <f>AA13</f>
        <v>Palai_South</v>
      </c>
      <c r="AS13" s="34" t="str">
        <f>L13</f>
        <v>18G3923</v>
      </c>
    </row>
    <row r="14" spans="1:45" ht="19.95" hidden="1" customHeight="1">
      <c r="A14" s="402" t="s">
        <v>172</v>
      </c>
      <c r="B14" s="401" t="s">
        <v>180</v>
      </c>
      <c r="C14" s="401" t="s">
        <v>181</v>
      </c>
      <c r="D14" s="37" t="str">
        <f>VLOOKUP(A14,'Full Plan'!A:H,8,)</f>
        <v>OFN</v>
      </c>
      <c r="E14" s="23" t="s">
        <v>7</v>
      </c>
      <c r="F14" s="395"/>
      <c r="G14" s="14" t="s">
        <v>7</v>
      </c>
      <c r="H14" s="14"/>
      <c r="I14" s="14"/>
      <c r="J14" s="14"/>
      <c r="K14" s="14"/>
      <c r="L14" s="14"/>
      <c r="M14" s="14"/>
      <c r="N14" s="14"/>
      <c r="O14" s="14"/>
      <c r="P14" s="396"/>
      <c r="Q14" s="396"/>
      <c r="R14" s="13"/>
      <c r="S14" s="13"/>
      <c r="T14" s="15"/>
      <c r="U14" s="15"/>
      <c r="V14" s="15"/>
      <c r="W14" s="15"/>
      <c r="X14" s="15"/>
      <c r="Y14" s="51"/>
      <c r="Z14" s="22"/>
      <c r="AA14" s="22"/>
      <c r="AB14" s="22"/>
      <c r="AC14" s="22"/>
      <c r="AD14" s="22"/>
      <c r="AE14" s="22"/>
      <c r="AF14" s="22"/>
      <c r="AG14" s="22"/>
      <c r="AH14" s="22"/>
      <c r="AI14" s="56"/>
      <c r="AJ14" s="23"/>
      <c r="AK14" s="23"/>
      <c r="AL14" s="23"/>
      <c r="AM14" s="23"/>
      <c r="AN14" s="23"/>
      <c r="AO14" s="23"/>
      <c r="AP14" s="23"/>
      <c r="AQ14" s="34">
        <f>Z14</f>
        <v>0</v>
      </c>
      <c r="AR14" s="34">
        <f>AA14</f>
        <v>0</v>
      </c>
      <c r="AS14" s="34">
        <f>L14</f>
        <v>0</v>
      </c>
    </row>
    <row r="15" spans="1:45" ht="19.95" hidden="1" customHeight="1">
      <c r="A15" s="402" t="s">
        <v>173</v>
      </c>
      <c r="B15" s="401" t="s">
        <v>182</v>
      </c>
      <c r="C15" s="401" t="s">
        <v>181</v>
      </c>
      <c r="D15" s="37" t="s">
        <v>7</v>
      </c>
      <c r="E15" s="23" t="s">
        <v>7</v>
      </c>
      <c r="F15" s="395"/>
      <c r="G15" s="14" t="s">
        <v>7</v>
      </c>
      <c r="H15" s="14"/>
      <c r="I15" s="14"/>
      <c r="J15" s="14"/>
      <c r="K15" s="14"/>
      <c r="L15" s="14"/>
      <c r="M15" s="14"/>
      <c r="N15" s="14"/>
      <c r="O15" s="14"/>
      <c r="P15" s="396"/>
      <c r="Q15" s="396"/>
      <c r="R15" s="13"/>
      <c r="S15" s="13"/>
      <c r="T15" s="15"/>
      <c r="U15" s="15"/>
      <c r="V15" s="15"/>
      <c r="W15" s="15"/>
      <c r="X15" s="15"/>
      <c r="Y15" s="51"/>
      <c r="Z15" s="22"/>
      <c r="AA15" s="22"/>
      <c r="AB15" s="22"/>
      <c r="AC15" s="22"/>
      <c r="AD15" s="22"/>
      <c r="AE15" s="22"/>
      <c r="AF15" s="22"/>
      <c r="AG15" s="22"/>
      <c r="AH15" s="22"/>
      <c r="AI15" s="56"/>
      <c r="AJ15" s="23"/>
      <c r="AK15" s="23"/>
      <c r="AL15" s="23"/>
      <c r="AM15" s="23"/>
      <c r="AN15" s="23"/>
      <c r="AO15" s="23"/>
      <c r="AP15" s="23"/>
      <c r="AQ15" s="34">
        <f>Z15</f>
        <v>0</v>
      </c>
      <c r="AR15" s="34">
        <f>AA15</f>
        <v>0</v>
      </c>
      <c r="AS15" s="34">
        <f>L15</f>
        <v>0</v>
      </c>
    </row>
    <row r="16" spans="1:45" ht="19.95" hidden="1" customHeight="1">
      <c r="A16" s="402" t="s">
        <v>170</v>
      </c>
      <c r="B16" s="401" t="s">
        <v>178</v>
      </c>
      <c r="C16" s="401" t="s">
        <v>176</v>
      </c>
      <c r="D16" s="37" t="s">
        <v>7</v>
      </c>
      <c r="E16" s="23" t="s">
        <v>7</v>
      </c>
      <c r="F16" s="395"/>
      <c r="G16" s="14" t="s">
        <v>7</v>
      </c>
      <c r="H16" s="14"/>
      <c r="I16" s="14"/>
      <c r="J16" s="14"/>
      <c r="K16" s="14"/>
      <c r="L16" s="14"/>
      <c r="M16" s="14"/>
      <c r="N16" s="14"/>
      <c r="O16" s="14"/>
      <c r="P16" s="396"/>
      <c r="Q16" s="396"/>
      <c r="R16" s="13"/>
      <c r="S16" s="13"/>
      <c r="T16" s="15"/>
      <c r="U16" s="15"/>
      <c r="V16" s="15"/>
      <c r="W16" s="15"/>
      <c r="X16" s="15"/>
      <c r="Y16" s="51"/>
      <c r="Z16" s="22"/>
      <c r="AA16" s="22"/>
      <c r="AB16" s="22"/>
      <c r="AC16" s="22"/>
      <c r="AD16" s="22"/>
      <c r="AE16" s="22"/>
      <c r="AF16" s="22"/>
      <c r="AG16" s="22"/>
      <c r="AH16" s="22"/>
      <c r="AI16" s="56"/>
      <c r="AJ16" s="23"/>
      <c r="AK16" s="23"/>
      <c r="AL16" s="23"/>
      <c r="AM16" s="23"/>
      <c r="AN16" s="23"/>
      <c r="AO16" s="23"/>
      <c r="AP16" s="23"/>
      <c r="AQ16" s="34">
        <f>Z16</f>
        <v>0</v>
      </c>
      <c r="AR16" s="34">
        <f>AA16</f>
        <v>0</v>
      </c>
      <c r="AS16" s="34">
        <f>L16</f>
        <v>0</v>
      </c>
    </row>
    <row r="17" spans="1:45" ht="19.95" hidden="1" customHeight="1">
      <c r="A17" s="403" t="s">
        <v>168</v>
      </c>
      <c r="B17" s="404" t="s">
        <v>175</v>
      </c>
      <c r="C17" s="404" t="s">
        <v>176</v>
      </c>
      <c r="D17" s="37" t="s">
        <v>8</v>
      </c>
      <c r="E17" s="23" t="s">
        <v>77</v>
      </c>
      <c r="F17" s="23"/>
      <c r="G17" s="14" t="s">
        <v>61</v>
      </c>
      <c r="H17" s="14"/>
      <c r="I17" s="14"/>
      <c r="J17" s="14"/>
      <c r="K17" s="14"/>
      <c r="L17" s="14"/>
      <c r="M17" s="14"/>
      <c r="N17" s="14"/>
      <c r="O17" s="14"/>
      <c r="P17" s="15"/>
      <c r="Q17" s="15"/>
      <c r="R17" s="15"/>
      <c r="S17" s="15"/>
      <c r="T17" s="15"/>
      <c r="U17" s="15"/>
      <c r="V17" s="15"/>
      <c r="W17" s="15"/>
      <c r="X17" s="15"/>
      <c r="Y17" s="51"/>
      <c r="Z17" s="22"/>
      <c r="AA17" s="22"/>
      <c r="AB17" s="22"/>
      <c r="AC17" s="22"/>
      <c r="AD17" s="22"/>
      <c r="AE17" s="22"/>
      <c r="AF17" s="22"/>
      <c r="AG17" s="22"/>
      <c r="AH17" s="22"/>
      <c r="AI17" s="56"/>
      <c r="AJ17" s="23"/>
      <c r="AK17" s="23"/>
      <c r="AL17" s="23"/>
      <c r="AM17" s="23"/>
      <c r="AN17" s="23"/>
      <c r="AO17" s="23"/>
      <c r="AP17" s="23"/>
      <c r="AQ17" s="34">
        <f>Z17</f>
        <v>0</v>
      </c>
      <c r="AR17" s="34">
        <f>AA17</f>
        <v>0</v>
      </c>
      <c r="AS17" s="34">
        <f>L17</f>
        <v>0</v>
      </c>
    </row>
    <row r="18" spans="1:45" ht="19.95" hidden="1" customHeight="1">
      <c r="A18" s="401" t="s">
        <v>196</v>
      </c>
      <c r="B18" s="401" t="s">
        <v>197</v>
      </c>
      <c r="C18" s="401" t="s">
        <v>218</v>
      </c>
      <c r="D18" s="405" t="s">
        <v>7</v>
      </c>
      <c r="E18" s="23" t="s">
        <v>7</v>
      </c>
      <c r="F18" s="23"/>
      <c r="G18" s="14" t="s">
        <v>7</v>
      </c>
      <c r="H18" s="14"/>
      <c r="I18" s="14"/>
      <c r="J18" s="14"/>
      <c r="K18" s="14"/>
      <c r="L18" s="14"/>
      <c r="M18" s="14"/>
      <c r="N18" s="14"/>
      <c r="O18" s="14"/>
      <c r="P18" s="15"/>
      <c r="Q18" s="15"/>
      <c r="R18" s="15"/>
      <c r="S18" s="15"/>
      <c r="T18" s="15"/>
      <c r="U18" s="15"/>
      <c r="V18" s="15"/>
      <c r="W18" s="15"/>
      <c r="X18" s="15"/>
      <c r="Y18" s="51"/>
      <c r="Z18" s="22"/>
      <c r="AA18" s="22"/>
      <c r="AB18" s="22"/>
      <c r="AC18" s="22"/>
      <c r="AD18" s="22"/>
      <c r="AE18" s="22"/>
      <c r="AF18" s="22"/>
      <c r="AG18" s="22"/>
      <c r="AH18" s="22"/>
      <c r="AI18" s="56"/>
      <c r="AJ18" s="23"/>
      <c r="AK18" s="23"/>
      <c r="AL18" s="23"/>
      <c r="AM18" s="23"/>
      <c r="AN18" s="23"/>
      <c r="AO18" s="23"/>
      <c r="AP18" s="23"/>
      <c r="AQ18" s="34">
        <f>Z18</f>
        <v>0</v>
      </c>
      <c r="AR18" s="34">
        <f>AA18</f>
        <v>0</v>
      </c>
      <c r="AS18" s="34">
        <f>L18</f>
        <v>0</v>
      </c>
    </row>
    <row r="19" spans="1:45" ht="19.95" hidden="1" customHeight="1">
      <c r="A19" s="401" t="s">
        <v>206</v>
      </c>
      <c r="B19" s="401" t="s">
        <v>207</v>
      </c>
      <c r="C19" s="401" t="s">
        <v>218</v>
      </c>
      <c r="D19" s="405" t="s">
        <v>7</v>
      </c>
      <c r="E19" s="23" t="s">
        <v>7</v>
      </c>
      <c r="F19" s="23"/>
      <c r="G19" s="14" t="s">
        <v>7</v>
      </c>
      <c r="H19" s="14"/>
      <c r="I19" s="14"/>
      <c r="J19" s="14"/>
      <c r="K19" s="14"/>
      <c r="L19" s="14"/>
      <c r="M19" s="14"/>
      <c r="N19" s="14"/>
      <c r="O19" s="14"/>
      <c r="P19" s="15"/>
      <c r="Q19" s="15"/>
      <c r="R19" s="15"/>
      <c r="S19" s="15"/>
      <c r="T19" s="15"/>
      <c r="U19" s="15"/>
      <c r="V19" s="15"/>
      <c r="W19" s="15"/>
      <c r="X19" s="15"/>
      <c r="Y19" s="51"/>
      <c r="Z19" s="22"/>
      <c r="AA19" s="22"/>
      <c r="AB19" s="22"/>
      <c r="AC19" s="22"/>
      <c r="AD19" s="22"/>
      <c r="AE19" s="22"/>
      <c r="AF19" s="22"/>
      <c r="AG19" s="22"/>
      <c r="AH19" s="22"/>
      <c r="AI19" s="56"/>
      <c r="AJ19" s="23"/>
      <c r="AK19" s="23"/>
      <c r="AL19" s="23"/>
      <c r="AM19" s="23"/>
      <c r="AN19" s="23"/>
      <c r="AO19" s="23"/>
      <c r="AP19" s="23"/>
      <c r="AQ19" s="34">
        <f>Z19</f>
        <v>0</v>
      </c>
      <c r="AR19" s="34">
        <f>AA19</f>
        <v>0</v>
      </c>
      <c r="AS19" s="34">
        <f>L19</f>
        <v>0</v>
      </c>
    </row>
    <row r="20" spans="1:45" ht="19.95" hidden="1" customHeight="1">
      <c r="A20" s="406" t="s">
        <v>208</v>
      </c>
      <c r="B20" s="406" t="s">
        <v>209</v>
      </c>
      <c r="C20" s="407" t="s">
        <v>218</v>
      </c>
      <c r="D20" s="405" t="s">
        <v>7</v>
      </c>
      <c r="E20" s="23" t="s">
        <v>7</v>
      </c>
      <c r="F20" s="23"/>
      <c r="G20" s="14" t="s">
        <v>7</v>
      </c>
      <c r="H20" s="14"/>
      <c r="I20" s="14"/>
      <c r="J20" s="14"/>
      <c r="K20" s="14"/>
      <c r="L20" s="14"/>
      <c r="M20" s="14"/>
      <c r="N20" s="14"/>
      <c r="O20" s="14"/>
      <c r="P20" s="15"/>
      <c r="Q20" s="15"/>
      <c r="R20" s="15"/>
      <c r="S20" s="15"/>
      <c r="T20" s="15"/>
      <c r="U20" s="15"/>
      <c r="V20" s="15"/>
      <c r="W20" s="15"/>
      <c r="X20" s="15"/>
      <c r="Y20" s="51"/>
      <c r="Z20" s="22"/>
      <c r="AA20" s="22"/>
      <c r="AB20" s="22"/>
      <c r="AC20" s="22"/>
      <c r="AD20" s="22"/>
      <c r="AE20" s="22"/>
      <c r="AF20" s="22"/>
      <c r="AG20" s="22"/>
      <c r="AH20" s="22"/>
      <c r="AI20" s="56"/>
      <c r="AJ20" s="23"/>
      <c r="AK20" s="23"/>
      <c r="AL20" s="23"/>
      <c r="AM20" s="23"/>
      <c r="AN20" s="23"/>
      <c r="AO20" s="23"/>
      <c r="AP20" s="23"/>
      <c r="AQ20" s="34">
        <f>Z20</f>
        <v>0</v>
      </c>
      <c r="AR20" s="34">
        <f>AA20</f>
        <v>0</v>
      </c>
      <c r="AS20" s="34">
        <f>L20</f>
        <v>0</v>
      </c>
    </row>
    <row r="21" spans="1:45" ht="19.95" hidden="1" customHeight="1">
      <c r="A21" s="406" t="s">
        <v>210</v>
      </c>
      <c r="B21" s="406" t="s">
        <v>211</v>
      </c>
      <c r="C21" s="407" t="s">
        <v>218</v>
      </c>
      <c r="D21" s="405" t="s">
        <v>7</v>
      </c>
      <c r="E21" s="23" t="s">
        <v>7</v>
      </c>
      <c r="F21" s="23"/>
      <c r="G21" s="14" t="s">
        <v>7</v>
      </c>
      <c r="H21" s="14"/>
      <c r="I21" s="14"/>
      <c r="J21" s="14"/>
      <c r="K21" s="14"/>
      <c r="L21" s="14"/>
      <c r="M21" s="14"/>
      <c r="N21" s="14"/>
      <c r="O21" s="14"/>
      <c r="P21" s="15"/>
      <c r="Q21" s="15"/>
      <c r="R21" s="15"/>
      <c r="S21" s="15"/>
      <c r="T21" s="15"/>
      <c r="U21" s="15"/>
      <c r="V21" s="15"/>
      <c r="W21" s="15"/>
      <c r="X21" s="15"/>
      <c r="Y21" s="51"/>
      <c r="Z21" s="22"/>
      <c r="AA21" s="22"/>
      <c r="AB21" s="22"/>
      <c r="AC21" s="22"/>
      <c r="AD21" s="22"/>
      <c r="AE21" s="22"/>
      <c r="AF21" s="22"/>
      <c r="AG21" s="22"/>
      <c r="AH21" s="22"/>
      <c r="AI21" s="56"/>
      <c r="AJ21" s="23"/>
      <c r="AK21" s="23"/>
      <c r="AL21" s="23"/>
      <c r="AM21" s="23"/>
      <c r="AN21" s="23"/>
      <c r="AO21" s="23"/>
      <c r="AP21" s="23"/>
      <c r="AQ21" s="34">
        <f>Z21</f>
        <v>0</v>
      </c>
      <c r="AR21" s="34">
        <f>AA21</f>
        <v>0</v>
      </c>
      <c r="AS21" s="34">
        <f>L21</f>
        <v>0</v>
      </c>
    </row>
    <row r="22" spans="1:45" ht="19.95" hidden="1" customHeight="1">
      <c r="A22" s="408" t="s">
        <v>212</v>
      </c>
      <c r="B22" s="408" t="s">
        <v>213</v>
      </c>
      <c r="C22" s="397" t="s">
        <v>218</v>
      </c>
      <c r="D22" s="405" t="s">
        <v>8</v>
      </c>
      <c r="E22" s="23"/>
      <c r="F22" s="23"/>
      <c r="G22" s="14" t="s">
        <v>61</v>
      </c>
      <c r="H22" s="14"/>
      <c r="I22" s="14"/>
      <c r="J22" s="14"/>
      <c r="K22" s="14"/>
      <c r="L22" s="14"/>
      <c r="M22" s="14"/>
      <c r="N22" s="14"/>
      <c r="O22" s="14"/>
      <c r="P22" s="15"/>
      <c r="Q22" s="15"/>
      <c r="R22" s="15"/>
      <c r="S22" s="15"/>
      <c r="T22" s="15"/>
      <c r="U22" s="15"/>
      <c r="V22" s="15"/>
      <c r="W22" s="15"/>
      <c r="X22" s="15"/>
      <c r="Y22" s="51"/>
      <c r="Z22" s="22"/>
      <c r="AA22" s="22"/>
      <c r="AB22" s="22"/>
      <c r="AC22" s="22"/>
      <c r="AD22" s="22"/>
      <c r="AE22" s="22"/>
      <c r="AF22" s="22"/>
      <c r="AG22" s="22"/>
      <c r="AH22" s="22"/>
      <c r="AI22" s="56"/>
      <c r="AJ22" s="23"/>
      <c r="AK22" s="23"/>
      <c r="AL22" s="23"/>
      <c r="AM22" s="23"/>
      <c r="AN22" s="23"/>
      <c r="AO22" s="23"/>
      <c r="AP22" s="23"/>
      <c r="AQ22" s="34">
        <f>Z22</f>
        <v>0</v>
      </c>
      <c r="AR22" s="34">
        <f>AA22</f>
        <v>0</v>
      </c>
      <c r="AS22" s="34">
        <f>L22</f>
        <v>0</v>
      </c>
    </row>
    <row r="23" spans="1:45" ht="19.95" customHeight="1">
      <c r="A23" s="409" t="s">
        <v>214</v>
      </c>
      <c r="B23" s="408" t="s">
        <v>215</v>
      </c>
      <c r="C23" s="397" t="s">
        <v>218</v>
      </c>
      <c r="D23" s="405" t="s">
        <v>8</v>
      </c>
      <c r="E23" s="23"/>
      <c r="F23" s="23"/>
      <c r="G23" s="14" t="s">
        <v>61</v>
      </c>
      <c r="H23" s="14" t="s">
        <v>59</v>
      </c>
      <c r="I23" s="14">
        <v>400</v>
      </c>
      <c r="J23" s="14"/>
      <c r="K23" s="14" t="s">
        <v>60</v>
      </c>
      <c r="L23" s="14" t="s">
        <v>622</v>
      </c>
      <c r="M23" s="14">
        <v>1.02</v>
      </c>
      <c r="N23" s="14">
        <v>19.5</v>
      </c>
      <c r="O23" s="14">
        <v>-28.57</v>
      </c>
      <c r="P23" s="15" t="s">
        <v>214</v>
      </c>
      <c r="Q23" s="15" t="s">
        <v>215</v>
      </c>
      <c r="R23" s="15">
        <v>6.784243</v>
      </c>
      <c r="S23" s="15">
        <v>79.910009000000002</v>
      </c>
      <c r="T23" s="15">
        <v>0</v>
      </c>
      <c r="U23" s="15">
        <v>21840</v>
      </c>
      <c r="V23" s="15">
        <v>0.3</v>
      </c>
      <c r="W23" s="15">
        <v>31</v>
      </c>
      <c r="X23" s="15">
        <v>31</v>
      </c>
      <c r="Y23" s="51" t="s">
        <v>623</v>
      </c>
      <c r="Z23" s="22" t="s">
        <v>624</v>
      </c>
      <c r="AA23" s="22" t="s">
        <v>625</v>
      </c>
      <c r="AB23" s="22">
        <v>6.7921269999999998</v>
      </c>
      <c r="AC23" s="22">
        <v>6.7921269999999998</v>
      </c>
      <c r="AD23" s="22">
        <v>0</v>
      </c>
      <c r="AE23" s="22">
        <v>23072</v>
      </c>
      <c r="AF23" s="22">
        <v>0.6</v>
      </c>
      <c r="AG23" s="22">
        <v>25</v>
      </c>
      <c r="AH23" s="22">
        <v>25</v>
      </c>
      <c r="AI23" s="56" t="s">
        <v>626</v>
      </c>
      <c r="AJ23" s="23" t="s">
        <v>627</v>
      </c>
      <c r="AK23" s="23" t="s">
        <v>628</v>
      </c>
      <c r="AL23" s="23" t="s">
        <v>629</v>
      </c>
      <c r="AM23" s="23" t="s">
        <v>630</v>
      </c>
      <c r="AN23" s="23" t="s">
        <v>631</v>
      </c>
      <c r="AO23" s="23" t="s">
        <v>632</v>
      </c>
      <c r="AP23" s="23"/>
      <c r="AQ23" s="34" t="str">
        <f>Z23</f>
        <v>CM0412</v>
      </c>
      <c r="AR23" s="34" t="str">
        <f>AA23</f>
        <v>Hedigama</v>
      </c>
      <c r="AS23" s="34" t="str">
        <f>L23</f>
        <v>23G3501</v>
      </c>
    </row>
    <row r="24" spans="1:45" ht="19.95" customHeight="1">
      <c r="A24" s="409" t="s">
        <v>216</v>
      </c>
      <c r="B24" s="408" t="s">
        <v>217</v>
      </c>
      <c r="C24" s="397" t="s">
        <v>218</v>
      </c>
      <c r="D24" s="405" t="s">
        <v>8</v>
      </c>
      <c r="E24" s="23"/>
      <c r="F24" s="23"/>
      <c r="G24" s="14" t="s">
        <v>61</v>
      </c>
      <c r="H24" s="14" t="s">
        <v>59</v>
      </c>
      <c r="I24" s="14">
        <v>400</v>
      </c>
      <c r="J24" s="14"/>
      <c r="K24" s="14" t="s">
        <v>60</v>
      </c>
      <c r="L24" s="14" t="s">
        <v>621</v>
      </c>
      <c r="M24" s="14">
        <v>3.16</v>
      </c>
      <c r="N24" s="14">
        <v>20</v>
      </c>
      <c r="O24" s="14">
        <v>-27.97</v>
      </c>
      <c r="P24" s="15" t="s">
        <v>216</v>
      </c>
      <c r="Q24" s="15" t="s">
        <v>217</v>
      </c>
      <c r="R24" s="15">
        <v>6.8491</v>
      </c>
      <c r="S24" s="15">
        <v>80.125500000000002</v>
      </c>
      <c r="T24" s="15">
        <v>0</v>
      </c>
      <c r="U24" s="15">
        <v>17920</v>
      </c>
      <c r="V24" s="15">
        <v>0.6</v>
      </c>
      <c r="W24" s="15">
        <v>285</v>
      </c>
      <c r="X24" s="15">
        <v>19</v>
      </c>
      <c r="Y24" s="51" t="s">
        <v>612</v>
      </c>
      <c r="Z24" s="22" t="s">
        <v>613</v>
      </c>
      <c r="AA24" s="22" t="s">
        <v>614</v>
      </c>
      <c r="AB24" s="22">
        <v>6.8565430000000003</v>
      </c>
      <c r="AC24" s="22">
        <v>80.097829000000004</v>
      </c>
      <c r="AD24" s="22">
        <v>0</v>
      </c>
      <c r="AE24" s="22">
        <v>18930</v>
      </c>
      <c r="AF24" s="22">
        <v>0.6</v>
      </c>
      <c r="AG24" s="22">
        <v>105</v>
      </c>
      <c r="AH24" s="22">
        <v>25</v>
      </c>
      <c r="AI24" s="56" t="s">
        <v>615</v>
      </c>
      <c r="AJ24" s="23" t="s">
        <v>616</v>
      </c>
      <c r="AK24" s="23" t="s">
        <v>617</v>
      </c>
      <c r="AL24" s="23" t="s">
        <v>618</v>
      </c>
      <c r="AM24" s="23" t="s">
        <v>619</v>
      </c>
      <c r="AN24" s="23" t="s">
        <v>620</v>
      </c>
      <c r="AO24" s="23" t="s">
        <v>484</v>
      </c>
      <c r="AP24" s="23"/>
      <c r="AQ24" s="34" t="str">
        <f>Z24</f>
        <v>CM1611</v>
      </c>
      <c r="AR24" s="34" t="str">
        <f>AA24</f>
        <v>Padukka_East</v>
      </c>
      <c r="AS24" s="34" t="str">
        <f>L24</f>
        <v>18G3938</v>
      </c>
    </row>
    <row r="25" spans="1:45" ht="19.95" hidden="1" customHeight="1">
      <c r="A25" s="395" t="s">
        <v>198</v>
      </c>
      <c r="B25" s="395" t="s">
        <v>199</v>
      </c>
      <c r="C25" s="395" t="s">
        <v>218</v>
      </c>
      <c r="D25" s="405" t="s">
        <v>7</v>
      </c>
      <c r="E25" s="23" t="s">
        <v>7</v>
      </c>
      <c r="F25" s="23"/>
      <c r="G25" s="14" t="s">
        <v>7</v>
      </c>
      <c r="H25" s="14"/>
      <c r="I25" s="14"/>
      <c r="J25" s="14"/>
      <c r="K25" s="14"/>
      <c r="L25" s="14"/>
      <c r="M25" s="14"/>
      <c r="N25" s="14"/>
      <c r="O25" s="14"/>
      <c r="P25" s="15"/>
      <c r="Q25" s="15"/>
      <c r="R25" s="15"/>
      <c r="S25" s="15"/>
      <c r="T25" s="15"/>
      <c r="U25" s="15"/>
      <c r="V25" s="15"/>
      <c r="W25" s="15"/>
      <c r="X25" s="15"/>
      <c r="Y25" s="51"/>
      <c r="Z25" s="22"/>
      <c r="AA25" s="22"/>
      <c r="AB25" s="22"/>
      <c r="AC25" s="22"/>
      <c r="AD25" s="22"/>
      <c r="AE25" s="22"/>
      <c r="AF25" s="22"/>
      <c r="AG25" s="22"/>
      <c r="AH25" s="22"/>
      <c r="AI25" s="56"/>
      <c r="AJ25" s="23"/>
      <c r="AK25" s="23"/>
      <c r="AL25" s="23"/>
      <c r="AM25" s="23"/>
      <c r="AN25" s="23"/>
      <c r="AO25" s="23"/>
      <c r="AP25" s="23"/>
      <c r="AQ25" s="34">
        <f>Z25</f>
        <v>0</v>
      </c>
      <c r="AR25" s="34">
        <f>AA25</f>
        <v>0</v>
      </c>
      <c r="AS25" s="34">
        <f>L25</f>
        <v>0</v>
      </c>
    </row>
    <row r="26" spans="1:45" ht="19.95" hidden="1" customHeight="1">
      <c r="A26" s="395" t="s">
        <v>190</v>
      </c>
      <c r="B26" s="395" t="s">
        <v>191</v>
      </c>
      <c r="C26" s="395" t="s">
        <v>176</v>
      </c>
      <c r="D26" s="405" t="s">
        <v>8</v>
      </c>
      <c r="E26" s="23"/>
      <c r="F26" s="23"/>
      <c r="G26" s="14" t="s">
        <v>61</v>
      </c>
      <c r="H26" s="14"/>
      <c r="I26" s="14"/>
      <c r="J26" s="14"/>
      <c r="K26" s="14"/>
      <c r="L26" s="14"/>
      <c r="M26" s="14"/>
      <c r="N26" s="14"/>
      <c r="O26" s="14"/>
      <c r="P26" s="15"/>
      <c r="Q26" s="15"/>
      <c r="R26" s="15"/>
      <c r="S26" s="15"/>
      <c r="T26" s="15"/>
      <c r="U26" s="15"/>
      <c r="V26" s="15"/>
      <c r="W26" s="15"/>
      <c r="X26" s="15"/>
      <c r="Y26" s="51"/>
      <c r="Z26" s="22"/>
      <c r="AA26" s="22"/>
      <c r="AB26" s="22"/>
      <c r="AC26" s="22"/>
      <c r="AD26" s="22"/>
      <c r="AE26" s="22"/>
      <c r="AF26" s="22"/>
      <c r="AG26" s="22"/>
      <c r="AH26" s="22"/>
      <c r="AI26" s="56"/>
      <c r="AJ26" s="23"/>
      <c r="AK26" s="23"/>
      <c r="AL26" s="23"/>
      <c r="AM26" s="23"/>
      <c r="AN26" s="23"/>
      <c r="AO26" s="23"/>
      <c r="AP26" s="23"/>
      <c r="AQ26" s="34">
        <f>Z26</f>
        <v>0</v>
      </c>
      <c r="AR26" s="34">
        <f>AA26</f>
        <v>0</v>
      </c>
      <c r="AS26" s="34">
        <f>L26</f>
        <v>0</v>
      </c>
    </row>
    <row r="27" spans="1:45" ht="19.95" hidden="1" customHeight="1">
      <c r="A27" s="410" t="s">
        <v>282</v>
      </c>
      <c r="B27" s="410" t="s">
        <v>283</v>
      </c>
      <c r="C27" s="23" t="s">
        <v>301</v>
      </c>
      <c r="D27" s="37" t="s">
        <v>7</v>
      </c>
      <c r="E27" s="23" t="s">
        <v>7</v>
      </c>
      <c r="F27" s="23"/>
      <c r="G27" s="14" t="s">
        <v>7</v>
      </c>
      <c r="H27" s="14"/>
      <c r="I27" s="14"/>
      <c r="J27" s="14"/>
      <c r="K27" s="14"/>
      <c r="L27" s="14"/>
      <c r="M27" s="14"/>
      <c r="N27" s="14"/>
      <c r="O27" s="14"/>
      <c r="P27" s="15"/>
      <c r="Q27" s="15"/>
      <c r="R27" s="15"/>
      <c r="S27" s="15"/>
      <c r="T27" s="15"/>
      <c r="U27" s="15"/>
      <c r="V27" s="15"/>
      <c r="W27" s="15"/>
      <c r="X27" s="15"/>
      <c r="Y27" s="51"/>
      <c r="Z27" s="22"/>
      <c r="AA27" s="22"/>
      <c r="AB27" s="22"/>
      <c r="AC27" s="22"/>
      <c r="AD27" s="22"/>
      <c r="AE27" s="22"/>
      <c r="AF27" s="22"/>
      <c r="AG27" s="22"/>
      <c r="AH27" s="22"/>
      <c r="AI27" s="56"/>
      <c r="AJ27" s="23"/>
      <c r="AK27" s="23"/>
      <c r="AL27" s="23"/>
      <c r="AM27" s="23"/>
      <c r="AN27" s="23"/>
      <c r="AO27" s="23"/>
      <c r="AP27" s="23"/>
      <c r="AQ27" s="34">
        <f>Z27</f>
        <v>0</v>
      </c>
      <c r="AR27" s="34">
        <f>AA27</f>
        <v>0</v>
      </c>
      <c r="AS27" s="34">
        <f>L27</f>
        <v>0</v>
      </c>
    </row>
    <row r="28" spans="1:45" ht="19.95" hidden="1" customHeight="1">
      <c r="A28" s="348" t="s">
        <v>286</v>
      </c>
      <c r="B28" s="176" t="s">
        <v>287</v>
      </c>
      <c r="C28" s="23" t="s">
        <v>176</v>
      </c>
      <c r="D28" s="37" t="s">
        <v>8</v>
      </c>
      <c r="E28" s="23" t="s">
        <v>302</v>
      </c>
      <c r="F28" s="23"/>
      <c r="G28" s="14" t="s">
        <v>61</v>
      </c>
      <c r="H28" s="14" t="s">
        <v>59</v>
      </c>
      <c r="I28" s="14">
        <v>400</v>
      </c>
      <c r="J28" s="14"/>
      <c r="K28" s="14" t="s">
        <v>60</v>
      </c>
      <c r="L28" s="14" t="s">
        <v>634</v>
      </c>
      <c r="M28" s="14">
        <v>2.5099999999999998</v>
      </c>
      <c r="N28" s="14">
        <v>20</v>
      </c>
      <c r="O28" s="14">
        <v>-31.77</v>
      </c>
      <c r="P28" s="15" t="s">
        <v>286</v>
      </c>
      <c r="Q28" s="15" t="s">
        <v>287</v>
      </c>
      <c r="R28" s="15">
        <v>7.5299019999999999</v>
      </c>
      <c r="S28" s="15">
        <v>79.985663000000002</v>
      </c>
      <c r="T28" s="15">
        <v>0</v>
      </c>
      <c r="U28" s="15">
        <v>17920</v>
      </c>
      <c r="V28" s="15">
        <v>0.6</v>
      </c>
      <c r="W28" s="15">
        <v>134</v>
      </c>
      <c r="X28" s="15">
        <v>27</v>
      </c>
      <c r="Y28" s="51" t="s">
        <v>653</v>
      </c>
      <c r="Z28" s="22" t="s">
        <v>635</v>
      </c>
      <c r="AA28" s="22" t="s">
        <v>654</v>
      </c>
      <c r="AB28" s="22">
        <v>7.5141540000000004</v>
      </c>
      <c r="AC28" s="22">
        <v>80.002038999999996</v>
      </c>
      <c r="AD28" s="22">
        <v>0</v>
      </c>
      <c r="AE28" s="22">
        <v>18930</v>
      </c>
      <c r="AF28" s="22">
        <v>0.6</v>
      </c>
      <c r="AG28" s="22">
        <v>314</v>
      </c>
      <c r="AH28" s="22">
        <v>30</v>
      </c>
      <c r="AI28" s="56" t="s">
        <v>655</v>
      </c>
      <c r="AJ28" s="23" t="s">
        <v>657</v>
      </c>
      <c r="AK28" s="23" t="s">
        <v>656</v>
      </c>
      <c r="AL28" s="23" t="s">
        <v>658</v>
      </c>
      <c r="AM28" s="23" t="s">
        <v>659</v>
      </c>
      <c r="AN28" s="23" t="s">
        <v>660</v>
      </c>
      <c r="AO28" s="23" t="s">
        <v>632</v>
      </c>
      <c r="AP28" s="23"/>
      <c r="AQ28" s="34" t="str">
        <f>Z28</f>
        <v>KU0103</v>
      </c>
      <c r="AR28" s="34" t="str">
        <f>AA28</f>
        <v>Koshena</v>
      </c>
      <c r="AS28" s="34" t="str">
        <f>L28</f>
        <v>18G3925</v>
      </c>
    </row>
    <row r="29" spans="1:45" ht="19.95" hidden="1" customHeight="1">
      <c r="A29" s="99" t="s">
        <v>288</v>
      </c>
      <c r="B29" s="100" t="s">
        <v>289</v>
      </c>
      <c r="C29" s="23" t="s">
        <v>176</v>
      </c>
      <c r="D29" s="37" t="s">
        <v>7</v>
      </c>
      <c r="E29" s="23" t="s">
        <v>7</v>
      </c>
      <c r="F29" s="23"/>
      <c r="G29" s="14" t="s">
        <v>7</v>
      </c>
      <c r="H29" s="14"/>
      <c r="I29" s="14"/>
      <c r="J29" s="14"/>
      <c r="K29" s="14"/>
      <c r="L29" s="14"/>
      <c r="M29" s="14"/>
      <c r="N29" s="14"/>
      <c r="O29" s="14"/>
      <c r="P29" s="15"/>
      <c r="Q29" s="15"/>
      <c r="R29" s="15"/>
      <c r="S29" s="15"/>
      <c r="T29" s="15"/>
      <c r="U29" s="15"/>
      <c r="V29" s="15"/>
      <c r="W29" s="15"/>
      <c r="X29" s="15"/>
      <c r="Y29" s="51"/>
      <c r="Z29" s="22"/>
      <c r="AA29" s="22"/>
      <c r="AB29" s="22"/>
      <c r="AC29" s="22"/>
      <c r="AD29" s="22"/>
      <c r="AE29" s="22"/>
      <c r="AF29" s="22"/>
      <c r="AG29" s="22"/>
      <c r="AH29" s="22"/>
      <c r="AI29" s="56"/>
      <c r="AJ29" s="23"/>
      <c r="AK29" s="23"/>
      <c r="AL29" s="23"/>
      <c r="AM29" s="23"/>
      <c r="AN29" s="23"/>
      <c r="AO29" s="23"/>
      <c r="AP29" s="23"/>
      <c r="AQ29" s="34">
        <f>Z29</f>
        <v>0</v>
      </c>
      <c r="AR29" s="34">
        <f>AA29</f>
        <v>0</v>
      </c>
      <c r="AS29" s="34">
        <f>L29</f>
        <v>0</v>
      </c>
    </row>
    <row r="30" spans="1:45" ht="19.95" hidden="1" customHeight="1">
      <c r="A30" s="99" t="s">
        <v>290</v>
      </c>
      <c r="B30" s="100" t="s">
        <v>291</v>
      </c>
      <c r="C30" s="23" t="s">
        <v>176</v>
      </c>
      <c r="D30" s="37" t="s">
        <v>10</v>
      </c>
      <c r="E30" s="23"/>
      <c r="F30" s="23"/>
      <c r="G30" s="14" t="s">
        <v>92</v>
      </c>
      <c r="H30" s="14"/>
      <c r="I30" s="14"/>
      <c r="J30" s="14"/>
      <c r="K30" s="14"/>
      <c r="L30" s="14"/>
      <c r="M30" s="14"/>
      <c r="N30" s="14"/>
      <c r="O30" s="14"/>
      <c r="P30" s="15"/>
      <c r="Q30" s="15"/>
      <c r="R30" s="15"/>
      <c r="S30" s="15"/>
      <c r="T30" s="15"/>
      <c r="U30" s="15"/>
      <c r="V30" s="15"/>
      <c r="W30" s="15"/>
      <c r="X30" s="15"/>
      <c r="Y30" s="51"/>
      <c r="Z30" s="22"/>
      <c r="AA30" s="22"/>
      <c r="AB30" s="22"/>
      <c r="AC30" s="22"/>
      <c r="AD30" s="22"/>
      <c r="AE30" s="22"/>
      <c r="AF30" s="22"/>
      <c r="AG30" s="22"/>
      <c r="AH30" s="22"/>
      <c r="AI30" s="56"/>
      <c r="AJ30" s="23"/>
      <c r="AK30" s="23"/>
      <c r="AL30" s="23"/>
      <c r="AM30" s="23"/>
      <c r="AN30" s="23"/>
      <c r="AO30" s="23"/>
      <c r="AP30" s="23"/>
      <c r="AQ30" s="34">
        <f>Z30</f>
        <v>0</v>
      </c>
      <c r="AR30" s="34">
        <f>AA30</f>
        <v>0</v>
      </c>
      <c r="AS30" s="34">
        <f>L30</f>
        <v>0</v>
      </c>
    </row>
    <row r="31" spans="1:45" ht="19.95" hidden="1" customHeight="1">
      <c r="A31" s="99" t="s">
        <v>292</v>
      </c>
      <c r="B31" s="100" t="s">
        <v>293</v>
      </c>
      <c r="C31" s="23" t="s">
        <v>176</v>
      </c>
      <c r="D31" s="37" t="s">
        <v>8</v>
      </c>
      <c r="E31" s="23" t="s">
        <v>304</v>
      </c>
      <c r="F31" s="23"/>
      <c r="G31" s="14" t="s">
        <v>61</v>
      </c>
      <c r="H31" s="14" t="s">
        <v>59</v>
      </c>
      <c r="I31" s="14">
        <v>400</v>
      </c>
      <c r="J31" s="14"/>
      <c r="K31" s="14" t="s">
        <v>60</v>
      </c>
      <c r="L31" s="14" t="s">
        <v>348</v>
      </c>
      <c r="M31" s="14">
        <v>2.2200000000000002</v>
      </c>
      <c r="N31" s="14">
        <v>19.5</v>
      </c>
      <c r="O31" s="14">
        <v>-30.13</v>
      </c>
      <c r="P31" s="15" t="s">
        <v>292</v>
      </c>
      <c r="Q31" s="15" t="s">
        <v>293</v>
      </c>
      <c r="R31" s="15">
        <v>9.7600741000000006</v>
      </c>
      <c r="S31" s="15">
        <v>80.116531199999997</v>
      </c>
      <c r="T31" s="15">
        <v>3.61</v>
      </c>
      <c r="U31" s="15">
        <v>21840</v>
      </c>
      <c r="V31" s="15">
        <v>0.6</v>
      </c>
      <c r="W31" s="15">
        <v>2</v>
      </c>
      <c r="X31" s="15">
        <v>18</v>
      </c>
      <c r="Y31" s="51" t="s">
        <v>349</v>
      </c>
      <c r="Z31" s="22" t="s">
        <v>350</v>
      </c>
      <c r="AA31" s="22" t="s">
        <v>351</v>
      </c>
      <c r="AB31" s="22">
        <v>9.7800440000000002</v>
      </c>
      <c r="AC31" s="22">
        <v>80.117343000000005</v>
      </c>
      <c r="AD31" s="22">
        <v>10.36</v>
      </c>
      <c r="AE31" s="22">
        <v>23072</v>
      </c>
      <c r="AF31" s="22">
        <v>0.6</v>
      </c>
      <c r="AG31" s="22">
        <v>182</v>
      </c>
      <c r="AH31" s="22">
        <v>25</v>
      </c>
      <c r="AI31" s="56" t="s">
        <v>352</v>
      </c>
      <c r="AJ31" s="23" t="s">
        <v>359</v>
      </c>
      <c r="AK31" s="23" t="s">
        <v>357</v>
      </c>
      <c r="AL31" s="23" t="s">
        <v>358</v>
      </c>
      <c r="AM31" s="23" t="s">
        <v>356</v>
      </c>
      <c r="AN31" s="23" t="s">
        <v>360</v>
      </c>
      <c r="AO31" s="23" t="s">
        <v>85</v>
      </c>
      <c r="AP31" s="23"/>
      <c r="AQ31" s="34" t="str">
        <f>Z31</f>
        <v>JA0191</v>
      </c>
      <c r="AR31" s="34" t="str">
        <f>AA31</f>
        <v>Achchuweli_Town</v>
      </c>
      <c r="AS31" s="34" t="str">
        <f>L31</f>
        <v>23G3431</v>
      </c>
    </row>
    <row r="32" spans="1:45" ht="19.95" hidden="1" customHeight="1">
      <c r="A32" s="99" t="s">
        <v>294</v>
      </c>
      <c r="B32" s="100" t="s">
        <v>295</v>
      </c>
      <c r="C32" s="23" t="s">
        <v>176</v>
      </c>
      <c r="D32" s="37" t="s">
        <v>8</v>
      </c>
      <c r="E32" s="23" t="s">
        <v>305</v>
      </c>
      <c r="F32" s="23"/>
      <c r="G32" s="14" t="s">
        <v>61</v>
      </c>
      <c r="H32" s="14" t="s">
        <v>59</v>
      </c>
      <c r="I32" s="14">
        <v>400</v>
      </c>
      <c r="J32" s="14"/>
      <c r="K32" s="14" t="s">
        <v>60</v>
      </c>
      <c r="L32" s="14" t="s">
        <v>337</v>
      </c>
      <c r="M32" s="14">
        <v>1.24</v>
      </c>
      <c r="N32" s="14">
        <v>19.5</v>
      </c>
      <c r="O32" s="14">
        <v>-30.27</v>
      </c>
      <c r="P32" s="15" t="s">
        <v>294</v>
      </c>
      <c r="Q32" s="15" t="s">
        <v>338</v>
      </c>
      <c r="R32" s="15">
        <v>7.4615020000000003</v>
      </c>
      <c r="S32" s="15">
        <v>80.464960000000005</v>
      </c>
      <c r="T32" s="15">
        <v>0</v>
      </c>
      <c r="U32" s="15">
        <v>21840</v>
      </c>
      <c r="V32" s="15">
        <v>0.3</v>
      </c>
      <c r="W32" s="15">
        <v>21</v>
      </c>
      <c r="X32" s="15">
        <v>27</v>
      </c>
      <c r="Y32" s="51" t="s">
        <v>339</v>
      </c>
      <c r="Z32" s="22" t="s">
        <v>340</v>
      </c>
      <c r="AA32" s="22" t="s">
        <v>341</v>
      </c>
      <c r="AB32" s="22">
        <v>7.471959</v>
      </c>
      <c r="AC32" s="22">
        <v>80.468930999999998</v>
      </c>
      <c r="AD32" s="22">
        <v>0</v>
      </c>
      <c r="AE32" s="22">
        <v>23072</v>
      </c>
      <c r="AF32" s="22">
        <v>0.6</v>
      </c>
      <c r="AG32" s="22">
        <v>201</v>
      </c>
      <c r="AH32" s="22">
        <v>30</v>
      </c>
      <c r="AI32" s="56" t="s">
        <v>342</v>
      </c>
      <c r="AJ32" s="23" t="s">
        <v>346</v>
      </c>
      <c r="AK32" s="23" t="s">
        <v>344</v>
      </c>
      <c r="AL32" s="23" t="s">
        <v>345</v>
      </c>
      <c r="AM32" s="23" t="s">
        <v>343</v>
      </c>
      <c r="AN32" s="23" t="s">
        <v>347</v>
      </c>
      <c r="AO32" s="23" t="s">
        <v>126</v>
      </c>
      <c r="AP32" s="23"/>
      <c r="AQ32" s="34" t="str">
        <f>Z32</f>
        <v>KU0144</v>
      </c>
      <c r="AR32" s="34" t="str">
        <f>AA32</f>
        <v>Welagedara</v>
      </c>
      <c r="AS32" s="34" t="str">
        <f>L32</f>
        <v>23G3461</v>
      </c>
    </row>
    <row r="33" spans="1:45" ht="19.95" hidden="1" customHeight="1">
      <c r="A33" s="99" t="s">
        <v>297</v>
      </c>
      <c r="B33" s="100" t="s">
        <v>298</v>
      </c>
      <c r="C33" s="23" t="s">
        <v>174</v>
      </c>
      <c r="D33" s="37" t="s">
        <v>7</v>
      </c>
      <c r="E33" s="23" t="s">
        <v>7</v>
      </c>
      <c r="F33" s="23"/>
      <c r="G33" s="14" t="s">
        <v>7</v>
      </c>
      <c r="H33" s="14"/>
      <c r="I33" s="14"/>
      <c r="J33" s="14"/>
      <c r="K33" s="14"/>
      <c r="L33" s="14"/>
      <c r="M33" s="14"/>
      <c r="N33" s="14"/>
      <c r="O33" s="14"/>
      <c r="P33" s="15"/>
      <c r="Q33" s="15"/>
      <c r="R33" s="15"/>
      <c r="S33" s="15"/>
      <c r="T33" s="15"/>
      <c r="U33" s="15"/>
      <c r="V33" s="15"/>
      <c r="W33" s="15"/>
      <c r="X33" s="15"/>
      <c r="Y33" s="51"/>
      <c r="Z33" s="22"/>
      <c r="AA33" s="22"/>
      <c r="AB33" s="22"/>
      <c r="AC33" s="22"/>
      <c r="AD33" s="22"/>
      <c r="AE33" s="22"/>
      <c r="AF33" s="22"/>
      <c r="AG33" s="22"/>
      <c r="AH33" s="22"/>
      <c r="AI33" s="56"/>
      <c r="AJ33" s="23"/>
      <c r="AK33" s="23"/>
      <c r="AL33" s="23"/>
      <c r="AM33" s="23"/>
      <c r="AN33" s="23"/>
      <c r="AO33" s="23"/>
      <c r="AP33" s="23"/>
      <c r="AQ33" s="34">
        <f>Z33</f>
        <v>0</v>
      </c>
      <c r="AR33" s="34">
        <f>AA33</f>
        <v>0</v>
      </c>
      <c r="AS33" s="34">
        <f>L33</f>
        <v>0</v>
      </c>
    </row>
    <row r="34" spans="1:45" ht="19.95" hidden="1" customHeight="1">
      <c r="A34" s="99" t="s">
        <v>299</v>
      </c>
      <c r="B34" s="100" t="s">
        <v>300</v>
      </c>
      <c r="C34" s="23" t="s">
        <v>176</v>
      </c>
      <c r="D34" s="37" t="s">
        <v>10</v>
      </c>
      <c r="E34" s="23"/>
      <c r="F34" s="23"/>
      <c r="G34" s="14" t="s">
        <v>92</v>
      </c>
      <c r="H34" s="14"/>
      <c r="I34" s="14"/>
      <c r="J34" s="14"/>
      <c r="K34" s="14"/>
      <c r="L34" s="14"/>
      <c r="M34" s="14"/>
      <c r="N34" s="14"/>
      <c r="O34" s="14"/>
      <c r="P34" s="15"/>
      <c r="Q34" s="15"/>
      <c r="R34" s="15"/>
      <c r="S34" s="15"/>
      <c r="T34" s="15"/>
      <c r="U34" s="15"/>
      <c r="V34" s="15"/>
      <c r="W34" s="15"/>
      <c r="X34" s="15"/>
      <c r="Y34" s="51"/>
      <c r="Z34" s="22"/>
      <c r="AA34" s="22"/>
      <c r="AB34" s="22"/>
      <c r="AC34" s="22"/>
      <c r="AD34" s="22"/>
      <c r="AE34" s="22"/>
      <c r="AF34" s="22"/>
      <c r="AG34" s="22"/>
      <c r="AH34" s="22"/>
      <c r="AI34" s="56"/>
      <c r="AJ34" s="23"/>
      <c r="AK34" s="23"/>
      <c r="AL34" s="23"/>
      <c r="AM34" s="23"/>
      <c r="AN34" s="23"/>
      <c r="AO34" s="23"/>
      <c r="AP34" s="23"/>
      <c r="AQ34" s="34">
        <f>Z34</f>
        <v>0</v>
      </c>
      <c r="AR34" s="34">
        <f>AA34</f>
        <v>0</v>
      </c>
      <c r="AS34" s="34">
        <f>L34</f>
        <v>0</v>
      </c>
    </row>
    <row r="35" spans="1:45" ht="19.95" customHeight="1">
      <c r="A35" s="92"/>
      <c r="B35" s="92"/>
      <c r="C35" s="92"/>
      <c r="D35" s="37"/>
      <c r="E35" s="23"/>
      <c r="F35" s="23"/>
      <c r="G35" s="14"/>
      <c r="H35" s="14"/>
      <c r="I35" s="14"/>
      <c r="J35" s="14"/>
      <c r="K35" s="14"/>
      <c r="L35" s="14"/>
      <c r="M35" s="14"/>
      <c r="N35" s="14"/>
      <c r="O35" s="14"/>
      <c r="P35" s="15"/>
      <c r="Q35" s="15"/>
      <c r="R35" s="15"/>
      <c r="S35" s="15"/>
      <c r="T35" s="15"/>
      <c r="U35" s="15"/>
      <c r="V35" s="15"/>
      <c r="W35" s="15"/>
      <c r="X35" s="15"/>
      <c r="Y35" s="51"/>
      <c r="Z35" s="22"/>
      <c r="AA35" s="22"/>
      <c r="AB35" s="22"/>
      <c r="AC35" s="22"/>
      <c r="AD35" s="22"/>
      <c r="AE35" s="22"/>
      <c r="AF35" s="22"/>
      <c r="AG35" s="22"/>
      <c r="AH35" s="22"/>
      <c r="AI35" s="56"/>
      <c r="AJ35" s="23"/>
      <c r="AK35" s="23"/>
      <c r="AL35" s="23"/>
      <c r="AM35" s="23"/>
      <c r="AN35" s="23"/>
      <c r="AO35" s="23"/>
      <c r="AP35" s="23"/>
      <c r="AQ35" s="34"/>
      <c r="AR35" s="34"/>
      <c r="AS35" s="34"/>
    </row>
    <row r="36" spans="1:45" ht="19.95" customHeight="1">
      <c r="A36" s="92"/>
      <c r="B36" s="92"/>
      <c r="C36" s="92"/>
      <c r="D36" s="37"/>
      <c r="E36" s="23"/>
      <c r="F36" s="23"/>
      <c r="G36" s="14"/>
      <c r="H36" s="14"/>
      <c r="I36" s="14"/>
      <c r="J36" s="14"/>
      <c r="K36" s="14"/>
      <c r="L36" s="14"/>
      <c r="M36" s="14"/>
      <c r="N36" s="14"/>
      <c r="O36" s="14"/>
      <c r="P36" s="15"/>
      <c r="Q36" s="15"/>
      <c r="R36" s="15"/>
      <c r="S36" s="15"/>
      <c r="T36" s="15"/>
      <c r="U36" s="15"/>
      <c r="V36" s="15"/>
      <c r="W36" s="15"/>
      <c r="X36" s="15"/>
      <c r="Y36" s="51"/>
      <c r="Z36" s="22"/>
      <c r="AA36" s="22"/>
      <c r="AB36" s="22"/>
      <c r="AC36" s="22"/>
      <c r="AD36" s="22"/>
      <c r="AE36" s="22"/>
      <c r="AF36" s="22"/>
      <c r="AG36" s="22"/>
      <c r="AH36" s="22"/>
      <c r="AI36" s="56"/>
      <c r="AJ36" s="23"/>
      <c r="AK36" s="23"/>
      <c r="AL36" s="23"/>
      <c r="AM36" s="23"/>
      <c r="AN36" s="23"/>
      <c r="AO36" s="23"/>
      <c r="AP36" s="23"/>
      <c r="AQ36" s="34"/>
      <c r="AR36" s="34"/>
      <c r="AS36" s="34"/>
    </row>
    <row r="37" spans="1:45" ht="19.95" customHeight="1">
      <c r="A37" s="92"/>
      <c r="B37" s="92"/>
      <c r="C37" s="92"/>
      <c r="D37" s="37"/>
      <c r="E37" s="23"/>
      <c r="F37" s="23"/>
      <c r="G37" s="14"/>
      <c r="H37" s="14"/>
      <c r="I37" s="14"/>
      <c r="J37" s="14"/>
      <c r="K37" s="14"/>
      <c r="L37" s="14"/>
      <c r="M37" s="14"/>
      <c r="N37" s="14"/>
      <c r="O37" s="14"/>
      <c r="P37" s="15"/>
      <c r="Q37" s="15"/>
      <c r="R37" s="15"/>
      <c r="S37" s="15"/>
      <c r="T37" s="15"/>
      <c r="U37" s="15"/>
      <c r="V37" s="15"/>
      <c r="W37" s="15"/>
      <c r="X37" s="15"/>
      <c r="Y37" s="51"/>
      <c r="Z37" s="22"/>
      <c r="AA37" s="22"/>
      <c r="AB37" s="22"/>
      <c r="AC37" s="22"/>
      <c r="AD37" s="22"/>
      <c r="AE37" s="22"/>
      <c r="AF37" s="22"/>
      <c r="AG37" s="22"/>
      <c r="AH37" s="22"/>
      <c r="AI37" s="56"/>
      <c r="AJ37" s="23"/>
      <c r="AK37" s="23"/>
      <c r="AL37" s="23"/>
      <c r="AM37" s="23"/>
      <c r="AN37" s="23"/>
      <c r="AO37" s="23"/>
      <c r="AP37" s="23"/>
      <c r="AQ37" s="34"/>
      <c r="AR37" s="34"/>
      <c r="AS37" s="34"/>
    </row>
    <row r="38" spans="1:45" ht="19.95" customHeight="1"/>
    <row r="39" spans="1:45" ht="19.95" customHeight="1"/>
    <row r="40" spans="1:45" ht="19.95" customHeight="1"/>
    <row r="41" spans="1:45" ht="19.95" customHeight="1"/>
    <row r="42" spans="1:45" ht="19.95" customHeight="1"/>
    <row r="43" spans="1:45" ht="19.95" customHeight="1"/>
    <row r="44" spans="1:45" ht="19.95" customHeight="1"/>
    <row r="45" spans="1:45" ht="19.95" customHeight="1"/>
    <row r="46" spans="1:45" ht="19.95" customHeight="1"/>
    <row r="47" spans="1:45" ht="19.95" customHeight="1"/>
    <row r="48" spans="1:45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  <row r="101" ht="19.95" customHeight="1"/>
    <row r="102" ht="19.95" customHeight="1"/>
    <row r="103" ht="19.95" customHeight="1"/>
    <row r="104" ht="19.95" customHeight="1"/>
    <row r="105" ht="19.95" customHeight="1"/>
    <row r="106" ht="19.95" customHeight="1"/>
    <row r="107" ht="19.95" customHeight="1"/>
    <row r="108" ht="19.95" customHeight="1"/>
    <row r="109" ht="19.95" customHeight="1"/>
    <row r="110" ht="19.95" customHeight="1"/>
    <row r="111" ht="19.95" customHeight="1"/>
    <row r="112" ht="19.95" customHeight="1"/>
    <row r="113" ht="19.95" customHeight="1"/>
    <row r="114" ht="19.95" customHeight="1"/>
    <row r="115" ht="19.95" customHeight="1"/>
    <row r="116" ht="19.95" customHeight="1"/>
    <row r="117" ht="19.95" customHeight="1"/>
    <row r="118" ht="19.95" customHeight="1"/>
    <row r="119" ht="19.95" customHeight="1"/>
    <row r="120" ht="19.95" customHeight="1"/>
    <row r="121" ht="19.95" customHeight="1"/>
    <row r="122" ht="19.95" customHeight="1"/>
    <row r="123" ht="19.95" customHeight="1"/>
    <row r="124" ht="19.95" customHeight="1"/>
    <row r="125" ht="19.95" customHeight="1"/>
    <row r="126" ht="19.95" customHeight="1"/>
    <row r="127" ht="19.95" customHeight="1"/>
    <row r="128" ht="19.95" customHeight="1"/>
    <row r="129" ht="19.95" customHeight="1"/>
    <row r="130" ht="19.95" customHeight="1"/>
    <row r="131" ht="19.95" customHeight="1"/>
    <row r="132" ht="19.95" customHeight="1"/>
    <row r="133" ht="19.95" customHeight="1"/>
    <row r="134" ht="19.95" customHeight="1"/>
    <row r="135" ht="19.95" customHeight="1"/>
    <row r="136" ht="19.95" customHeight="1"/>
    <row r="137" ht="19.95" customHeight="1"/>
    <row r="138" ht="19.95" customHeight="1"/>
    <row r="139" ht="19.95" customHeight="1"/>
    <row r="140" ht="19.95" customHeight="1"/>
    <row r="141" ht="19.95" customHeight="1"/>
    <row r="142" ht="19.95" customHeight="1"/>
    <row r="143" ht="19.95" customHeight="1"/>
    <row r="144" ht="19.95" customHeight="1"/>
    <row r="145" ht="19.95" customHeight="1"/>
    <row r="146" ht="19.95" customHeight="1"/>
    <row r="147" ht="19.95" customHeight="1"/>
    <row r="148" ht="19.95" customHeight="1"/>
    <row r="149" ht="19.95" customHeight="1"/>
    <row r="150" ht="19.95" customHeight="1"/>
    <row r="151" ht="19.95" customHeight="1"/>
    <row r="152" ht="19.95" customHeight="1"/>
    <row r="153" ht="19.95" customHeight="1"/>
    <row r="154" ht="19.95" customHeight="1"/>
    <row r="155" ht="19.95" customHeight="1"/>
    <row r="156" ht="19.95" customHeight="1"/>
    <row r="157" ht="19.95" customHeight="1"/>
    <row r="158" ht="19.95" customHeight="1"/>
    <row r="159" ht="19.95" customHeight="1"/>
    <row r="160" ht="19.95" customHeight="1"/>
    <row r="161" ht="19.95" customHeight="1"/>
    <row r="162" ht="19.95" customHeight="1"/>
    <row r="163" ht="19.95" customHeight="1"/>
    <row r="164" ht="19.95" customHeight="1"/>
    <row r="165" ht="19.95" customHeight="1"/>
    <row r="166" ht="19.95" customHeight="1"/>
    <row r="167" ht="19.95" customHeight="1"/>
    <row r="168" ht="19.95" customHeight="1"/>
    <row r="169" ht="19.95" customHeight="1"/>
    <row r="170" ht="19.95" customHeight="1"/>
    <row r="171" ht="19.95" customHeight="1"/>
    <row r="172" ht="19.95" customHeight="1"/>
    <row r="173" ht="19.95" customHeight="1"/>
    <row r="174" ht="19.95" customHeight="1"/>
    <row r="175" ht="19.95" customHeight="1"/>
    <row r="176" ht="19.95" customHeight="1"/>
    <row r="177" ht="19.95" customHeight="1"/>
    <row r="178" ht="19.95" customHeight="1"/>
    <row r="179" ht="19.95" customHeight="1"/>
    <row r="180" ht="19.95" customHeight="1"/>
    <row r="181" ht="19.95" customHeight="1"/>
    <row r="182" ht="19.95" customHeight="1"/>
    <row r="183" ht="19.95" customHeight="1"/>
    <row r="184" ht="19.95" customHeight="1"/>
    <row r="185" ht="19.95" customHeight="1"/>
    <row r="186" ht="19.95" customHeight="1"/>
    <row r="187" ht="19.95" customHeight="1"/>
    <row r="188" ht="19.95" customHeight="1"/>
    <row r="189" ht="19.95" customHeight="1"/>
    <row r="190" ht="19.95" customHeight="1"/>
    <row r="191" ht="19.95" customHeight="1"/>
    <row r="192" ht="19.95" customHeight="1"/>
    <row r="193" ht="19.95" customHeight="1"/>
    <row r="194" ht="19.95" customHeight="1"/>
    <row r="195" ht="19.95" customHeight="1"/>
    <row r="196" ht="19.95" customHeight="1"/>
    <row r="197" ht="19.95" customHeight="1"/>
    <row r="198" ht="19.95" customHeight="1"/>
    <row r="199" ht="19.95" customHeight="1"/>
    <row r="200" ht="19.95" customHeight="1"/>
    <row r="201" ht="19.95" customHeight="1"/>
    <row r="202" ht="19.95" customHeight="1"/>
    <row r="203" ht="19.95" customHeight="1"/>
    <row r="204" ht="19.95" customHeight="1"/>
    <row r="205" ht="19.95" customHeight="1"/>
    <row r="206" ht="19.95" customHeight="1"/>
    <row r="207" ht="19.95" customHeight="1"/>
    <row r="208" ht="19.95" customHeight="1"/>
    <row r="209" ht="19.95" customHeight="1"/>
    <row r="210" ht="19.95" customHeight="1"/>
    <row r="211" ht="19.95" customHeight="1"/>
    <row r="212" ht="19.95" customHeight="1"/>
    <row r="213" ht="19.95" customHeight="1"/>
    <row r="214" ht="19.95" customHeight="1"/>
    <row r="215" ht="19.95" customHeight="1"/>
    <row r="216" ht="19.95" customHeight="1"/>
    <row r="217" ht="19.95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9.95" customHeight="1"/>
    <row r="238" ht="19.95" customHeight="1"/>
    <row r="239" ht="19.95" customHeight="1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9.95" customHeight="1"/>
    <row r="255" ht="19.95" customHeight="1"/>
    <row r="256" ht="19.95" customHeight="1"/>
    <row r="257" ht="19.95" customHeight="1"/>
    <row r="258" ht="19.95" customHeight="1"/>
    <row r="259" ht="19.95" customHeight="1"/>
    <row r="260" ht="19.95" customHeight="1"/>
    <row r="261" ht="19.95" customHeight="1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</sheetData>
  <autoFilter ref="A2:AS34" xr:uid="{855213FB-4511-4A50-B6B8-D99725A90955}">
    <filterColumn colId="0">
      <colorFilter dxfId="261"/>
    </filterColumn>
  </autoFilter>
  <conditionalFormatting sqref="A4:A5">
    <cfRule type="duplicateValues" dxfId="187" priority="48"/>
    <cfRule type="duplicateValues" dxfId="186" priority="49"/>
  </conditionalFormatting>
  <conditionalFormatting sqref="A4:A5">
    <cfRule type="duplicateValues" dxfId="185" priority="50"/>
  </conditionalFormatting>
  <conditionalFormatting sqref="A4:A5">
    <cfRule type="duplicateValues" dxfId="184" priority="51"/>
  </conditionalFormatting>
  <conditionalFormatting sqref="A4:A5">
    <cfRule type="duplicateValues" dxfId="183" priority="52"/>
  </conditionalFormatting>
  <conditionalFormatting sqref="A5">
    <cfRule type="duplicateValues" dxfId="182" priority="45"/>
    <cfRule type="duplicateValues" dxfId="181" priority="46"/>
    <cfRule type="duplicateValues" dxfId="180" priority="47"/>
  </conditionalFormatting>
  <conditionalFormatting sqref="A3:A6 A8:A12">
    <cfRule type="duplicateValues" dxfId="179" priority="44"/>
  </conditionalFormatting>
  <conditionalFormatting sqref="A3:A5">
    <cfRule type="duplicateValues" dxfId="178" priority="53"/>
  </conditionalFormatting>
  <conditionalFormatting sqref="A3">
    <cfRule type="duplicateValues" dxfId="177" priority="54"/>
    <cfRule type="duplicateValues" dxfId="176" priority="55"/>
    <cfRule type="duplicateValues" dxfId="175" priority="56"/>
  </conditionalFormatting>
  <conditionalFormatting sqref="A16:A17">
    <cfRule type="duplicateValues" dxfId="174" priority="37"/>
    <cfRule type="duplicateValues" dxfId="173" priority="38"/>
  </conditionalFormatting>
  <conditionalFormatting sqref="A16:A17">
    <cfRule type="duplicateValues" dxfId="172" priority="39"/>
  </conditionalFormatting>
  <conditionalFormatting sqref="A16:A17">
    <cfRule type="duplicateValues" dxfId="171" priority="40"/>
  </conditionalFormatting>
  <conditionalFormatting sqref="A16:A17">
    <cfRule type="duplicateValues" dxfId="170" priority="41"/>
  </conditionalFormatting>
  <conditionalFormatting sqref="A16:A17">
    <cfRule type="duplicateValues" dxfId="169" priority="42"/>
  </conditionalFormatting>
  <conditionalFormatting sqref="A13:A15">
    <cfRule type="duplicateValues" dxfId="168" priority="34"/>
    <cfRule type="duplicateValues" dxfId="167" priority="35"/>
    <cfRule type="duplicateValues" dxfId="166" priority="36"/>
  </conditionalFormatting>
  <conditionalFormatting sqref="A13">
    <cfRule type="duplicateValues" dxfId="165" priority="33"/>
  </conditionalFormatting>
  <conditionalFormatting sqref="A17">
    <cfRule type="duplicateValues" dxfId="164" priority="30"/>
    <cfRule type="duplicateValues" dxfId="163" priority="31"/>
    <cfRule type="duplicateValues" dxfId="162" priority="32"/>
  </conditionalFormatting>
  <conditionalFormatting sqref="A18:A21">
    <cfRule type="duplicateValues" dxfId="161" priority="29"/>
  </conditionalFormatting>
  <conditionalFormatting sqref="A18">
    <cfRule type="duplicateValues" dxfId="160" priority="23"/>
    <cfRule type="duplicateValues" dxfId="159" priority="24"/>
    <cfRule type="duplicateValues" dxfId="158" priority="25"/>
  </conditionalFormatting>
  <conditionalFormatting sqref="A18">
    <cfRule type="duplicateValues" dxfId="157" priority="26"/>
  </conditionalFormatting>
  <conditionalFormatting sqref="A18">
    <cfRule type="duplicateValues" dxfId="156" priority="27"/>
  </conditionalFormatting>
  <conditionalFormatting sqref="A18:A20">
    <cfRule type="duplicateValues" dxfId="155" priority="28"/>
  </conditionalFormatting>
  <conditionalFormatting sqref="A19">
    <cfRule type="duplicateValues" dxfId="154" priority="18"/>
  </conditionalFormatting>
  <conditionalFormatting sqref="A19:A20">
    <cfRule type="duplicateValues" dxfId="153" priority="19"/>
    <cfRule type="duplicateValues" dxfId="152" priority="20"/>
    <cfRule type="duplicateValues" dxfId="151" priority="21"/>
  </conditionalFormatting>
  <conditionalFormatting sqref="A19">
    <cfRule type="duplicateValues" dxfId="150" priority="22"/>
  </conditionalFormatting>
  <conditionalFormatting sqref="A21">
    <cfRule type="duplicateValues" dxfId="149" priority="14"/>
  </conditionalFormatting>
  <conditionalFormatting sqref="A21">
    <cfRule type="duplicateValues" dxfId="148" priority="15"/>
    <cfRule type="duplicateValues" dxfId="147" priority="16"/>
    <cfRule type="duplicateValues" dxfId="146" priority="17"/>
  </conditionalFormatting>
  <conditionalFormatting sqref="B21">
    <cfRule type="duplicateValues" dxfId="145" priority="13"/>
  </conditionalFormatting>
  <conditionalFormatting sqref="A22:A26">
    <cfRule type="duplicateValues" dxfId="144" priority="3"/>
    <cfRule type="duplicateValues" dxfId="143" priority="4"/>
    <cfRule type="duplicateValues" dxfId="142" priority="5"/>
    <cfRule type="duplicateValues" dxfId="141" priority="6"/>
    <cfRule type="duplicateValues" dxfId="140" priority="7"/>
    <cfRule type="duplicateValues" dxfId="139" priority="8"/>
    <cfRule type="duplicateValues" dxfId="138" priority="9"/>
    <cfRule type="duplicateValues" dxfId="137" priority="10"/>
    <cfRule type="duplicateValues" dxfId="136" priority="11"/>
    <cfRule type="duplicateValues" dxfId="135" priority="12"/>
  </conditionalFormatting>
  <conditionalFormatting sqref="A13:A17">
    <cfRule type="duplicateValues" dxfId="134" priority="43"/>
  </conditionalFormatting>
  <conditionalFormatting sqref="Q3:Q9">
    <cfRule type="duplicateValues" dxfId="133" priority="57"/>
  </conditionalFormatting>
  <conditionalFormatting sqref="P3:P9">
    <cfRule type="duplicateValues" dxfId="132" priority="58"/>
  </conditionalFormatting>
  <conditionalFormatting sqref="A27:B34">
    <cfRule type="duplicateValues" dxfId="131" priority="2"/>
  </conditionalFormatting>
  <conditionalFormatting sqref="A1:A1048576">
    <cfRule type="duplicateValues" dxfId="130" priority="1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4BD00-CB40-47CF-AC83-B16DA1DB9722}">
  <sheetPr codeName="Sheet6"/>
  <dimension ref="A1:U87"/>
  <sheetViews>
    <sheetView workbookViewId="0">
      <pane xSplit="2" ySplit="2" topLeftCell="C9" activePane="bottomRight" state="frozen"/>
      <selection pane="topRight" activeCell="C1" sqref="C1"/>
      <selection pane="bottomLeft" activeCell="A5" sqref="A5"/>
      <selection pane="bottomRight" activeCell="A22" sqref="A22:XFD22"/>
    </sheetView>
  </sheetViews>
  <sheetFormatPr defaultRowHeight="14.4"/>
  <cols>
    <col min="1" max="1" width="13" style="16" customWidth="1"/>
    <col min="2" max="2" width="32.44140625" style="16" customWidth="1"/>
    <col min="3" max="3" width="17.5546875" style="3" customWidth="1"/>
    <col min="4" max="4" width="20.21875" style="3" bestFit="1" customWidth="1"/>
    <col min="5" max="8" width="17.5546875" style="3" customWidth="1"/>
    <col min="9" max="9" width="56.77734375" style="283" bestFit="1" customWidth="1"/>
    <col min="10" max="10" width="17.5546875" style="284" customWidth="1"/>
    <col min="11" max="12" width="17.5546875" style="283" customWidth="1"/>
    <col min="13" max="13" width="21.44140625" style="284" bestFit="1" customWidth="1"/>
    <col min="14" max="16" width="17.5546875" style="283" customWidth="1"/>
    <col min="17" max="17" width="17.5546875" style="284" customWidth="1"/>
    <col min="18" max="18" width="42.6640625" style="283" bestFit="1" customWidth="1"/>
    <col min="19" max="21" width="17.5546875" style="283" customWidth="1"/>
    <col min="22" max="16384" width="8.88671875" style="3"/>
  </cols>
  <sheetData>
    <row r="1" spans="1:21" ht="21">
      <c r="A1" s="210" t="s">
        <v>532</v>
      </c>
    </row>
    <row r="2" spans="1:21" ht="42" customHeight="1">
      <c r="A2" s="187" t="s">
        <v>0</v>
      </c>
      <c r="B2" s="187" t="s">
        <v>18</v>
      </c>
      <c r="C2" s="187" t="s">
        <v>3</v>
      </c>
      <c r="D2" s="187" t="s">
        <v>15</v>
      </c>
      <c r="E2" s="187" t="s">
        <v>84</v>
      </c>
      <c r="F2" s="187" t="s">
        <v>74</v>
      </c>
      <c r="G2" s="187" t="s">
        <v>100</v>
      </c>
      <c r="H2" s="187" t="s">
        <v>399</v>
      </c>
      <c r="I2" s="285" t="s">
        <v>147</v>
      </c>
      <c r="J2" s="285" t="s">
        <v>78</v>
      </c>
      <c r="K2" s="285" t="s">
        <v>106</v>
      </c>
      <c r="L2" s="285" t="s">
        <v>403</v>
      </c>
      <c r="M2" s="285" t="s">
        <v>533</v>
      </c>
      <c r="N2" s="285" t="s">
        <v>534</v>
      </c>
      <c r="O2" s="285" t="s">
        <v>535</v>
      </c>
      <c r="P2" s="285" t="s">
        <v>536</v>
      </c>
      <c r="Q2" s="285" t="s">
        <v>517</v>
      </c>
      <c r="R2" s="285" t="s">
        <v>136</v>
      </c>
      <c r="S2" s="285" t="s">
        <v>285</v>
      </c>
      <c r="T2" s="286" t="s">
        <v>515</v>
      </c>
      <c r="U2" s="286" t="s">
        <v>516</v>
      </c>
    </row>
    <row r="3" spans="1:21">
      <c r="A3" s="211" t="str">
        <f>IFERROR(IF('Full Plan'!A3="","",'Full Plan'!A3),"")</f>
        <v>KI5034</v>
      </c>
      <c r="B3" s="211" t="str">
        <f>IFERROR(_xlfn.XLOOKUP($A3,'Full Plan'!$A:$A,'Full Plan'!$B:$B,""),"")</f>
        <v>Piramanthanaru_Lamp</v>
      </c>
      <c r="C3" s="192" t="str">
        <f>IFERROR(_xlfn.XLOOKUP($A3,'Full Plan'!$A:$A,'Full Plan'!$E:$E,""),"")</f>
        <v>Chanaka</v>
      </c>
      <c r="D3" s="279" t="str">
        <f>IFERROR(_xlfn.XLOOKUP($A3,'Full Plan'!$A:$A,'Full Plan'!$J:$J,""),"")</f>
        <v>Partially On Air</v>
      </c>
      <c r="E3" s="281">
        <f>IFERROR(_xlfn.XLOOKUP($A3,'Full Plan'!$A:$A,'Full Plan'!$F:$F,""),"")</f>
        <v>25</v>
      </c>
      <c r="F3" s="188" t="str">
        <f>IFERROR(_xlfn.XLOOKUP($A3,'Full Plan'!$A:$A,'Full Plan'!$G:$G,""),"")</f>
        <v>Huawei</v>
      </c>
      <c r="G3" s="190" t="str">
        <f>IFERROR(_xlfn.XLOOKUP($A3,'Full Plan'!$A:$A,'Full Plan'!$I:$I,""),"")</f>
        <v>Wi-Bas</v>
      </c>
      <c r="H3" s="192" t="str">
        <f>IFERROR(_xlfn.XLOOKUP($A3,'Full Plan'!$A:$A,'Full Plan'!$H:$H,""),"")</f>
        <v>WiBAS</v>
      </c>
      <c r="I3" s="275" t="str">
        <f>IFERROR(_xlfn.XLOOKUP($A3,'Full Plan'!$A:$A,'Full Plan'!$N:$N,""),"")</f>
        <v>Received</v>
      </c>
      <c r="J3" s="212" t="str">
        <f>IFERROR(_xlfn.XLOOKUP($A3,'Full Plan'!$A:$A,'Full Plan'!$T:$T,""),"")</f>
        <v>WIBAS_2026_1678</v>
      </c>
      <c r="K3" s="275" t="str">
        <f>IFERROR(_xlfn.XLOOKUP($A3,'Full Plan'!$A:$A,'Full Plan'!$U:$U,""),"")</f>
        <v>MW Link OK</v>
      </c>
      <c r="L3" s="275" t="str">
        <f>IFERROR(_xlfn.XLOOKUP($A3,'Full Plan'!$A:$A,'Full Plan'!$V:$V,""),"")</f>
        <v>Received</v>
      </c>
      <c r="M3" s="277" t="str">
        <f>IFERROR(_xlfn.XLOOKUP($A3,'Full Plan'!$A:$A,'Full Plan'!$O:$O,""),"")</f>
        <v>Extention Brackets OK</v>
      </c>
      <c r="N3" s="275" t="str">
        <f>IFERROR(_xlfn.XLOOKUP($A3,'Full Plan'!$A:$A,'Full Plan'!$P:$P,""),"")</f>
        <v>Received</v>
      </c>
      <c r="O3" s="275" t="str">
        <f>IFERROR(_xlfn.XLOOKUP($A3,'Full Plan'!$A:$A,'Full Plan'!$Q:$Q,""),"")</f>
        <v>Received</v>
      </c>
      <c r="P3" s="275" t="str">
        <f>IFERROR(_xlfn.XLOOKUP($A3,'Full Plan'!$A:$A,'Full Plan'!$R:$R,""),"")</f>
        <v>Received</v>
      </c>
      <c r="Q3" s="287" t="str">
        <f>IFERROR(_xlfn.XLOOKUP($A3,'MW Removal &amp; Update'!$A:$A,'MW Removal &amp; Update'!$M:$M,""),"")</f>
        <v>10G1017</v>
      </c>
      <c r="R3" s="288" t="str">
        <f>IFERROR(_xlfn.XLOOKUP($A3,'Full Plan'!$A:$A,'Full Plan'!$K:$K,""),"")</f>
        <v>No power at site, Hub changed due to access issue</v>
      </c>
      <c r="S3" s="205" t="str">
        <f>IF($A3="","",IF(COUNTIF($I3:$P3,"*Pending*")=0,"Ready","Waiting"))</f>
        <v>Ready</v>
      </c>
      <c r="T3" s="205" t="str">
        <f>IFERROR(_xlfn.XLOOKUP($A3,'Material Summary'!$A:$A,'Material Summary'!$F:$F,""),"")</f>
        <v>Full BBU</v>
      </c>
      <c r="U3" s="288" t="str">
        <f>IFERROR(_xlfn.XLOOKUP($A3,'Material Summary'!$A:$A,'Material Summary'!$G:$G,""),"")</f>
        <v>n/a - Huawei</v>
      </c>
    </row>
    <row r="4" spans="1:21">
      <c r="A4" s="211" t="str">
        <f>IFERROR(IF('Full Plan'!A4="","",'Full Plan'!A4),"")</f>
        <v>KI5029</v>
      </c>
      <c r="B4" s="211" t="str">
        <f>IFERROR(_xlfn.XLOOKUP($A4,'Full Plan'!$A:$A,'Full Plan'!$B:$B,""),"")</f>
        <v>Pallikuda_Lamp</v>
      </c>
      <c r="C4" s="192" t="str">
        <f>IFERROR(_xlfn.XLOOKUP($A4,'Full Plan'!$A:$A,'Full Plan'!$E:$E,""),"")</f>
        <v>Chanaka</v>
      </c>
      <c r="D4" s="279" t="str">
        <f>IFERROR(_xlfn.XLOOKUP($A4,'Full Plan'!$A:$A,'Full Plan'!$J:$J,""),"")</f>
        <v>Partially On Air</v>
      </c>
      <c r="E4" s="281">
        <f>IFERROR(_xlfn.XLOOKUP($A4,'Full Plan'!$A:$A,'Full Plan'!$F:$F,""),"")</f>
        <v>30</v>
      </c>
      <c r="F4" s="188" t="str">
        <f>IFERROR(_xlfn.XLOOKUP($A4,'Full Plan'!$A:$A,'Full Plan'!$G:$G,""),"")</f>
        <v>Huawei</v>
      </c>
      <c r="G4" s="188" t="str">
        <f>IFERROR(_xlfn.XLOOKUP($A4,'Full Plan'!$A:$A,'Full Plan'!$I:$I,""),"")</f>
        <v>Huawei</v>
      </c>
      <c r="H4" s="189" t="str">
        <f>IFERROR(_xlfn.XLOOKUP($A4,'Full Plan'!$A:$A,'Full Plan'!$H:$H,""),"")</f>
        <v>MW-HYB</v>
      </c>
      <c r="I4" s="275" t="str">
        <f>IFERROR(_xlfn.XLOOKUP($A4,'Full Plan'!$A:$A,'Full Plan'!$N:$N,""),"")</f>
        <v>Received</v>
      </c>
      <c r="J4" s="212" t="str">
        <f>IFERROR(_xlfn.XLOOKUP($A4,'Full Plan'!$A:$A,'Full Plan'!$T:$T,""),"")</f>
        <v>MW_2026_1995</v>
      </c>
      <c r="K4" s="275" t="str">
        <f>IFERROR(_xlfn.XLOOKUP($A4,'Full Plan'!$A:$A,'Full Plan'!$U:$U,""),"")</f>
        <v>MW Link OK</v>
      </c>
      <c r="L4" s="275" t="str">
        <f>IFERROR(_xlfn.XLOOKUP($A4,'Full Plan'!$A:$A,'Full Plan'!$V:$V,""),"")</f>
        <v>Received</v>
      </c>
      <c r="M4" s="277" t="str">
        <f>IFERROR(_xlfn.XLOOKUP($A4,'Full Plan'!$A:$A,'Full Plan'!$O:$O,""),"")</f>
        <v>Extention Brackets OK</v>
      </c>
      <c r="N4" s="275" t="str">
        <f>IFERROR(_xlfn.XLOOKUP($A4,'Full Plan'!$A:$A,'Full Plan'!$P:$P,""),"")</f>
        <v>Received</v>
      </c>
      <c r="O4" s="275" t="str">
        <f>IFERROR(_xlfn.XLOOKUP($A4,'Full Plan'!$A:$A,'Full Plan'!$Q:$Q,""),"")</f>
        <v>Received</v>
      </c>
      <c r="P4" s="275" t="str">
        <f>IFERROR(_xlfn.XLOOKUP($A4,'Full Plan'!$A:$A,'Full Plan'!$R:$R,""),"")</f>
        <v>Received</v>
      </c>
      <c r="Q4" s="287" t="str">
        <f>IFERROR(_xlfn.XLOOKUP($A4,'MW Removal &amp; Update'!$A:$A,'MW Removal &amp; Update'!$M:$M,""),"")</f>
        <v>ACE WH Pending</v>
      </c>
      <c r="R4" s="288">
        <f>IFERROR(_xlfn.XLOOKUP($A4,'Full Plan'!$A:$A,'Full Plan'!$K:$K,""),"")</f>
        <v>0</v>
      </c>
      <c r="S4" s="205" t="str">
        <f>IF($A4="","",IF(COUNTIF($I4:$P4,"*Pending*")=0,"Ready","Waiting"))</f>
        <v>Ready</v>
      </c>
      <c r="T4" s="205" t="str">
        <f>IFERROR(_xlfn.XLOOKUP($A4,'Material Summary'!$A:$A,'Material Summary'!$F:$F,""),"")</f>
        <v>Full BBU</v>
      </c>
      <c r="U4" s="205" t="str">
        <f>IFERROR(_xlfn.XLOOKUP($A4,'Material Summary'!$A:$A,'Material Summary'!$G:$G,""),"")</f>
        <v>n/a - Huawei</v>
      </c>
    </row>
    <row r="5" spans="1:21">
      <c r="A5" s="211" t="str">
        <f>IFERROR(IF('Full Plan'!A5="","",'Full Plan'!A5),"")</f>
        <v>MA5036</v>
      </c>
      <c r="B5" s="211" t="str">
        <f>IFERROR(_xlfn.XLOOKUP($A5,'Full Plan'!$A:$A,'Full Plan'!$B:$B,""),"")</f>
        <v>Madukkarai_Lamp</v>
      </c>
      <c r="C5" s="192" t="str">
        <f>IFERROR(_xlfn.XLOOKUP($A5,'Full Plan'!$A:$A,'Full Plan'!$E:$E,""),"")</f>
        <v>Lucky</v>
      </c>
      <c r="D5" s="279" t="str">
        <f>IFERROR(_xlfn.XLOOKUP($A5,'Full Plan'!$A:$A,'Full Plan'!$J:$J,""),"")</f>
        <v>On Air Pending</v>
      </c>
      <c r="E5" s="281">
        <f>IFERROR(_xlfn.XLOOKUP($A5,'Full Plan'!$A:$A,'Full Plan'!$F:$F,""),"")</f>
        <v>25</v>
      </c>
      <c r="F5" s="188" t="str">
        <f>IFERROR(_xlfn.XLOOKUP($A5,'Full Plan'!$A:$A,'Full Plan'!$G:$G,""),"")</f>
        <v>Huawei</v>
      </c>
      <c r="G5" s="188" t="str">
        <f>IFERROR(_xlfn.XLOOKUP($A5,'Full Plan'!$A:$A,'Full Plan'!$I:$I,""),"")</f>
        <v>Huawei</v>
      </c>
      <c r="H5" s="192" t="str">
        <f>IFERROR(_xlfn.XLOOKUP($A5,'Full Plan'!$A:$A,'Full Plan'!$H:$H,""),"")</f>
        <v>MW-HYB</v>
      </c>
      <c r="I5" s="275" t="str">
        <f>IFERROR(_xlfn.XLOOKUP($A5,'Full Plan'!$A:$A,'Full Plan'!$N:$N,""),"")</f>
        <v>Received</v>
      </c>
      <c r="J5" s="212" t="str">
        <f>IFERROR(_xlfn.XLOOKUP($A5,'Full Plan'!$A:$A,'Full Plan'!$T:$T,""),"")</f>
        <v>MW_2026_1966</v>
      </c>
      <c r="K5" s="275" t="str">
        <f>IFERROR(_xlfn.XLOOKUP($A5,'Full Plan'!$A:$A,'Full Plan'!$U:$U,""),"")</f>
        <v>MW Link OK</v>
      </c>
      <c r="L5" s="275" t="str">
        <f>IFERROR(_xlfn.XLOOKUP($A5,'Full Plan'!$A:$A,'Full Plan'!$V:$V,""),"")</f>
        <v>Received</v>
      </c>
      <c r="M5" s="277" t="str">
        <f>IFERROR(_xlfn.XLOOKUP($A5,'Full Plan'!$A:$A,'Full Plan'!$O:$O,""),"")</f>
        <v>Extention Brackets OK</v>
      </c>
      <c r="N5" s="275" t="str">
        <f>IFERROR(_xlfn.XLOOKUP($A5,'Full Plan'!$A:$A,'Full Plan'!$P:$P,""),"")</f>
        <v>Received</v>
      </c>
      <c r="O5" s="275" t="str">
        <f>IFERROR(_xlfn.XLOOKUP($A5,'Full Plan'!$A:$A,'Full Plan'!$Q:$Q,""),"")</f>
        <v>Received</v>
      </c>
      <c r="P5" s="275" t="str">
        <f>IFERROR(_xlfn.XLOOKUP($A5,'Full Plan'!$A:$A,'Full Plan'!$R:$R,""),"")</f>
        <v>Received</v>
      </c>
      <c r="Q5" s="287" t="str">
        <f>IFERROR(_xlfn.XLOOKUP($A5,'MW Removal &amp; Update'!$A:$A,'MW Removal &amp; Update'!$M:$M,""),"")</f>
        <v>18G3068</v>
      </c>
      <c r="R5" s="288" t="str">
        <f>IFERROR(_xlfn.XLOOKUP($A5,'Full Plan'!$A:$A,'Full Plan'!$K:$K,""),"")</f>
        <v>CSR Installed on 26th July</v>
      </c>
      <c r="S5" s="205" t="str">
        <f>IF($A5="","",IF(COUNTIF($I5:$P5,"*Pending*")=0,"Ready","Waiting"))</f>
        <v>Ready</v>
      </c>
      <c r="T5" s="205" t="str">
        <f>IFERROR(_xlfn.XLOOKUP($A5,'Material Summary'!$A:$A,'Material Summary'!$F:$F,""),"")</f>
        <v>Full BBU</v>
      </c>
      <c r="U5" s="288" t="str">
        <f>IFERROR(_xlfn.XLOOKUP($A5,'Material Summary'!$A:$A,'Material Summary'!$G:$G,""),"")</f>
        <v>n/a - Huawei</v>
      </c>
    </row>
    <row r="6" spans="1:21">
      <c r="A6" s="211" t="str">
        <f>IFERROR(IF('Full Plan'!A6="","",'Full Plan'!A6),"")</f>
        <v>KI5032</v>
      </c>
      <c r="B6" s="211" t="str">
        <f>IFERROR(_xlfn.XLOOKUP($A6,'Full Plan'!$A:$A,'Full Plan'!$B:$B,""),"")</f>
        <v>Pallikuda_North_Lamp</v>
      </c>
      <c r="C6" s="192" t="str">
        <f>IFERROR(_xlfn.XLOOKUP($A6,'Full Plan'!$A:$A,'Full Plan'!$E:$E,""),"")</f>
        <v>Lucky</v>
      </c>
      <c r="D6" s="279" t="str">
        <f>IFERROR(_xlfn.XLOOKUP($A6,'Full Plan'!$A:$A,'Full Plan'!$J:$J,""),"")</f>
        <v>On Air Pending</v>
      </c>
      <c r="E6" s="281">
        <f>IFERROR(_xlfn.XLOOKUP($A6,'Full Plan'!$A:$A,'Full Plan'!$F:$F,""),"")</f>
        <v>30</v>
      </c>
      <c r="F6" s="188" t="str">
        <f>IFERROR(_xlfn.XLOOKUP($A6,'Full Plan'!$A:$A,'Full Plan'!$G:$G,""),"")</f>
        <v>Huawei</v>
      </c>
      <c r="G6" s="188" t="str">
        <f>IFERROR(_xlfn.XLOOKUP($A6,'Full Plan'!$A:$A,'Full Plan'!$I:$I,""),"")</f>
        <v>Huawei</v>
      </c>
      <c r="H6" s="192" t="str">
        <f>IFERROR(_xlfn.XLOOKUP($A6,'Full Plan'!$A:$A,'Full Plan'!$H:$H,""),"")</f>
        <v>MW-HYB</v>
      </c>
      <c r="I6" s="275" t="str">
        <f>IFERROR(_xlfn.XLOOKUP($A6,'Full Plan'!$A:$A,'Full Plan'!$N:$N,""),"")</f>
        <v>Received</v>
      </c>
      <c r="J6" s="212" t="str">
        <f>IFERROR(_xlfn.XLOOKUP($A6,'Full Plan'!$A:$A,'Full Plan'!$T:$T,""),"")</f>
        <v>MW_2026_1994</v>
      </c>
      <c r="K6" s="275" t="str">
        <f>IFERROR(_xlfn.XLOOKUP($A6,'Full Plan'!$A:$A,'Full Plan'!$U:$U,""),"")</f>
        <v>MW Link OK</v>
      </c>
      <c r="L6" s="275" t="str">
        <f>IFERROR(_xlfn.XLOOKUP($A6,'Full Plan'!$A:$A,'Full Plan'!$V:$V,""),"")</f>
        <v>Received</v>
      </c>
      <c r="M6" s="277" t="str">
        <f>IFERROR(_xlfn.XLOOKUP($A6,'Full Plan'!$A:$A,'Full Plan'!$O:$O,""),"")</f>
        <v>Extention Brackets OK</v>
      </c>
      <c r="N6" s="275" t="str">
        <f>IFERROR(_xlfn.XLOOKUP($A6,'Full Plan'!$A:$A,'Full Plan'!$P:$P,""),"")</f>
        <v>Received</v>
      </c>
      <c r="O6" s="275" t="str">
        <f>IFERROR(_xlfn.XLOOKUP($A6,'Full Plan'!$A:$A,'Full Plan'!$Q:$Q,""),"")</f>
        <v>Received</v>
      </c>
      <c r="P6" s="275" t="str">
        <f>IFERROR(_xlfn.XLOOKUP($A6,'Full Plan'!$A:$A,'Full Plan'!$R:$R,""),"")</f>
        <v>Received</v>
      </c>
      <c r="Q6" s="287" t="str">
        <f>IFERROR(_xlfn.XLOOKUP($A6,'MW Removal &amp; Update'!$A:$A,'MW Removal &amp; Update'!$M:$M,""),"")</f>
        <v>ACE WH Pending</v>
      </c>
      <c r="R6" s="288">
        <f>IFERROR(_xlfn.XLOOKUP($A6,'Full Plan'!$A:$A,'Full Plan'!$K:$K,""),"")</f>
        <v>0</v>
      </c>
      <c r="S6" s="205" t="str">
        <f>IF($A6="","",IF(COUNTIF($I6:$P6,"*Pending*")=0,"Ready","Waiting"))</f>
        <v>Ready</v>
      </c>
      <c r="T6" s="205" t="str">
        <f>IFERROR(_xlfn.XLOOKUP($A6,'Material Summary'!$A:$A,'Material Summary'!$F:$F,""),"")</f>
        <v>Full BBU</v>
      </c>
      <c r="U6" s="288" t="str">
        <f>IFERROR(_xlfn.XLOOKUP($A6,'Material Summary'!$A:$A,'Material Summary'!$G:$G,""),"")</f>
        <v>n/a - Huawei</v>
      </c>
    </row>
    <row r="7" spans="1:21">
      <c r="A7" s="211" t="str">
        <f>IFERROR(IF('Full Plan'!A7="","",'Full Plan'!A7),"")</f>
        <v>MU5054</v>
      </c>
      <c r="B7" s="211" t="str">
        <f>IFERROR(_xlfn.XLOOKUP($A7,'Full Plan'!$A:$A,'Full Plan'!$B:$B,""),"")</f>
        <v>Muththuaiyankaddu_Lamp</v>
      </c>
      <c r="C7" s="192" t="str">
        <f>IFERROR(_xlfn.XLOOKUP($A7,'Full Plan'!$A:$A,'Full Plan'!$E:$E,""),"")</f>
        <v>Chanaka</v>
      </c>
      <c r="D7" s="279" t="str">
        <f>IFERROR(_xlfn.XLOOKUP($A7,'Full Plan'!$A:$A,'Full Plan'!$J:$J,""),"")</f>
        <v>Installation Completed</v>
      </c>
      <c r="E7" s="281">
        <f>IFERROR(_xlfn.XLOOKUP($A7,'Full Plan'!$A:$A,'Full Plan'!$F:$F,""),"")</f>
        <v>30</v>
      </c>
      <c r="F7" s="188" t="str">
        <f>IFERROR(_xlfn.XLOOKUP($A7,'Full Plan'!$A:$A,'Full Plan'!$G:$G,""),"")</f>
        <v>Huawei</v>
      </c>
      <c r="G7" s="188" t="str">
        <f>IFERROR(_xlfn.XLOOKUP($A7,'Full Plan'!$A:$A,'Full Plan'!$I:$I,""),"")</f>
        <v>Huawei</v>
      </c>
      <c r="H7" s="192" t="str">
        <f>IFERROR(_xlfn.XLOOKUP($A7,'Full Plan'!$A:$A,'Full Plan'!$H:$H,""),"")</f>
        <v>MW-HYB</v>
      </c>
      <c r="I7" s="275" t="str">
        <f>IFERROR(_xlfn.XLOOKUP($A7,'Full Plan'!$A:$A,'Full Plan'!$N:$N,""),"")</f>
        <v>Received</v>
      </c>
      <c r="J7" s="212" t="str">
        <f>IFERROR(_xlfn.XLOOKUP($A7,'Full Plan'!$A:$A,'Full Plan'!$T:$T,""),"")</f>
        <v>MW_2026_1992</v>
      </c>
      <c r="K7" s="275" t="str">
        <f>IFERROR(_xlfn.XLOOKUP($A7,'Full Plan'!$A:$A,'Full Plan'!$U:$U,""),"")</f>
        <v>MW Link OK</v>
      </c>
      <c r="L7" s="275" t="str">
        <f>IFERROR(_xlfn.XLOOKUP($A7,'Full Plan'!$A:$A,'Full Plan'!$V:$V,""),"")</f>
        <v>Received</v>
      </c>
      <c r="M7" s="277" t="str">
        <f>IFERROR(_xlfn.XLOOKUP($A7,'Full Plan'!$A:$A,'Full Plan'!$O:$O,""),"")</f>
        <v>Extention Brackets OK</v>
      </c>
      <c r="N7" s="275" t="str">
        <f>IFERROR(_xlfn.XLOOKUP($A7,'Full Plan'!$A:$A,'Full Plan'!$P:$P,""),"")</f>
        <v>Received</v>
      </c>
      <c r="O7" s="275" t="str">
        <f>IFERROR(_xlfn.XLOOKUP($A7,'Full Plan'!$A:$A,'Full Plan'!$Q:$Q,""),"")</f>
        <v>Received</v>
      </c>
      <c r="P7" s="275" t="str">
        <f>IFERROR(_xlfn.XLOOKUP($A7,'Full Plan'!$A:$A,'Full Plan'!$R:$R,""),"")</f>
        <v>Received</v>
      </c>
      <c r="Q7" s="287" t="str">
        <f>IFERROR(_xlfn.XLOOKUP($A7,'MW Removal &amp; Update'!$A:$A,'MW Removal &amp; Update'!$M:$M,""),"")</f>
        <v>18G3694</v>
      </c>
      <c r="R7" s="288" t="str">
        <f>IFERROR(_xlfn.XLOOKUP($A7,'Full Plan'!$A:$A,'Full Plan'!$K:$K,""),"")</f>
        <v>No CSR at HUB, used back-to-back from Hub</v>
      </c>
      <c r="S7" s="205" t="str">
        <f>IF($A7="","",IF(COUNTIF($I7:$P7,"*Pending*")=0,"Ready","Waiting"))</f>
        <v>Ready</v>
      </c>
      <c r="T7" s="205" t="str">
        <f>IFERROR(_xlfn.XLOOKUP($A7,'Material Summary'!$A:$A,'Material Summary'!$F:$F,""),"")</f>
        <v>Full BBU</v>
      </c>
      <c r="U7" s="205" t="str">
        <f>IFERROR(_xlfn.XLOOKUP($A7,'Material Summary'!$A:$A,'Material Summary'!$G:$G,""),"")</f>
        <v>n/a - Huawei</v>
      </c>
    </row>
    <row r="8" spans="1:21">
      <c r="A8" s="211" t="str">
        <f>IFERROR(IF('Full Plan'!A8="","",'Full Plan'!A8),"")</f>
        <v>MU5051</v>
      </c>
      <c r="B8" s="211" t="str">
        <f>IFERROR(_xlfn.XLOOKUP($A8,'Full Plan'!$A:$A,'Full Plan'!$B:$B,""),"")</f>
        <v>Iyankankulam_Lamp</v>
      </c>
      <c r="C8" s="192" t="str">
        <f>IFERROR(_xlfn.XLOOKUP($A8,'Full Plan'!$A:$A,'Full Plan'!$E:$E,""),"")</f>
        <v>Manoj</v>
      </c>
      <c r="D8" s="279" t="str">
        <f>IFERROR(_xlfn.XLOOKUP($A8,'Full Plan'!$A:$A,'Full Plan'!$J:$J,""),"")</f>
        <v>Installation Completed</v>
      </c>
      <c r="E8" s="281">
        <f>IFERROR(_xlfn.XLOOKUP($A8,'Full Plan'!$A:$A,'Full Plan'!$F:$F,""),"")</f>
        <v>20</v>
      </c>
      <c r="F8" s="188" t="str">
        <f>IFERROR(_xlfn.XLOOKUP($A8,'Full Plan'!$A:$A,'Full Plan'!$G:$G,""),"")</f>
        <v>Huawei</v>
      </c>
      <c r="G8" s="188" t="str">
        <f>IFERROR(_xlfn.XLOOKUP($A8,'Full Plan'!$A:$A,'Full Plan'!$I:$I,""),"")</f>
        <v>Huawei</v>
      </c>
      <c r="H8" s="192" t="str">
        <f>IFERROR(_xlfn.XLOOKUP($A8,'Full Plan'!$A:$A,'Full Plan'!$H:$H,""),"")</f>
        <v>MW-HYB</v>
      </c>
      <c r="I8" s="275" t="str">
        <f>IFERROR(_xlfn.XLOOKUP($A8,'Full Plan'!$A:$A,'Full Plan'!$N:$N,""),"")</f>
        <v>Received</v>
      </c>
      <c r="J8" s="212" t="str">
        <f>IFERROR(_xlfn.XLOOKUP($A8,'Full Plan'!$A:$A,'Full Plan'!$T:$T,""),"")</f>
        <v>MW_2026_2030</v>
      </c>
      <c r="K8" s="275" t="str">
        <f>IFERROR(_xlfn.XLOOKUP($A8,'Full Plan'!$A:$A,'Full Plan'!$U:$U,""),"")</f>
        <v>MW Link OK</v>
      </c>
      <c r="L8" s="275" t="str">
        <f>IFERROR(_xlfn.XLOOKUP($A8,'Full Plan'!$A:$A,'Full Plan'!$V:$V,""),"")</f>
        <v>Received</v>
      </c>
      <c r="M8" s="277" t="str">
        <f>IFERROR(_xlfn.XLOOKUP($A8,'Full Plan'!$A:$A,'Full Plan'!$O:$O,""),"")</f>
        <v>Received</v>
      </c>
      <c r="N8" s="275" t="str">
        <f>IFERROR(_xlfn.XLOOKUP($A8,'Full Plan'!$A:$A,'Full Plan'!$P:$P,""),"")</f>
        <v>Received</v>
      </c>
      <c r="O8" s="275" t="str">
        <f>IFERROR(_xlfn.XLOOKUP($A8,'Full Plan'!$A:$A,'Full Plan'!$Q:$Q,""),"")</f>
        <v>Received</v>
      </c>
      <c r="P8" s="275" t="str">
        <f>IFERROR(_xlfn.XLOOKUP($A8,'Full Plan'!$A:$A,'Full Plan'!$R:$R,""),"")</f>
        <v>Received</v>
      </c>
      <c r="Q8" s="287" t="str">
        <f>IFERROR(_xlfn.XLOOKUP($A8,'MW Removal &amp; Update'!$A:$A,'MW Removal &amp; Update'!$M:$M,""),"")</f>
        <v>ACE WH &amp; 18G336 Superfine Removed</v>
      </c>
      <c r="R8" s="288" t="str">
        <f>IFERROR(_xlfn.XLOOKUP($A8,'Full Plan'!$A:$A,'Full Plan'!$K:$K,""),"")</f>
        <v>TE Materials Delivered on 26th July</v>
      </c>
      <c r="S8" s="205" t="str">
        <f>IF($A8="","",IF(COUNTIF($I8:$P8,"*Pending*")=0,"Ready","Waiting"))</f>
        <v>Ready</v>
      </c>
      <c r="T8" s="205" t="str">
        <f>IFERROR(_xlfn.XLOOKUP($A8,'Material Summary'!$A:$A,'Material Summary'!$F:$F,""),"")</f>
        <v>Full BBU</v>
      </c>
      <c r="U8" s="205" t="str">
        <f>IFERROR(_xlfn.XLOOKUP($A8,'Material Summary'!$A:$A,'Material Summary'!$G:$G,""),"")</f>
        <v>n/a - Huawei</v>
      </c>
    </row>
    <row r="9" spans="1:21">
      <c r="A9" s="211" t="str">
        <f>IFERROR(IF('Full Plan'!A10="","",'Full Plan'!A10),"")</f>
        <v>BA5081</v>
      </c>
      <c r="B9" s="211" t="str">
        <f>IFERROR(_xlfn.XLOOKUP($A9,'Full Plan'!$A:$A,'Full Plan'!$B:$B,""),"")</f>
        <v>Mandur_Kaneshapuram_Lamp</v>
      </c>
      <c r="C9" s="192" t="str">
        <f>IFERROR(_xlfn.XLOOKUP($A9,'Full Plan'!$A:$A,'Full Plan'!$E:$E,""),"")</f>
        <v>Wasantha</v>
      </c>
      <c r="D9" s="279" t="str">
        <f>IFERROR(_xlfn.XLOOKUP($A9,'Full Plan'!$A:$A,'Full Plan'!$J:$J,""),"")</f>
        <v>On Hold</v>
      </c>
      <c r="E9" s="281">
        <f>IFERROR(_xlfn.XLOOKUP($A9,'Full Plan'!$A:$A,'Full Plan'!$F:$F,""),"")</f>
        <v>30</v>
      </c>
      <c r="F9" s="188" t="str">
        <f>IFERROR(_xlfn.XLOOKUP($A9,'Full Plan'!$A:$A,'Full Plan'!$G:$G,""),"")</f>
        <v>Huawei</v>
      </c>
      <c r="G9" s="188" t="str">
        <f>IFERROR(_xlfn.XLOOKUP($A9,'Full Plan'!$A:$A,'Full Plan'!$I:$I,""),"")</f>
        <v>Huawei</v>
      </c>
      <c r="H9" s="189" t="str">
        <f>IFERROR(_xlfn.XLOOKUP($A9,'Full Plan'!$A:$A,'Full Plan'!$H:$H,""),"")</f>
        <v>MW-HYB</v>
      </c>
      <c r="I9" s="275" t="str">
        <f>IFERROR(_xlfn.XLOOKUP($A9,'Full Plan'!$A:$A,'Full Plan'!$N:$N,""),"")</f>
        <v>Received</v>
      </c>
      <c r="J9" s="212" t="str">
        <f>IFERROR(_xlfn.XLOOKUP($A9,'Full Plan'!$A:$A,'Full Plan'!$T:$T,""),"")</f>
        <v>MW_2026_2095</v>
      </c>
      <c r="K9" s="275" t="str">
        <f>IFERROR(_xlfn.XLOOKUP($A9,'Full Plan'!$A:$A,'Full Plan'!$U:$U,""),"")</f>
        <v>MW Link Pending</v>
      </c>
      <c r="L9" s="275" t="str">
        <f>IFERROR(_xlfn.XLOOKUP($A9,'Full Plan'!$A:$A,'Full Plan'!$V:$V,""),"")</f>
        <v>Received</v>
      </c>
      <c r="M9" s="277" t="str">
        <f>IFERROR(_xlfn.XLOOKUP($A9,'Full Plan'!$A:$A,'Full Plan'!$O:$O,""),"")</f>
        <v>Extention Brackets OK</v>
      </c>
      <c r="N9" s="275" t="str">
        <f>IFERROR(_xlfn.XLOOKUP($A9,'Full Plan'!$A:$A,'Full Plan'!$P:$P,""),"")</f>
        <v>Received</v>
      </c>
      <c r="O9" s="275" t="str">
        <f>IFERROR(_xlfn.XLOOKUP($A9,'Full Plan'!$A:$A,'Full Plan'!$Q:$Q,""),"")</f>
        <v>Pending</v>
      </c>
      <c r="P9" s="275" t="str">
        <f>IFERROR(_xlfn.XLOOKUP($A9,'Full Plan'!$A:$A,'Full Plan'!$R:$R,""),"")</f>
        <v>Received</v>
      </c>
      <c r="Q9" s="287" t="str">
        <f>IFERROR(_xlfn.XLOOKUP($A9,'MW Removal &amp; Update'!$A:$A,'MW Removal &amp; Update'!$M:$M,""),"")</f>
        <v>18G2980</v>
      </c>
      <c r="R9" s="288" t="str">
        <f>IFERROR(_xlfn.XLOOKUP($A9,'Full Plan'!$A:$A,'Full Plan'!$K:$K,""),"")</f>
        <v>Tx WO &amp; Mapping Pending</v>
      </c>
      <c r="S9" s="205" t="str">
        <f>IF($A9="","",IF(COUNTIF($I9:$P9,"*Pending*")=0,"Ready","Waiting"))</f>
        <v>Waiting</v>
      </c>
      <c r="T9" s="205" t="str">
        <f>IFERROR(_xlfn.XLOOKUP($A9,'Material Summary'!$A:$A,'Material Summary'!$F:$F,""),"")</f>
        <v>Pending</v>
      </c>
      <c r="U9" s="205" t="str">
        <f>IFERROR(_xlfn.XLOOKUP($A9,'Material Summary'!$A:$A,'Material Summary'!$G:$G,""),"")</f>
        <v>n/a - Huawei</v>
      </c>
    </row>
    <row r="10" spans="1:21">
      <c r="A10" s="211" t="str">
        <f>IFERROR(IF('Full Plan'!A11="","",'Full Plan'!A11),"")</f>
        <v>BA5051</v>
      </c>
      <c r="B10" s="211" t="str">
        <f>IFERROR(_xlfn.XLOOKUP($A10,'Full Plan'!$A:$A,'Full Plan'!$B:$B,""),"")</f>
        <v>Mandur_Main_Rd_Lamp</v>
      </c>
      <c r="C10" s="192" t="str">
        <f>IFERROR(_xlfn.XLOOKUP($A10,'Full Plan'!$A:$A,'Full Plan'!$E:$E,""),"")</f>
        <v>Janaka</v>
      </c>
      <c r="D10" s="279" t="str">
        <f>IFERROR(_xlfn.XLOOKUP($A10,'Full Plan'!$A:$A,'Full Plan'!$J:$J,""),"")</f>
        <v>On Hold</v>
      </c>
      <c r="E10" s="281">
        <f>IFERROR(_xlfn.XLOOKUP($A10,'Full Plan'!$A:$A,'Full Plan'!$F:$F,""),"")</f>
        <v>30</v>
      </c>
      <c r="F10" s="188" t="str">
        <f>IFERROR(_xlfn.XLOOKUP($A10,'Full Plan'!$A:$A,'Full Plan'!$G:$G,""),"")</f>
        <v>Huawei</v>
      </c>
      <c r="G10" s="188" t="str">
        <f>IFERROR(_xlfn.XLOOKUP($A10,'Full Plan'!$A:$A,'Full Plan'!$I:$I,""),"")</f>
        <v>Huawei</v>
      </c>
      <c r="H10" s="192" t="str">
        <f>IFERROR(_xlfn.XLOOKUP($A10,'Full Plan'!$A:$A,'Full Plan'!$H:$H,""),"")</f>
        <v>MW-HYB</v>
      </c>
      <c r="I10" s="275" t="str">
        <f>IFERROR(_xlfn.XLOOKUP($A10,'Full Plan'!$A:$A,'Full Plan'!$N:$N,""),"")</f>
        <v>Received</v>
      </c>
      <c r="J10" s="212" t="str">
        <f>IFERROR(_xlfn.XLOOKUP($A10,'Full Plan'!$A:$A,'Full Plan'!$T:$T,""),"")</f>
        <v>MW_2026_2135</v>
      </c>
      <c r="K10" s="275" t="str">
        <f>IFERROR(_xlfn.XLOOKUP($A10,'Full Plan'!$A:$A,'Full Plan'!$U:$U,""),"")</f>
        <v>MW Link Pending</v>
      </c>
      <c r="L10" s="275" t="str">
        <f>IFERROR(_xlfn.XLOOKUP($A10,'Full Plan'!$A:$A,'Full Plan'!$V:$V,""),"")</f>
        <v>Received</v>
      </c>
      <c r="M10" s="277" t="str">
        <f>IFERROR(_xlfn.XLOOKUP($A10,'Full Plan'!$A:$A,'Full Plan'!$O:$O,""),"")</f>
        <v>Extention Brackets OK</v>
      </c>
      <c r="N10" s="275" t="str">
        <f>IFERROR(_xlfn.XLOOKUP($A10,'Full Plan'!$A:$A,'Full Plan'!$P:$P,""),"")</f>
        <v>Received</v>
      </c>
      <c r="O10" s="275" t="str">
        <f>IFERROR(_xlfn.XLOOKUP($A10,'Full Plan'!$A:$A,'Full Plan'!$Q:$Q,""),"")</f>
        <v>Pending</v>
      </c>
      <c r="P10" s="275" t="str">
        <f>IFERROR(_xlfn.XLOOKUP($A10,'Full Plan'!$A:$A,'Full Plan'!$R:$R,""),"")</f>
        <v>Received</v>
      </c>
      <c r="Q10" s="287" t="str">
        <f>IFERROR(_xlfn.XLOOKUP($A10,'MW Removal &amp; Update'!$A:$A,'MW Removal &amp; Update'!$M:$M,""),"")</f>
        <v>18G3215</v>
      </c>
      <c r="R10" s="288" t="str">
        <f>IFERROR(_xlfn.XLOOKUP($A10,'Full Plan'!$A:$A,'Full Plan'!$K:$K,""),"")</f>
        <v>Tx WO &amp; Mapping Pending</v>
      </c>
      <c r="S10" s="207" t="str">
        <f>IF($A10="","",IF(COUNTIF($I10:$P10,"*Pending*")=0,"Ready","Waiting"))</f>
        <v>Waiting</v>
      </c>
      <c r="T10" s="205" t="str">
        <f>IFERROR(_xlfn.XLOOKUP($A10,'Material Summary'!$A:$A,'Material Summary'!$F:$F,""),"")</f>
        <v>Pending</v>
      </c>
      <c r="U10" s="205" t="str">
        <f>IFERROR(_xlfn.XLOOKUP($A10,'Material Summary'!$A:$A,'Material Summary'!$G:$G,""),"")</f>
        <v>n/a - Huawei</v>
      </c>
    </row>
    <row r="11" spans="1:21">
      <c r="A11" s="211" t="str">
        <f>IFERROR(IF('Full Plan'!A12="","",'Full Plan'!A12),"")</f>
        <v>BA5086</v>
      </c>
      <c r="B11" s="211" t="str">
        <f>IFERROR(_xlfn.XLOOKUP($A11,'Full Plan'!$A:$A,'Full Plan'!$B:$B,""),"")</f>
        <v>Vavunativu_Junc_Lamp</v>
      </c>
      <c r="C11" s="192" t="str">
        <f>IFERROR(_xlfn.XLOOKUP($A11,'Full Plan'!$A:$A,'Full Plan'!$E:$E,""),"")</f>
        <v>Wasantha</v>
      </c>
      <c r="D11" s="279" t="str">
        <f>IFERROR(_xlfn.XLOOKUP($A11,'Full Plan'!$A:$A,'Full Plan'!$J:$J,""),"")</f>
        <v>On Hold</v>
      </c>
      <c r="E11" s="281">
        <f>IFERROR(_xlfn.XLOOKUP($A11,'Full Plan'!$A:$A,'Full Plan'!$F:$F,""),"")</f>
        <v>20</v>
      </c>
      <c r="F11" s="188" t="str">
        <f>IFERROR(_xlfn.XLOOKUP($A11,'Full Plan'!$A:$A,'Full Plan'!$G:$G,""),"")</f>
        <v>Huawei</v>
      </c>
      <c r="G11" s="188" t="str">
        <f>IFERROR(_xlfn.XLOOKUP($A11,'Full Plan'!$A:$A,'Full Plan'!$I:$I,""),"")</f>
        <v>WiBAS</v>
      </c>
      <c r="H11" s="192" t="str">
        <f>IFERROR(_xlfn.XLOOKUP($A11,'Full Plan'!$A:$A,'Full Plan'!$H:$H,""),"")</f>
        <v>WiBAS</v>
      </c>
      <c r="I11" s="275" t="str">
        <f>IFERROR(_xlfn.XLOOKUP($A11,'Full Plan'!$A:$A,'Full Plan'!$N:$N,""),"")</f>
        <v>Reservation Stil nit ready to collect for BBU..Other Materials are ok</v>
      </c>
      <c r="J11" s="212" t="str">
        <f>IFERROR(_xlfn.XLOOKUP($A11,'Full Plan'!$A:$A,'Full Plan'!$T:$T,""),"")</f>
        <v>WIBAS_2026_1998</v>
      </c>
      <c r="K11" s="275" t="str">
        <f>IFERROR(_xlfn.XLOOKUP($A11,'Full Plan'!$A:$A,'Full Plan'!$U:$U,""),"")</f>
        <v>MW Link Pending</v>
      </c>
      <c r="L11" s="275" t="str">
        <f>IFERROR(_xlfn.XLOOKUP($A11,'Full Plan'!$A:$A,'Full Plan'!$V:$V,""),"")</f>
        <v>Pending</v>
      </c>
      <c r="M11" s="277" t="str">
        <f>IFERROR(_xlfn.XLOOKUP($A11,'Full Plan'!$A:$A,'Full Plan'!$O:$O,""),"")</f>
        <v>Received</v>
      </c>
      <c r="N11" s="275" t="str">
        <f>IFERROR(_xlfn.XLOOKUP($A11,'Full Plan'!$A:$A,'Full Plan'!$P:$P,""),"")</f>
        <v>Received</v>
      </c>
      <c r="O11" s="275" t="str">
        <f>IFERROR(_xlfn.XLOOKUP($A11,'Full Plan'!$A:$A,'Full Plan'!$Q:$Q,""),"")</f>
        <v>Received</v>
      </c>
      <c r="P11" s="275" t="str">
        <f>IFERROR(_xlfn.XLOOKUP($A11,'Full Plan'!$A:$A,'Full Plan'!$R:$R,""),"")</f>
        <v>Received</v>
      </c>
      <c r="Q11" s="287">
        <f>IFERROR(_xlfn.XLOOKUP($A11,'MW Removal &amp; Update'!$A:$A,'MW Removal &amp; Update'!$M:$M,""),"")</f>
        <v>0</v>
      </c>
      <c r="R11" s="288" t="str">
        <f>IFERROR(_xlfn.XLOOKUP($A11,'Full Plan'!$A:$A,'Full Plan'!$K:$K,""),"")</f>
        <v>Tx WO &amp; Mapping Pending, BBU Pending</v>
      </c>
      <c r="S11" s="207" t="str">
        <f>IF($A11="","",IF(COUNTIF($I11:$P11,"*Pending*")=0,"Ready","Waiting"))</f>
        <v>Waiting</v>
      </c>
      <c r="T11" s="205" t="str">
        <f>IFERROR(_xlfn.XLOOKUP($A11,'Material Summary'!$A:$A,'Material Summary'!$F:$F,""),"")</f>
        <v>UPEU/UEIU/FAN only</v>
      </c>
      <c r="U11" s="205" t="str">
        <f>IFERROR(_xlfn.XLOOKUP($A11,'Material Summary'!$A:$A,'Material Summary'!$G:$G,""),"")</f>
        <v>n/a - Huawei</v>
      </c>
    </row>
    <row r="12" spans="1:21">
      <c r="A12" s="211" t="str">
        <f>IFERROR(IF('Full Plan'!A13="","",'Full Plan'!A13),"")</f>
        <v>MR5049</v>
      </c>
      <c r="B12" s="211" t="str">
        <f>IFERROR(_xlfn.XLOOKUP($A12,'Full Plan'!$A:$A,'Full Plan'!$B:$B,""),"")</f>
        <v>Midigama_Lamp</v>
      </c>
      <c r="C12" s="192">
        <f>IFERROR(_xlfn.XLOOKUP($A12,'Full Plan'!$A:$A,'Full Plan'!$E:$E,""),"")</f>
        <v>0</v>
      </c>
      <c r="D12" s="279" t="str">
        <f>IFERROR(_xlfn.XLOOKUP($A12,'Full Plan'!$A:$A,'Full Plan'!$J:$J,""),"")</f>
        <v>On Hold</v>
      </c>
      <c r="E12" s="281">
        <f>IFERROR(_xlfn.XLOOKUP($A12,'Full Plan'!$A:$A,'Full Plan'!$F:$F,""),"")</f>
        <v>30</v>
      </c>
      <c r="F12" s="188" t="str">
        <f>IFERROR(_xlfn.XLOOKUP($A12,'Full Plan'!$A:$A,'Full Plan'!$G:$G,""),"")</f>
        <v>Ericsson</v>
      </c>
      <c r="G12" s="190" t="str">
        <f>IFERROR(_xlfn.XLOOKUP($A12,'Full Plan'!$A:$A,'Full Plan'!$I:$I,""),"")</f>
        <v>OFN</v>
      </c>
      <c r="H12" s="192" t="str">
        <f>IFERROR(_xlfn.XLOOKUP($A12,'Full Plan'!$A:$A,'Full Plan'!$H:$H,""),"")</f>
        <v>OFN</v>
      </c>
      <c r="I12" s="275" t="str">
        <f>IFERROR(_xlfn.XLOOKUP($A12,'Full Plan'!$A:$A,'Full Plan'!$N:$N,""),"")</f>
        <v>Pending</v>
      </c>
      <c r="J12" s="212" t="str">
        <f>IFERROR(_xlfn.XLOOKUP($A12,'Full Plan'!$A:$A,'Full Plan'!$T:$T,""),"")</f>
        <v>OFN</v>
      </c>
      <c r="K12" s="275" t="str">
        <f>IFERROR(_xlfn.XLOOKUP($A12,'Full Plan'!$A:$A,'Full Plan'!$U:$U,""),"")</f>
        <v>Tx Pending</v>
      </c>
      <c r="L12" s="275" t="str">
        <f>IFERROR(_xlfn.XLOOKUP($A12,'Full Plan'!$A:$A,'Full Plan'!$V:$V,""),"")</f>
        <v>OFN</v>
      </c>
      <c r="M12" s="277" t="str">
        <f>IFERROR(_xlfn.XLOOKUP($A12,'Full Plan'!$A:$A,'Full Plan'!$O:$O,""),"")</f>
        <v>Extention Brackets OK</v>
      </c>
      <c r="N12" s="275" t="str">
        <f>IFERROR(_xlfn.XLOOKUP($A12,'Full Plan'!$A:$A,'Full Plan'!$P:$P,""),"")</f>
        <v>Received</v>
      </c>
      <c r="O12" s="275" t="str">
        <f>IFERROR(_xlfn.XLOOKUP($A12,'Full Plan'!$A:$A,'Full Plan'!$Q:$Q,""),"")</f>
        <v>Pending</v>
      </c>
      <c r="P12" s="275" t="str">
        <f>IFERROR(_xlfn.XLOOKUP($A12,'Full Plan'!$A:$A,'Full Plan'!$R:$R,""),"")</f>
        <v>N/A</v>
      </c>
      <c r="Q12" s="287" t="str">
        <f>IFERROR(_xlfn.XLOOKUP($A12,'MW Removal &amp; Update'!$A:$A,'MW Removal &amp; Update'!$M:$M,""),"")</f>
        <v/>
      </c>
      <c r="R12" s="288">
        <f>IFERROR(_xlfn.XLOOKUP($A12,'Full Plan'!$A:$A,'Full Plan'!$K:$K,""),"")</f>
        <v>0</v>
      </c>
      <c r="S12" s="207" t="str">
        <f>IF($A12="","",IF(COUNTIF($I12:$P12,"*Pending*")=0,"Ready","Waiting"))</f>
        <v>Waiting</v>
      </c>
      <c r="T12" s="205" t="str">
        <f>IFERROR(_xlfn.XLOOKUP($A12,'Material Summary'!$A:$A,'Material Summary'!$F:$F,""),"")</f>
        <v>n/a - Ericsson</v>
      </c>
      <c r="U12" s="205" t="str">
        <f>IFERROR(_xlfn.XLOOKUP($A12,'Material Summary'!$A:$A,'Material Summary'!$G:$G,""),"")</f>
        <v>Pending</v>
      </c>
    </row>
    <row r="13" spans="1:21">
      <c r="A13" s="211" t="str">
        <f>IFERROR(IF('Full Plan'!A20="","",'Full Plan'!A20),"")</f>
        <v>CM5730</v>
      </c>
      <c r="B13" s="211" t="str">
        <f>IFERROR(_xlfn.XLOOKUP($A13,'Full Plan'!$A:$A,'Full Plan'!$B:$B,""),"")</f>
        <v>Araliya_Gardens_Lamp</v>
      </c>
      <c r="C13" s="192" t="str">
        <f>IFERROR(_xlfn.XLOOKUP($A13,'Full Plan'!$A:$A,'Full Plan'!$E:$E,""),"")</f>
        <v>Amal</v>
      </c>
      <c r="D13" s="279" t="str">
        <f>IFERROR(_xlfn.XLOOKUP($A13,'Full Plan'!$A:$A,'Full Plan'!$J:$J,""),"")</f>
        <v>On Hold</v>
      </c>
      <c r="E13" s="281">
        <f>IFERROR(_xlfn.XLOOKUP($A13,'Full Plan'!$A:$A,'Full Plan'!$F:$F,""),"")</f>
        <v>20</v>
      </c>
      <c r="F13" s="188" t="str">
        <f>IFERROR(_xlfn.XLOOKUP($A13,'Full Plan'!$A:$A,'Full Plan'!$G:$G,""),"")</f>
        <v>Huawei</v>
      </c>
      <c r="G13" s="190" t="str">
        <f>IFERROR(_xlfn.XLOOKUP($A13,'Full Plan'!$A:$A,'Full Plan'!$I:$I,""),"")</f>
        <v>OFN</v>
      </c>
      <c r="H13" s="190" t="str">
        <f>IFERROR(_xlfn.XLOOKUP($A13,'Full Plan'!$A:$A,'Full Plan'!$H:$H,""),"")</f>
        <v>OFN</v>
      </c>
      <c r="I13" s="275" t="str">
        <f>IFERROR(_xlfn.XLOOKUP($A13,'Full Plan'!$A:$A,'Full Plan'!$N:$N,""),"")</f>
        <v>Reservation Stil nit ready to collect for BBU..Other Materials are ok</v>
      </c>
      <c r="J13" s="213" t="str">
        <f>IFERROR(_xlfn.XLOOKUP($A13,'Full Plan'!$A:$A,'Full Plan'!$T:$T,""),"")</f>
        <v>OFN</v>
      </c>
      <c r="K13" s="275" t="str">
        <f>IFERROR(_xlfn.XLOOKUP($A13,'Full Plan'!$A:$A,'Full Plan'!$U:$U,""),"")</f>
        <v>Tx Pending</v>
      </c>
      <c r="L13" s="275" t="str">
        <f>IFERROR(_xlfn.XLOOKUP($A13,'Full Plan'!$A:$A,'Full Plan'!$V:$V,""),"")</f>
        <v>OFN</v>
      </c>
      <c r="M13" s="277" t="str">
        <f>IFERROR(_xlfn.XLOOKUP($A13,'Full Plan'!$A:$A,'Full Plan'!$O:$O,""),"")</f>
        <v>Extention Brackets OK</v>
      </c>
      <c r="N13" s="275" t="str">
        <f>IFERROR(_xlfn.XLOOKUP($A13,'Full Plan'!$A:$A,'Full Plan'!$P:$P,""),"")</f>
        <v>Received</v>
      </c>
      <c r="O13" s="275" t="str">
        <f>IFERROR(_xlfn.XLOOKUP($A13,'Full Plan'!$A:$A,'Full Plan'!$Q:$Q,""),"")</f>
        <v>Received</v>
      </c>
      <c r="P13" s="275" t="str">
        <f>IFERROR(_xlfn.XLOOKUP($A13,'Full Plan'!$A:$A,'Full Plan'!$R:$R,""),"")</f>
        <v>N/A</v>
      </c>
      <c r="Q13" s="287" t="str">
        <f>IFERROR(_xlfn.XLOOKUP($A13,'MW Removal &amp; Update'!$A:$A,'MW Removal &amp; Update'!$M:$M,""),"")</f>
        <v/>
      </c>
      <c r="R13" s="288" t="str">
        <f>IFERROR(_xlfn.XLOOKUP($A13,'Full Plan'!$A:$A,'Full Plan'!$K:$K,""),"")</f>
        <v>BBU Pending</v>
      </c>
      <c r="S13" s="207" t="str">
        <f>IF($A13="","",IF(COUNTIF($I13:$P13,"*Pending*")=0,"Ready","Waiting"))</f>
        <v>Waiting</v>
      </c>
      <c r="T13" s="208" t="str">
        <f>IFERROR(_xlfn.XLOOKUP($A13,'Material Summary'!$A:$A,'Material Summary'!$F:$F,""),"")</f>
        <v>Pending</v>
      </c>
      <c r="U13" s="209" t="str">
        <f>IFERROR(_xlfn.XLOOKUP($A13,'Material Summary'!$A:$A,'Material Summary'!$G:$G,""),"")</f>
        <v>n/a - Huawei</v>
      </c>
    </row>
    <row r="14" spans="1:21">
      <c r="A14" s="211" t="str">
        <f>IFERROR(IF('Full Plan'!A21="","",'Full Plan'!A21),"")</f>
        <v>CM5451</v>
      </c>
      <c r="B14" s="211" t="str">
        <f>IFERROR(_xlfn.XLOOKUP($A14,'Full Plan'!$A:$A,'Full Plan'!$B:$B,""),"")</f>
        <v>Bellanwila_Park_Lamp</v>
      </c>
      <c r="C14" s="192" t="str">
        <f>IFERROR(_xlfn.XLOOKUP($A14,'Full Plan'!$A:$A,'Full Plan'!$E:$E,""),"")</f>
        <v>Amal</v>
      </c>
      <c r="D14" s="279" t="str">
        <f>IFERROR(_xlfn.XLOOKUP($A14,'Full Plan'!$A:$A,'Full Plan'!$J:$J,""),"")</f>
        <v>On Hold</v>
      </c>
      <c r="E14" s="281">
        <f>IFERROR(_xlfn.XLOOKUP($A14,'Full Plan'!$A:$A,'Full Plan'!$F:$F,""),"")</f>
        <v>20</v>
      </c>
      <c r="F14" s="188" t="str">
        <f>IFERROR(_xlfn.XLOOKUP($A14,'Full Plan'!$A:$A,'Full Plan'!$G:$G,""),"")</f>
        <v>Huawei</v>
      </c>
      <c r="G14" s="190" t="str">
        <f>IFERROR(_xlfn.XLOOKUP($A14,'Full Plan'!$A:$A,'Full Plan'!$I:$I,""),"")</f>
        <v>OFN</v>
      </c>
      <c r="H14" s="190" t="str">
        <f>IFERROR(_xlfn.XLOOKUP($A14,'Full Plan'!$A:$A,'Full Plan'!$H:$H,""),"")</f>
        <v>OFN</v>
      </c>
      <c r="I14" s="275" t="str">
        <f>IFERROR(_xlfn.XLOOKUP($A14,'Full Plan'!$A:$A,'Full Plan'!$N:$N,""),"")</f>
        <v>Reservation Stil nit ready to collect for BBU..Other Materials are ok</v>
      </c>
      <c r="J14" s="213" t="str">
        <f>IFERROR(_xlfn.XLOOKUP($A14,'Full Plan'!$A:$A,'Full Plan'!$T:$T,""),"")</f>
        <v>OFN</v>
      </c>
      <c r="K14" s="275" t="str">
        <f>IFERROR(_xlfn.XLOOKUP($A14,'Full Plan'!$A:$A,'Full Plan'!$U:$U,""),"")</f>
        <v>Tx Pending</v>
      </c>
      <c r="L14" s="275" t="str">
        <f>IFERROR(_xlfn.XLOOKUP($A14,'Full Plan'!$A:$A,'Full Plan'!$V:$V,""),"")</f>
        <v>OFN</v>
      </c>
      <c r="M14" s="277" t="str">
        <f>IFERROR(_xlfn.XLOOKUP($A14,'Full Plan'!$A:$A,'Full Plan'!$O:$O,""),"")</f>
        <v>Received</v>
      </c>
      <c r="N14" s="275" t="str">
        <f>IFERROR(_xlfn.XLOOKUP($A14,'Full Plan'!$A:$A,'Full Plan'!$P:$P,""),"")</f>
        <v>Received</v>
      </c>
      <c r="O14" s="275" t="str">
        <f>IFERROR(_xlfn.XLOOKUP($A14,'Full Plan'!$A:$A,'Full Plan'!$Q:$Q,""),"")</f>
        <v>Received</v>
      </c>
      <c r="P14" s="275" t="str">
        <f>IFERROR(_xlfn.XLOOKUP($A14,'Full Plan'!$A:$A,'Full Plan'!$R:$R,""),"")</f>
        <v>N/A</v>
      </c>
      <c r="Q14" s="287" t="str">
        <f>IFERROR(_xlfn.XLOOKUP($A14,'MW Removal &amp; Update'!$A:$A,'MW Removal &amp; Update'!$M:$M,""),"")</f>
        <v/>
      </c>
      <c r="R14" s="288" t="str">
        <f>IFERROR(_xlfn.XLOOKUP($A14,'Full Plan'!$A:$A,'Full Plan'!$K:$K,""),"")</f>
        <v>BBU Pending</v>
      </c>
      <c r="S14" s="207" t="str">
        <f>IF($A14="","",IF(COUNTIF($I14:$P14,"*Pending*")=0,"Ready","Waiting"))</f>
        <v>Waiting</v>
      </c>
      <c r="T14" s="205" t="str">
        <f>IFERROR(_xlfn.XLOOKUP($A14,'Material Summary'!$A:$A,'Material Summary'!$F:$F,""),"")</f>
        <v>Pending</v>
      </c>
      <c r="U14" s="206" t="str">
        <f>IFERROR(_xlfn.XLOOKUP($A14,'Material Summary'!$A:$A,'Material Summary'!$G:$G,""),"")</f>
        <v>n/a - Huawei</v>
      </c>
    </row>
    <row r="15" spans="1:21">
      <c r="A15" s="211" t="str">
        <f>IFERROR(IF('Full Plan'!A28="","",'Full Plan'!A28),"")</f>
        <v>JA5107</v>
      </c>
      <c r="B15" s="211" t="str">
        <f>IFERROR(_xlfn.XLOOKUP($A15,'Full Plan'!$A:$A,'Full Plan'!$B:$B,""),"")</f>
        <v>Avarankal_Lamp</v>
      </c>
      <c r="C15" s="192" t="str">
        <f>IFERROR(_xlfn.XLOOKUP($A15,'Full Plan'!$A:$A,'Full Plan'!$E:$E,""),"")</f>
        <v>Thusitha</v>
      </c>
      <c r="D15" s="279" t="str">
        <f>IFERROR(_xlfn.XLOOKUP($A15,'Full Plan'!$A:$A,'Full Plan'!$J:$J,""),"")</f>
        <v>Dispute</v>
      </c>
      <c r="E15" s="281">
        <f>IFERROR(_xlfn.XLOOKUP($A15,'Full Plan'!$A:$A,'Full Plan'!$F:$F,""),"")</f>
        <v>30</v>
      </c>
      <c r="F15" s="188" t="str">
        <f>IFERROR(_xlfn.XLOOKUP($A15,'Full Plan'!$A:$A,'Full Plan'!$G:$G,""),"")</f>
        <v>Huawei</v>
      </c>
      <c r="G15" s="190" t="str">
        <f>IFERROR(_xlfn.XLOOKUP($A15,'Full Plan'!$A:$A,'Full Plan'!$I:$I,""),"")</f>
        <v>Huawei</v>
      </c>
      <c r="H15" s="190" t="str">
        <f>IFERROR(_xlfn.XLOOKUP($A15,'Full Plan'!$A:$A,'Full Plan'!$H:$H,""),"")</f>
        <v>MW-HYB</v>
      </c>
      <c r="I15" s="275" t="str">
        <f>IFERROR(_xlfn.XLOOKUP($A15,'Full Plan'!$A:$A,'Full Plan'!$N:$N,""),"")</f>
        <v>Received</v>
      </c>
      <c r="J15" s="213" t="str">
        <f>IFERROR(_xlfn.XLOOKUP($A15,'Full Plan'!$A:$A,'Full Plan'!$T:$T,""),"")</f>
        <v>MW_2026_1877</v>
      </c>
      <c r="K15" s="275" t="str">
        <f>IFERROR(_xlfn.XLOOKUP($A15,'Full Plan'!$A:$A,'Full Plan'!$U:$U,""),"")</f>
        <v>MW Link Pending</v>
      </c>
      <c r="L15" s="275" t="str">
        <f>IFERROR(_xlfn.XLOOKUP($A15,'Full Plan'!$A:$A,'Full Plan'!$V:$V,""),"")</f>
        <v>Received</v>
      </c>
      <c r="M15" s="277" t="str">
        <f>IFERROR(_xlfn.XLOOKUP($A15,'Full Plan'!$A:$A,'Full Plan'!$O:$O,""),"")</f>
        <v>Pending</v>
      </c>
      <c r="N15" s="275" t="str">
        <f>IFERROR(_xlfn.XLOOKUP($A15,'Full Plan'!$A:$A,'Full Plan'!$P:$P,""),"")</f>
        <v>Pending</v>
      </c>
      <c r="O15" s="275" t="str">
        <f>IFERROR(_xlfn.XLOOKUP($A15,'Full Plan'!$A:$A,'Full Plan'!$Q:$Q,""),"")</f>
        <v>Pending</v>
      </c>
      <c r="P15" s="275" t="str">
        <f>IFERROR(_xlfn.XLOOKUP($A15,'Full Plan'!$A:$A,'Full Plan'!$R:$R,""),"")</f>
        <v>Pending</v>
      </c>
      <c r="Q15" s="287" t="str">
        <f>IFERROR(_xlfn.XLOOKUP($A15,'MW Removal &amp; Update'!$A:$A,'MW Removal &amp; Update'!$M:$M,""),"")</f>
        <v>23G2259</v>
      </c>
      <c r="R15" s="288" t="str">
        <f>IFERROR(_xlfn.XLOOKUP($A15,'Full Plan'!$A:$A,'Full Plan'!$K:$K,""),"")</f>
        <v>Dispute Ongoing</v>
      </c>
      <c r="S15" s="207" t="str">
        <f>IF($A15="","",IF(COUNTIF($I15:$P15,"*Pending*")=0,"Ready","Waiting"))</f>
        <v>Waiting</v>
      </c>
      <c r="T15" s="205" t="str">
        <f>IFERROR(_xlfn.XLOOKUP($A15,'Material Summary'!$A:$A,'Material Summary'!$F:$F,""),"")</f>
        <v>Full BBU</v>
      </c>
      <c r="U15" s="206" t="str">
        <f>IFERROR(_xlfn.XLOOKUP($A15,'Material Summary'!$A:$A,'Material Summary'!$G:$G,""),"")</f>
        <v>n/a - Huawei</v>
      </c>
    </row>
    <row r="16" spans="1:21">
      <c r="A16" s="211" t="str">
        <f>IFERROR(IF('Full Plan'!A22="","",'Full Plan'!A22),"")</f>
        <v>KU5180</v>
      </c>
      <c r="B16" s="211" t="str">
        <f>IFERROR(_xlfn.XLOOKUP($A16,'Full Plan'!$A:$A,'Full Plan'!$B:$B,""),"")</f>
        <v>Baragedara_Lamp</v>
      </c>
      <c r="C16" s="192" t="str">
        <f>IFERROR(_xlfn.XLOOKUP($A16,'Full Plan'!$A:$A,'Full Plan'!$E:$E,""),"")</f>
        <v>Manoj</v>
      </c>
      <c r="D16" s="279" t="str">
        <f>IFERROR(_xlfn.XLOOKUP($A16,'Full Plan'!$A:$A,'Full Plan'!$J:$J,""),"")</f>
        <v>On Hold</v>
      </c>
      <c r="E16" s="281">
        <f>IFERROR(_xlfn.XLOOKUP($A16,'Full Plan'!$A:$A,'Full Plan'!$F:$F,""),"")</f>
        <v>30</v>
      </c>
      <c r="F16" s="188" t="str">
        <f>IFERROR(_xlfn.XLOOKUP($A16,'Full Plan'!$A:$A,'Full Plan'!$G:$G,""),"")</f>
        <v>Huawei</v>
      </c>
      <c r="G16" s="190" t="str">
        <f>IFERROR(_xlfn.XLOOKUP($A16,'Full Plan'!$A:$A,'Full Plan'!$I:$I,""),"")</f>
        <v>Huawei</v>
      </c>
      <c r="H16" s="190" t="str">
        <f>IFERROR(_xlfn.XLOOKUP($A16,'Full Plan'!$A:$A,'Full Plan'!$H:$H,""),"")</f>
        <v>MW-HYB</v>
      </c>
      <c r="I16" s="275" t="str">
        <f>IFERROR(_xlfn.XLOOKUP($A16,'Full Plan'!$A:$A,'Full Plan'!$N:$N,""),"")</f>
        <v>Received</v>
      </c>
      <c r="J16" s="213" t="str">
        <f>IFERROR(_xlfn.XLOOKUP($A16,'Full Plan'!$A:$A,'Full Plan'!$T:$T,""),"")</f>
        <v>MW_2026_2011</v>
      </c>
      <c r="K16" s="275" t="str">
        <f>IFERROR(_xlfn.XLOOKUP($A16,'Full Plan'!$A:$A,'Full Plan'!$U:$U,""),"")</f>
        <v>MW Link Pending</v>
      </c>
      <c r="L16" s="275" t="str">
        <f>IFERROR(_xlfn.XLOOKUP($A16,'Full Plan'!$A:$A,'Full Plan'!$V:$V,""),"")</f>
        <v>Received</v>
      </c>
      <c r="M16" s="277" t="str">
        <f>IFERROR(_xlfn.XLOOKUP($A16,'Full Plan'!$A:$A,'Full Plan'!$O:$O,""),"")</f>
        <v>Pending</v>
      </c>
      <c r="N16" s="275" t="str">
        <f>IFERROR(_xlfn.XLOOKUP($A16,'Full Plan'!$A:$A,'Full Plan'!$P:$P,""),"")</f>
        <v>Pending</v>
      </c>
      <c r="O16" s="275" t="str">
        <f>IFERROR(_xlfn.XLOOKUP($A16,'Full Plan'!$A:$A,'Full Plan'!$Q:$Q,""),"")</f>
        <v>Pending</v>
      </c>
      <c r="P16" s="275" t="str">
        <f>IFERROR(_xlfn.XLOOKUP($A16,'Full Plan'!$A:$A,'Full Plan'!$R:$R,""),"")</f>
        <v>Pending</v>
      </c>
      <c r="Q16" s="287" t="str">
        <f>IFERROR(_xlfn.XLOOKUP($A16,'MW Removal &amp; Update'!$A:$A,'MW Removal &amp; Update'!$M:$M,""),"")</f>
        <v>18G2997(0.9|0.9)</v>
      </c>
      <c r="R16" s="288">
        <f>IFERROR(_xlfn.XLOOKUP($A16,'Full Plan'!$A:$A,'Full Plan'!$K:$K,""),"")</f>
        <v>0</v>
      </c>
      <c r="S16" s="207" t="str">
        <f>IF($A16="","",IF(COUNTIF($I16:$P16,"*Pending*")=0,"Ready","Waiting"))</f>
        <v>Waiting</v>
      </c>
      <c r="T16" s="205" t="str">
        <f>IFERROR(_xlfn.XLOOKUP($A16,'Material Summary'!$A:$A,'Material Summary'!$F:$F,""),"")</f>
        <v>Full BBU</v>
      </c>
      <c r="U16" s="206" t="str">
        <f>IFERROR(_xlfn.XLOOKUP($A16,'Material Summary'!$A:$A,'Material Summary'!$G:$G,""),"")</f>
        <v>n/a - Huawei</v>
      </c>
    </row>
    <row r="17" spans="1:21">
      <c r="A17" s="211" t="str">
        <f>IFERROR(IF('Full Plan'!A29="","",'Full Plan'!A29),"")</f>
        <v>PU5091</v>
      </c>
      <c r="B17" s="211" t="str">
        <f>IFERROR(_xlfn.XLOOKUP($A17,'Full Plan'!$A:$A,'Full Plan'!$B:$B,""),"")</f>
        <v>Thabbowa_Juction_Lamp</v>
      </c>
      <c r="C17" s="192" t="str">
        <f>IFERROR(_xlfn.XLOOKUP($A17,'Full Plan'!$A:$A,'Full Plan'!$E:$E,""),"")</f>
        <v>Lucky</v>
      </c>
      <c r="D17" s="279" t="str">
        <f>IFERROR(_xlfn.XLOOKUP($A17,'Full Plan'!$A:$A,'Full Plan'!$J:$J,""),"")</f>
        <v>Dispute</v>
      </c>
      <c r="E17" s="281">
        <f>IFERROR(_xlfn.XLOOKUP($A17,'Full Plan'!$A:$A,'Full Plan'!$F:$F,""),"")</f>
        <v>30</v>
      </c>
      <c r="F17" s="188" t="str">
        <f>IFERROR(_xlfn.XLOOKUP($A17,'Full Plan'!$A:$A,'Full Plan'!$G:$G,""),"")</f>
        <v>Huawei</v>
      </c>
      <c r="G17" s="190" t="str">
        <f>IFERROR(_xlfn.XLOOKUP($A17,'Full Plan'!$A:$A,'Full Plan'!$I:$I,""),"")</f>
        <v>OFN</v>
      </c>
      <c r="H17" s="190" t="str">
        <f>IFERROR(_xlfn.XLOOKUP($A17,'Full Plan'!$A:$A,'Full Plan'!$H:$H,""),"")</f>
        <v>OFN</v>
      </c>
      <c r="I17" s="275" t="str">
        <f>IFERROR(_xlfn.XLOOKUP($A17,'Full Plan'!$A:$A,'Full Plan'!$N:$N,""),"")</f>
        <v>Reservation Stil nit ready to collect for BBU..Other Materials are ok</v>
      </c>
      <c r="J17" s="213" t="str">
        <f>IFERROR(_xlfn.XLOOKUP($A17,'Full Plan'!$A:$A,'Full Plan'!$T:$T,""),"")</f>
        <v>OFN</v>
      </c>
      <c r="K17" s="275" t="str">
        <f>IFERROR(_xlfn.XLOOKUP($A17,'Full Plan'!$A:$A,'Full Plan'!$U:$U,""),"")</f>
        <v>Tx Pending</v>
      </c>
      <c r="L17" s="275" t="str">
        <f>IFERROR(_xlfn.XLOOKUP($A17,'Full Plan'!$A:$A,'Full Plan'!$V:$V,""),"")</f>
        <v>OFN</v>
      </c>
      <c r="M17" s="277" t="str">
        <f>IFERROR(_xlfn.XLOOKUP($A17,'Full Plan'!$A:$A,'Full Plan'!$O:$O,""),"")</f>
        <v>Pending</v>
      </c>
      <c r="N17" s="275" t="str">
        <f>IFERROR(_xlfn.XLOOKUP($A17,'Full Plan'!$A:$A,'Full Plan'!$P:$P,""),"")</f>
        <v>Received</v>
      </c>
      <c r="O17" s="275" t="str">
        <f>IFERROR(_xlfn.XLOOKUP($A17,'Full Plan'!$A:$A,'Full Plan'!$Q:$Q,""),"")</f>
        <v>Pending</v>
      </c>
      <c r="P17" s="275" t="str">
        <f>IFERROR(_xlfn.XLOOKUP($A17,'Full Plan'!$A:$A,'Full Plan'!$R:$R,""),"")</f>
        <v>N/A</v>
      </c>
      <c r="Q17" s="287" t="str">
        <f>IFERROR(_xlfn.XLOOKUP($A17,'MW Removal &amp; Update'!$A:$A,'MW Removal &amp; Update'!$M:$M,""),"")</f>
        <v/>
      </c>
      <c r="R17" s="288" t="str">
        <f>IFERROR(_xlfn.XLOOKUP($A17,'Full Plan'!$A:$A,'Full Plan'!$K:$K,""),"")</f>
        <v>Dispute Ongoing, BBU Pending</v>
      </c>
      <c r="S17" s="207" t="str">
        <f>IF($A17="","",IF(COUNTIF($I17:$P17,"*Pending*")=0,"Ready","Waiting"))</f>
        <v>Waiting</v>
      </c>
      <c r="T17" s="206" t="str">
        <f>IFERROR(_xlfn.XLOOKUP($A17,'Material Summary'!$A:$A,'Material Summary'!$F:$F,""),"")</f>
        <v>Pending</v>
      </c>
      <c r="U17" s="209" t="str">
        <f>IFERROR(_xlfn.XLOOKUP($A17,'Material Summary'!$A:$A,'Material Summary'!$G:$G,""),"")</f>
        <v>n/a - Huawei</v>
      </c>
    </row>
    <row r="18" spans="1:21">
      <c r="A18" s="211" t="str">
        <f>IFERROR(IF('Full Plan'!A23="","",'Full Plan'!A23),"")</f>
        <v>PU5093</v>
      </c>
      <c r="B18" s="211" t="str">
        <f>IFERROR(_xlfn.XLOOKUP($A18,'Full Plan'!$A:$A,'Full Plan'!$B:$B,""),"")</f>
        <v>Marawila_Hospital_Lamp</v>
      </c>
      <c r="C18" s="192" t="str">
        <f>IFERROR(_xlfn.XLOOKUP($A18,'Full Plan'!$A:$A,'Full Plan'!$E:$E,""),"")</f>
        <v>Lucky</v>
      </c>
      <c r="D18" s="279" t="str">
        <f>IFERROR(_xlfn.XLOOKUP($A18,'Full Plan'!$A:$A,'Full Plan'!$J:$J,""),"")</f>
        <v>On Hold</v>
      </c>
      <c r="E18" s="281">
        <f>IFERROR(_xlfn.XLOOKUP($A18,'Full Plan'!$A:$A,'Full Plan'!$F:$F,""),"")</f>
        <v>30</v>
      </c>
      <c r="F18" s="188" t="str">
        <f>IFERROR(_xlfn.XLOOKUP($A18,'Full Plan'!$A:$A,'Full Plan'!$G:$G,""),"")</f>
        <v>Huawei</v>
      </c>
      <c r="G18" s="188" t="str">
        <f>IFERROR(_xlfn.XLOOKUP($A18,'Full Plan'!$A:$A,'Full Plan'!$I:$I,""),"")</f>
        <v>OFN</v>
      </c>
      <c r="H18" s="190" t="str">
        <f>IFERROR(_xlfn.XLOOKUP($A18,'Full Plan'!$A:$A,'Full Plan'!$H:$H,""),"")</f>
        <v>OFN</v>
      </c>
      <c r="I18" s="275" t="str">
        <f>IFERROR(_xlfn.XLOOKUP($A18,'Full Plan'!$A:$A,'Full Plan'!$N:$N,""),"")</f>
        <v>Received</v>
      </c>
      <c r="J18" s="213" t="str">
        <f>IFERROR(_xlfn.XLOOKUP($A18,'Full Plan'!$A:$A,'Full Plan'!$T:$T,""),"")</f>
        <v>OFN</v>
      </c>
      <c r="K18" s="275" t="str">
        <f>IFERROR(_xlfn.XLOOKUP($A18,'Full Plan'!$A:$A,'Full Plan'!$U:$U,""),"")</f>
        <v>MW Link Pending</v>
      </c>
      <c r="L18" s="275" t="str">
        <f>IFERROR(_xlfn.XLOOKUP($A18,'Full Plan'!$A:$A,'Full Plan'!$V:$V,""),"")</f>
        <v>OFN</v>
      </c>
      <c r="M18" s="277" t="str">
        <f>IFERROR(_xlfn.XLOOKUP($A18,'Full Plan'!$A:$A,'Full Plan'!$O:$O,""),"")</f>
        <v>Pending</v>
      </c>
      <c r="N18" s="275" t="str">
        <f>IFERROR(_xlfn.XLOOKUP($A18,'Full Plan'!$A:$A,'Full Plan'!$P:$P,""),"")</f>
        <v>Pending</v>
      </c>
      <c r="O18" s="275" t="str">
        <f>IFERROR(_xlfn.XLOOKUP($A18,'Full Plan'!$A:$A,'Full Plan'!$Q:$Q,""),"")</f>
        <v>Pending</v>
      </c>
      <c r="P18" s="275" t="str">
        <f>IFERROR(_xlfn.XLOOKUP($A18,'Full Plan'!$A:$A,'Full Plan'!$R:$R,""),"")</f>
        <v>N/A</v>
      </c>
      <c r="Q18" s="287" t="str">
        <f>IFERROR(_xlfn.XLOOKUP($A18,'MW Removal &amp; Update'!$A:$A,'MW Removal &amp; Update'!$M:$M,""),"")</f>
        <v/>
      </c>
      <c r="R18" s="288">
        <f>IFERROR(_xlfn.XLOOKUP($A18,'Full Plan'!$A:$A,'Full Plan'!$K:$K,""),"")</f>
        <v>0</v>
      </c>
      <c r="S18" s="207" t="str">
        <f>IF($A18="","",IF(COUNTIF($I18:$P18,"*Pending*")=0,"Ready","Waiting"))</f>
        <v>Waiting</v>
      </c>
      <c r="T18" s="205" t="str">
        <f>IFERROR(_xlfn.XLOOKUP($A18,'Material Summary'!$A:$A,'Material Summary'!$F:$F,""),"")</f>
        <v>Full BBU</v>
      </c>
      <c r="U18" s="206" t="str">
        <f>IFERROR(_xlfn.XLOOKUP($A18,'Material Summary'!$A:$A,'Material Summary'!$G:$G,""),"")</f>
        <v>n/a - Huawei</v>
      </c>
    </row>
    <row r="19" spans="1:21">
      <c r="A19" s="211" t="str">
        <f>IFERROR(IF('Full Plan'!A24="","",'Full Plan'!A24),"")</f>
        <v>GA5098</v>
      </c>
      <c r="B19" s="211" t="str">
        <f>IFERROR(_xlfn.XLOOKUP($A19,'Full Plan'!$A:$A,'Full Plan'!$B:$B,""),"")</f>
        <v>Maha Ambalangoda_Lamp</v>
      </c>
      <c r="C19" s="192" t="str">
        <f>IFERROR(_xlfn.XLOOKUP($A19,'Full Plan'!$A:$A,'Full Plan'!$E:$E,""),"")</f>
        <v>Udaya</v>
      </c>
      <c r="D19" s="279" t="str">
        <f>IFERROR(_xlfn.XLOOKUP($A19,'Full Plan'!$A:$A,'Full Plan'!$J:$J,""),"")</f>
        <v>On Hold</v>
      </c>
      <c r="E19" s="281">
        <f>IFERROR(_xlfn.XLOOKUP($A19,'Full Plan'!$A:$A,'Full Plan'!$F:$F,""),"")</f>
        <v>30</v>
      </c>
      <c r="F19" s="188" t="str">
        <f>IFERROR(_xlfn.XLOOKUP($A19,'Full Plan'!$A:$A,'Full Plan'!$G:$G,""),"")</f>
        <v>Ericsson</v>
      </c>
      <c r="G19" s="190" t="str">
        <f>IFERROR(_xlfn.XLOOKUP($A19,'Full Plan'!$A:$A,'Full Plan'!$I:$I,""),"")</f>
        <v>OFN</v>
      </c>
      <c r="H19" s="192" t="str">
        <f>IFERROR(_xlfn.XLOOKUP($A19,'Full Plan'!$A:$A,'Full Plan'!$H:$H,""),"")</f>
        <v>OFN</v>
      </c>
      <c r="I19" s="275" t="str">
        <f>IFERROR(_xlfn.XLOOKUP($A19,'Full Plan'!$A:$A,'Full Plan'!$N:$N,""),"")</f>
        <v>Pending</v>
      </c>
      <c r="J19" s="212" t="str">
        <f>IFERROR(_xlfn.XLOOKUP($A19,'Full Plan'!$A:$A,'Full Plan'!$T:$T,""),"")</f>
        <v>OFN</v>
      </c>
      <c r="K19" s="275" t="str">
        <f>IFERROR(_xlfn.XLOOKUP($A19,'Full Plan'!$A:$A,'Full Plan'!$U:$U,""),"")</f>
        <v>Tx Pending</v>
      </c>
      <c r="L19" s="275" t="str">
        <f>IFERROR(_xlfn.XLOOKUP($A19,'Full Plan'!$A:$A,'Full Plan'!$V:$V,""),"")</f>
        <v>OFN</v>
      </c>
      <c r="M19" s="277" t="str">
        <f>IFERROR(_xlfn.XLOOKUP($A19,'Full Plan'!$A:$A,'Full Plan'!$O:$O,""),"")</f>
        <v>Pending</v>
      </c>
      <c r="N19" s="275" t="str">
        <f>IFERROR(_xlfn.XLOOKUP($A19,'Full Plan'!$A:$A,'Full Plan'!$P:$P,""),"")</f>
        <v>Pending</v>
      </c>
      <c r="O19" s="275" t="str">
        <f>IFERROR(_xlfn.XLOOKUP($A19,'Full Plan'!$A:$A,'Full Plan'!$Q:$Q,""),"")</f>
        <v>Pending</v>
      </c>
      <c r="P19" s="275" t="str">
        <f>IFERROR(_xlfn.XLOOKUP($A19,'Full Plan'!$A:$A,'Full Plan'!$R:$R,""),"")</f>
        <v>N/A</v>
      </c>
      <c r="Q19" s="287" t="str">
        <f>IFERROR(_xlfn.XLOOKUP($A19,'MW Removal &amp; Update'!$A:$A,'MW Removal &amp; Update'!$M:$M,""),"")</f>
        <v/>
      </c>
      <c r="R19" s="288">
        <f>IFERROR(_xlfn.XLOOKUP($A19,'Full Plan'!$A:$A,'Full Plan'!$K:$K,""),"")</f>
        <v>0</v>
      </c>
      <c r="S19" s="207" t="str">
        <f>IF($A19="","",IF(COUNTIF($I19:$P19,"*Pending*")=0,"Ready","Waiting"))</f>
        <v>Waiting</v>
      </c>
      <c r="T19" s="205" t="str">
        <f>IFERROR(_xlfn.XLOOKUP($A19,'Material Summary'!$A:$A,'Material Summary'!$F:$F,""),"")</f>
        <v>n/a - Ericsson</v>
      </c>
      <c r="U19" s="205" t="str">
        <f>IFERROR(_xlfn.XLOOKUP($A19,'Material Summary'!$A:$A,'Material Summary'!$G:$G,""),"")</f>
        <v>Pending</v>
      </c>
    </row>
    <row r="20" spans="1:21">
      <c r="A20" s="211" t="str">
        <f>IFERROR(IF('Full Plan'!A26="","",'Full Plan'!A26),"")</f>
        <v>MR5047</v>
      </c>
      <c r="B20" s="211" t="str">
        <f>IFERROR(_xlfn.XLOOKUP($A20,'Full Plan'!$A:$A,'Full Plan'!$B:$B,""),"")</f>
        <v>Deniyaya_Town_Lamp</v>
      </c>
      <c r="C20" s="192">
        <f>IFERROR(_xlfn.XLOOKUP($A20,'Full Plan'!$A:$A,'Full Plan'!$E:$E,""),"")</f>
        <v>0</v>
      </c>
      <c r="D20" s="279" t="str">
        <f>IFERROR(_xlfn.XLOOKUP($A20,'Full Plan'!$A:$A,'Full Plan'!$J:$J,""),"")</f>
        <v>On Hold</v>
      </c>
      <c r="E20" s="281">
        <f>IFERROR(_xlfn.XLOOKUP($A20,'Full Plan'!$A:$A,'Full Plan'!$F:$F,""),"")</f>
        <v>0</v>
      </c>
      <c r="F20" s="188" t="str">
        <f>IFERROR(_xlfn.XLOOKUP($A20,'Full Plan'!$A:$A,'Full Plan'!$G:$G,""),"")</f>
        <v>Ericsson</v>
      </c>
      <c r="G20" s="190">
        <f>IFERROR(_xlfn.XLOOKUP($A20,'Full Plan'!$A:$A,'Full Plan'!$I:$I,""),"")</f>
        <v>0</v>
      </c>
      <c r="H20" s="190" t="str">
        <f>IFERROR(_xlfn.XLOOKUP($A20,'Full Plan'!$A:$A,'Full Plan'!$H:$H,""),"")</f>
        <v>MW-HYB</v>
      </c>
      <c r="I20" s="275" t="str">
        <f>IFERROR(_xlfn.XLOOKUP($A20,'Full Plan'!$A:$A,'Full Plan'!$N:$N,""),"")</f>
        <v>Pending</v>
      </c>
      <c r="J20" s="213">
        <f>IFERROR(_xlfn.XLOOKUP($A20,'Full Plan'!$A:$A,'Full Plan'!$T:$T,""),"")</f>
        <v>0</v>
      </c>
      <c r="K20" s="275" t="str">
        <f>IFERROR(_xlfn.XLOOKUP($A20,'Full Plan'!$A:$A,'Full Plan'!$U:$U,""),"")</f>
        <v>Tx Pending</v>
      </c>
      <c r="L20" s="275">
        <f>IFERROR(_xlfn.XLOOKUP($A20,'Full Plan'!$A:$A,'Full Plan'!$V:$V,""),"")</f>
        <v>0</v>
      </c>
      <c r="M20" s="277" t="str">
        <f>IFERROR(_xlfn.XLOOKUP($A20,'Full Plan'!$A:$A,'Full Plan'!$O:$O,""),"")</f>
        <v>Pending</v>
      </c>
      <c r="N20" s="275" t="str">
        <f>IFERROR(_xlfn.XLOOKUP($A20,'Full Plan'!$A:$A,'Full Plan'!$P:$P,""),"")</f>
        <v>Pending</v>
      </c>
      <c r="O20" s="275" t="str">
        <f>IFERROR(_xlfn.XLOOKUP($A20,'Full Plan'!$A:$A,'Full Plan'!$Q:$Q,""),"")</f>
        <v>Pending</v>
      </c>
      <c r="P20" s="275" t="str">
        <f>IFERROR(_xlfn.XLOOKUP($A20,'Full Plan'!$A:$A,'Full Plan'!$R:$R,""),"")</f>
        <v>Pending</v>
      </c>
      <c r="Q20" s="287" t="str">
        <f>IFERROR(_xlfn.XLOOKUP($A20,'MW Removal &amp; Update'!$A:$A,'MW Removal &amp; Update'!$M:$M,""),"")</f>
        <v/>
      </c>
      <c r="R20" s="288" t="str">
        <f>IFERROR(_xlfn.XLOOKUP($A20,'Full Plan'!$A:$A,'Full Plan'!$K:$K,""),"")</f>
        <v>Design Pending</v>
      </c>
      <c r="S20" s="207" t="str">
        <f>IF($A20="","",IF(COUNTIF($I20:$P20,"*Pending*")=0,"Ready","Waiting"))</f>
        <v>Waiting</v>
      </c>
      <c r="T20" s="205" t="str">
        <f>IFERROR(_xlfn.XLOOKUP($A20,'Material Summary'!$A:$A,'Material Summary'!$F:$F,""),"")</f>
        <v/>
      </c>
      <c r="U20" s="205" t="str">
        <f>IFERROR(_xlfn.XLOOKUP($A20,'Material Summary'!$A:$A,'Material Summary'!$G:$G,""),"")</f>
        <v/>
      </c>
    </row>
    <row r="21" spans="1:21">
      <c r="A21" s="211" t="str">
        <f>IFERROR(IF('Full Plan'!A27="","",'Full Plan'!A27),"")</f>
        <v>KI5040</v>
      </c>
      <c r="B21" s="211" t="str">
        <f>IFERROR(_xlfn.XLOOKUP($A21,'Full Plan'!$A:$A,'Full Plan'!$B:$B,""),"")</f>
        <v>Pulopalai_Lamp</v>
      </c>
      <c r="C21" s="192">
        <f>IFERROR(_xlfn.XLOOKUP($A21,'Full Plan'!$A:$A,'Full Plan'!$E:$E,""),"")</f>
        <v>0</v>
      </c>
      <c r="D21" s="279" t="str">
        <f>IFERROR(_xlfn.XLOOKUP($A21,'Full Plan'!$A:$A,'Full Plan'!$J:$J,""),"")</f>
        <v>Dispute</v>
      </c>
      <c r="E21" s="281">
        <f>IFERROR(_xlfn.XLOOKUP($A21,'Full Plan'!$A:$A,'Full Plan'!$F:$F,""),"")</f>
        <v>30</v>
      </c>
      <c r="F21" s="188" t="str">
        <f>IFERROR(_xlfn.XLOOKUP($A21,'Full Plan'!$A:$A,'Full Plan'!$G:$G,""),"")</f>
        <v>Huawei</v>
      </c>
      <c r="G21" s="188" t="str">
        <f>IFERROR(_xlfn.XLOOKUP($A21,'Full Plan'!$A:$A,'Full Plan'!$I:$I,""),"")</f>
        <v>Huawei</v>
      </c>
      <c r="H21" s="189" t="str">
        <f>IFERROR(_xlfn.XLOOKUP($A21,'Full Plan'!$A:$A,'Full Plan'!$H:$H,""),"")</f>
        <v>MW-HYB</v>
      </c>
      <c r="I21" s="275" t="str">
        <f>IFERROR(_xlfn.XLOOKUP($A21,'Full Plan'!$A:$A,'Full Plan'!$N:$N,""),"")</f>
        <v>Received</v>
      </c>
      <c r="J21" s="212" t="str">
        <f>IFERROR(_xlfn.XLOOKUP($A21,'Full Plan'!$A:$A,'Full Plan'!$T:$T,""),"")</f>
        <v>MW_2026_2123</v>
      </c>
      <c r="K21" s="275" t="str">
        <f>IFERROR(_xlfn.XLOOKUP($A21,'Full Plan'!$A:$A,'Full Plan'!$U:$U,""),"")</f>
        <v>MW Link OK</v>
      </c>
      <c r="L21" s="275" t="str">
        <f>IFERROR(_xlfn.XLOOKUP($A21,'Full Plan'!$A:$A,'Full Plan'!$V:$V,""),"")</f>
        <v>Received</v>
      </c>
      <c r="M21" s="277" t="str">
        <f>IFERROR(_xlfn.XLOOKUP($A21,'Full Plan'!$A:$A,'Full Plan'!$O:$O,""),"")</f>
        <v>Pending</v>
      </c>
      <c r="N21" s="275" t="str">
        <f>IFERROR(_xlfn.XLOOKUP($A21,'Full Plan'!$A:$A,'Full Plan'!$P:$P,""),"")</f>
        <v>Received</v>
      </c>
      <c r="O21" s="275" t="str">
        <f>IFERROR(_xlfn.XLOOKUP($A21,'Full Plan'!$A:$A,'Full Plan'!$Q:$Q,""),"")</f>
        <v>Pending</v>
      </c>
      <c r="P21" s="275" t="str">
        <f>IFERROR(_xlfn.XLOOKUP($A21,'Full Plan'!$A:$A,'Full Plan'!$R:$R,""),"")</f>
        <v>Pending</v>
      </c>
      <c r="Q21" s="287" t="str">
        <f>IFERROR(_xlfn.XLOOKUP($A21,'MW Removal &amp; Update'!$A:$A,'MW Removal &amp; Update'!$M:$M,""),"")</f>
        <v>ACE WH &amp; 18G336 Superfine Removed</v>
      </c>
      <c r="R21" s="288" t="str">
        <f>IFERROR(_xlfn.XLOOKUP($A21,'Full Plan'!$A:$A,'Full Plan'!$K:$K,""),"")</f>
        <v>Dispute Ongoing</v>
      </c>
      <c r="S21" s="207" t="str">
        <f>IF($A21="","",IF(COUNTIF($I21:$P21,"*Pending*")=0,"Ready","Waiting"))</f>
        <v>Waiting</v>
      </c>
      <c r="T21" s="205" t="str">
        <f>IFERROR(_xlfn.XLOOKUP($A21,'Material Summary'!$A:$A,'Material Summary'!$F:$F,""),"")</f>
        <v>Full BBU</v>
      </c>
      <c r="U21" s="208" t="str">
        <f>IFERROR(_xlfn.XLOOKUP($A21,'Material Summary'!$A:$A,'Material Summary'!$G:$G,""),"")</f>
        <v>n/a - Huawei</v>
      </c>
    </row>
    <row r="22" spans="1:21">
      <c r="A22" s="211" t="str">
        <f>IFERROR(IF('Full Plan'!A32="","",'Full Plan'!A32),"")</f>
        <v>MU5039</v>
      </c>
      <c r="B22" s="211" t="str">
        <f>IFERROR(_xlfn.XLOOKUP($A22,'Full Plan'!$A:$A,'Full Plan'!$B:$B,""),"")</f>
        <v>Venavil_Lamp</v>
      </c>
      <c r="C22" s="192">
        <f>IFERROR(_xlfn.XLOOKUP($A22,'Full Plan'!$A:$A,'Full Plan'!$E:$E,""),"")</f>
        <v>0</v>
      </c>
      <c r="D22" s="279" t="str">
        <f>IFERROR(_xlfn.XLOOKUP($A22,'Full Plan'!$A:$A,'Full Plan'!$J:$J,""),"")</f>
        <v>Terminated</v>
      </c>
      <c r="E22" s="281">
        <f>IFERROR(_xlfn.XLOOKUP($A22,'Full Plan'!$A:$A,'Full Plan'!$F:$F,""),"")</f>
        <v>30</v>
      </c>
      <c r="F22" s="188" t="str">
        <f>IFERROR(_xlfn.XLOOKUP($A22,'Full Plan'!$A:$A,'Full Plan'!$G:$G,""),"")</f>
        <v>Huawei</v>
      </c>
      <c r="G22" s="190" t="str">
        <f>IFERROR(_xlfn.XLOOKUP($A22,'Full Plan'!$A:$A,'Full Plan'!$I:$I,""),"")</f>
        <v>Huawei</v>
      </c>
      <c r="H22" s="190" t="str">
        <f>IFERROR(_xlfn.XLOOKUP($A22,'Full Plan'!$A:$A,'Full Plan'!$H:$H,""),"")</f>
        <v>MW-HYB</v>
      </c>
      <c r="I22" s="275" t="str">
        <f>IFERROR(_xlfn.XLOOKUP($A22,'Full Plan'!$A:$A,'Full Plan'!$N:$N,""),"")</f>
        <v>Received</v>
      </c>
      <c r="J22" s="213" t="str">
        <f>IFERROR(_xlfn.XLOOKUP($A22,'Full Plan'!$A:$A,'Full Plan'!$T:$T,""),"")</f>
        <v>MW_2026_1988</v>
      </c>
      <c r="K22" s="275" t="str">
        <f>IFERROR(_xlfn.XLOOKUP($A22,'Full Plan'!$A:$A,'Full Plan'!$U:$U,""),"")</f>
        <v>MW Link Pending</v>
      </c>
      <c r="L22" s="275" t="str">
        <f>IFERROR(_xlfn.XLOOKUP($A22,'Full Plan'!$A:$A,'Full Plan'!$V:$V,""),"")</f>
        <v>Pending</v>
      </c>
      <c r="M22" s="277" t="str">
        <f>IFERROR(_xlfn.XLOOKUP($A22,'Full Plan'!$A:$A,'Full Plan'!$O:$O,""),"")</f>
        <v>Pending</v>
      </c>
      <c r="N22" s="275" t="str">
        <f>IFERROR(_xlfn.XLOOKUP($A22,'Full Plan'!$A:$A,'Full Plan'!$P:$P,""),"")</f>
        <v>Received</v>
      </c>
      <c r="O22" s="275" t="str">
        <f>IFERROR(_xlfn.XLOOKUP($A22,'Full Plan'!$A:$A,'Full Plan'!$Q:$Q,""),"")</f>
        <v>Received</v>
      </c>
      <c r="P22" s="275" t="str">
        <f>IFERROR(_xlfn.XLOOKUP($A22,'Full Plan'!$A:$A,'Full Plan'!$R:$R,""),"")</f>
        <v>Received</v>
      </c>
      <c r="Q22" s="287" t="str">
        <f>IFERROR(_xlfn.XLOOKUP($A22,'MW Removal &amp; Update'!$A:$A,'MW Removal &amp; Update'!$M:$M,""),"")</f>
        <v>23G593</v>
      </c>
      <c r="R22" s="288" t="str">
        <f>IFERROR(_xlfn.XLOOKUP($A22,'Full Plan'!$A:$A,'Full Plan'!$K:$K,""),"")</f>
        <v>Handed over to Aquasky</v>
      </c>
      <c r="S22" s="207" t="str">
        <f>IF($A22="","",IF(COUNTIF($I22:$P22,"*Pending*")=0,"Ready","Waiting"))</f>
        <v>Waiting</v>
      </c>
      <c r="T22" s="208" t="str">
        <f>IFERROR(_xlfn.XLOOKUP($A22,'Material Summary'!$A:$A,'Material Summary'!$F:$F,""),"")</f>
        <v>Full BBU</v>
      </c>
      <c r="U22" s="209" t="str">
        <f>IFERROR(_xlfn.XLOOKUP($A22,'Material Summary'!$A:$A,'Material Summary'!$G:$G,""),"")</f>
        <v>n/a - Huawei</v>
      </c>
    </row>
    <row r="23" spans="1:21">
      <c r="A23" s="211" t="str">
        <f>IFERROR(IF('Full Plan'!A33="","",'Full Plan'!A33),"")</f>
        <v>KU5071</v>
      </c>
      <c r="B23" s="211" t="str">
        <f>IFERROR(_xlfn.XLOOKUP($A23,'Full Plan'!$A:$A,'Full Plan'!$B:$B,""),"")</f>
        <v>Thalgodapitiya_Junction_Lamp</v>
      </c>
      <c r="C23" s="192">
        <f>IFERROR(_xlfn.XLOOKUP($A23,'Full Plan'!$A:$A,'Full Plan'!$E:$E,""),"")</f>
        <v>0</v>
      </c>
      <c r="D23" s="279" t="str">
        <f>IFERROR(_xlfn.XLOOKUP($A23,'Full Plan'!$A:$A,'Full Plan'!$J:$J,""),"")</f>
        <v>Terminated</v>
      </c>
      <c r="E23" s="281">
        <f>IFERROR(_xlfn.XLOOKUP($A23,'Full Plan'!$A:$A,'Full Plan'!$F:$F,""),"")</f>
        <v>30</v>
      </c>
      <c r="F23" s="188" t="str">
        <f>IFERROR(_xlfn.XLOOKUP($A23,'Full Plan'!$A:$A,'Full Plan'!$G:$G,""),"")</f>
        <v>Huawei</v>
      </c>
      <c r="G23" s="188" t="str">
        <f>IFERROR(_xlfn.XLOOKUP($A23,'Full Plan'!$A:$A,'Full Plan'!$I:$I,""),"")</f>
        <v>Huawei</v>
      </c>
      <c r="H23" s="189" t="str">
        <f>IFERROR(_xlfn.XLOOKUP($A23,'Full Plan'!$A:$A,'Full Plan'!$H:$H,""),"")</f>
        <v>MW-HYB</v>
      </c>
      <c r="I23" s="275" t="str">
        <f>IFERROR(_xlfn.XLOOKUP($A23,'Full Plan'!$A:$A,'Full Plan'!$N:$N,""),"")</f>
        <v>Received</v>
      </c>
      <c r="J23" s="212" t="str">
        <f>IFERROR(_xlfn.XLOOKUP($A23,'Full Plan'!$A:$A,'Full Plan'!$T:$T,""),"")</f>
        <v>MW_2026_1991</v>
      </c>
      <c r="K23" s="275" t="str">
        <f>IFERROR(_xlfn.XLOOKUP($A23,'Full Plan'!$A:$A,'Full Plan'!$U:$U,""),"")</f>
        <v>MW Link OK</v>
      </c>
      <c r="L23" s="275" t="str">
        <f>IFERROR(_xlfn.XLOOKUP($A23,'Full Plan'!$A:$A,'Full Plan'!$V:$V,""),"")</f>
        <v>Received</v>
      </c>
      <c r="M23" s="277" t="str">
        <f>IFERROR(_xlfn.XLOOKUP($A23,'Full Plan'!$A:$A,'Full Plan'!$O:$O,""),"")</f>
        <v>Pending</v>
      </c>
      <c r="N23" s="275" t="str">
        <f>IFERROR(_xlfn.XLOOKUP($A23,'Full Plan'!$A:$A,'Full Plan'!$P:$P,""),"")</f>
        <v>Pending</v>
      </c>
      <c r="O23" s="275" t="str">
        <f>IFERROR(_xlfn.XLOOKUP($A23,'Full Plan'!$A:$A,'Full Plan'!$Q:$Q,""),"")</f>
        <v>Pending</v>
      </c>
      <c r="P23" s="275" t="str">
        <f>IFERROR(_xlfn.XLOOKUP($A23,'Full Plan'!$A:$A,'Full Plan'!$R:$R,""),"")</f>
        <v>Pending</v>
      </c>
      <c r="Q23" s="287" t="str">
        <f>IFERROR(_xlfn.XLOOKUP($A23,'MW Removal &amp; Update'!$A:$A,'MW Removal &amp; Update'!$M:$M,""),"")</f>
        <v>23G2835</v>
      </c>
      <c r="R23" s="288" t="str">
        <f>IFERROR(_xlfn.XLOOKUP($A23,'Full Plan'!$A:$A,'Full Plan'!$K:$K,""),"")</f>
        <v>Handed over to Aquasky</v>
      </c>
      <c r="S23" s="207" t="str">
        <f>IF($A23="","",IF(COUNTIF($I23:$P23,"*Pending*")=0,"Ready","Waiting"))</f>
        <v>Waiting</v>
      </c>
      <c r="T23" s="205" t="str">
        <f>IFERROR(_xlfn.XLOOKUP($A23,'Material Summary'!$A:$A,'Material Summary'!$F:$F,""),"")</f>
        <v>Full BBU</v>
      </c>
      <c r="U23" s="208" t="str">
        <f>IFERROR(_xlfn.XLOOKUP($A23,'Material Summary'!$A:$A,'Material Summary'!$G:$G,""),"")</f>
        <v>n/a - Huawei</v>
      </c>
    </row>
    <row r="24" spans="1:21">
      <c r="A24" s="211" t="str">
        <f>IFERROR(IF('Full Plan'!A34="","",'Full Plan'!A34),"")</f>
        <v>JA5099</v>
      </c>
      <c r="B24" s="211" t="str">
        <f>IFERROR(_xlfn.XLOOKUP($A24,'Full Plan'!$A:$A,'Full Plan'!$B:$B,""),"")</f>
        <v>Araly_North_Lamp</v>
      </c>
      <c r="C24" s="192">
        <f>IFERROR(_xlfn.XLOOKUP($A24,'Full Plan'!$A:$A,'Full Plan'!$E:$E,""),"")</f>
        <v>0</v>
      </c>
      <c r="D24" s="279" t="str">
        <f>IFERROR(_xlfn.XLOOKUP($A24,'Full Plan'!$A:$A,'Full Plan'!$J:$J,""),"")</f>
        <v>Terminated</v>
      </c>
      <c r="E24" s="281">
        <f>IFERROR(_xlfn.XLOOKUP($A24,'Full Plan'!$A:$A,'Full Plan'!$F:$F,""),"")</f>
        <v>20</v>
      </c>
      <c r="F24" s="188" t="str">
        <f>IFERROR(_xlfn.XLOOKUP($A24,'Full Plan'!$A:$A,'Full Plan'!$G:$G,""),"")</f>
        <v>Huawei</v>
      </c>
      <c r="G24" s="188" t="str">
        <f>IFERROR(_xlfn.XLOOKUP($A24,'Full Plan'!$A:$A,'Full Plan'!$I:$I,""),"")</f>
        <v>WiBAS</v>
      </c>
      <c r="H24" s="192" t="str">
        <f>IFERROR(_xlfn.XLOOKUP($A24,'Full Plan'!$A:$A,'Full Plan'!$H:$H,""),"")</f>
        <v>WiBAS</v>
      </c>
      <c r="I24" s="275" t="str">
        <f>IFERROR(_xlfn.XLOOKUP($A24,'Full Plan'!$A:$A,'Full Plan'!$N:$N,""),"")</f>
        <v>Partially, No BBUs</v>
      </c>
      <c r="J24" s="212" t="str">
        <f>IFERROR(_xlfn.XLOOKUP($A24,'Full Plan'!$A:$A,'Full Plan'!$T:$T,""),"")</f>
        <v>WIBAS_2026_1691</v>
      </c>
      <c r="K24" s="275" t="str">
        <f>IFERROR(_xlfn.XLOOKUP($A24,'Full Plan'!$A:$A,'Full Plan'!$U:$U,""),"")</f>
        <v>MW Link Pending</v>
      </c>
      <c r="L24" s="275" t="str">
        <f>IFERROR(_xlfn.XLOOKUP($A24,'Full Plan'!$A:$A,'Full Plan'!$V:$V,""),"")</f>
        <v>Received</v>
      </c>
      <c r="M24" s="277" t="str">
        <f>IFERROR(_xlfn.XLOOKUP($A24,'Full Plan'!$A:$A,'Full Plan'!$O:$O,""),"")</f>
        <v>Pending</v>
      </c>
      <c r="N24" s="275" t="str">
        <f>IFERROR(_xlfn.XLOOKUP($A24,'Full Plan'!$A:$A,'Full Plan'!$P:$P,""),"")</f>
        <v>Pending</v>
      </c>
      <c r="O24" s="275" t="str">
        <f>IFERROR(_xlfn.XLOOKUP($A24,'Full Plan'!$A:$A,'Full Plan'!$Q:$Q,""),"")</f>
        <v>Pending</v>
      </c>
      <c r="P24" s="275" t="str">
        <f>IFERROR(_xlfn.XLOOKUP($A24,'Full Plan'!$A:$A,'Full Plan'!$R:$R,""),"")</f>
        <v>Pending</v>
      </c>
      <c r="Q24" s="287">
        <f>IFERROR(_xlfn.XLOOKUP($A24,'MW Removal &amp; Update'!$A:$A,'MW Removal &amp; Update'!$M:$M,""),"")</f>
        <v>0</v>
      </c>
      <c r="R24" s="288" t="str">
        <f>IFERROR(_xlfn.XLOOKUP($A24,'Full Plan'!$A:$A,'Full Plan'!$K:$K,""),"")</f>
        <v xml:space="preserve">Handed over to Aquasky, BBU OK from BA9002, </v>
      </c>
      <c r="S24" s="207" t="str">
        <f>IF($A24="","",IF(COUNTIF($I24:$P24,"*Pending*")=0,"Ready","Waiting"))</f>
        <v>Waiting</v>
      </c>
      <c r="T24" s="205" t="str">
        <f>IFERROR(_xlfn.XLOOKUP($A24,'Material Summary'!$A:$A,'Material Summary'!$F:$F,""),"")</f>
        <v>UPEU/UEIU/FAN only</v>
      </c>
      <c r="U24" s="205" t="str">
        <f>IFERROR(_xlfn.XLOOKUP($A24,'Material Summary'!$A:$A,'Material Summary'!$G:$G,""),"")</f>
        <v>n/a - Huawei</v>
      </c>
    </row>
    <row r="25" spans="1:21">
      <c r="A25" s="211" t="str">
        <f>IFERROR(IF('Full Plan'!A9="","",'Full Plan'!A9),"")</f>
        <v>BA5024</v>
      </c>
      <c r="B25" s="211" t="str">
        <f>IFERROR(_xlfn.XLOOKUP($A25,'Full Plan'!$A:$A,'Full Plan'!$B:$B,""),"")</f>
        <v>Batti_Karaveddi_East_Lamp</v>
      </c>
      <c r="C25" s="192" t="str">
        <f>IFERROR(_xlfn.XLOOKUP($A25,'Full Plan'!$A:$A,'Full Plan'!$E:$E,""),"")</f>
        <v>Janaka</v>
      </c>
      <c r="D25" s="279" t="str">
        <f>IFERROR(_xlfn.XLOOKUP($A25,'Full Plan'!$A:$A,'Full Plan'!$J:$J,""),"")</f>
        <v>On Hold</v>
      </c>
      <c r="E25" s="281">
        <f>IFERROR(_xlfn.XLOOKUP($A25,'Full Plan'!$A:$A,'Full Plan'!$F:$F,""),"")</f>
        <v>25</v>
      </c>
      <c r="F25" s="188" t="str">
        <f>IFERROR(_xlfn.XLOOKUP($A25,'Full Plan'!$A:$A,'Full Plan'!$G:$G,""),"")</f>
        <v>Huawei</v>
      </c>
      <c r="G25" s="188" t="str">
        <f>IFERROR(_xlfn.XLOOKUP($A25,'Full Plan'!$A:$A,'Full Plan'!$I:$I,""),"")</f>
        <v>WiBAS</v>
      </c>
      <c r="H25" s="192" t="str">
        <f>IFERROR(_xlfn.XLOOKUP($A25,'Full Plan'!$A:$A,'Full Plan'!$H:$H,""),"")</f>
        <v>WiBAS</v>
      </c>
      <c r="I25" s="275" t="str">
        <f>IFERROR(_xlfn.XLOOKUP($A25,'Full Plan'!$A:$A,'Full Plan'!$N:$N,""),"")</f>
        <v>Received</v>
      </c>
      <c r="J25" s="212" t="str">
        <f>IFERROR(_xlfn.XLOOKUP($A25,'Full Plan'!$A:$A,'Full Plan'!$T:$T,""),"")</f>
        <v>WIBAS_2026_1651</v>
      </c>
      <c r="K25" s="275" t="str">
        <f>IFERROR(_xlfn.XLOOKUP($A25,'Full Plan'!$A:$A,'Full Plan'!$U:$U,""),"")</f>
        <v>MW Link OK</v>
      </c>
      <c r="L25" s="275" t="str">
        <f>IFERROR(_xlfn.XLOOKUP($A25,'Full Plan'!$A:$A,'Full Plan'!$V:$V,""),"")</f>
        <v>Received</v>
      </c>
      <c r="M25" s="277" t="str">
        <f>IFERROR(_xlfn.XLOOKUP($A25,'Full Plan'!$A:$A,'Full Plan'!$O:$O,""),"")</f>
        <v>Extention Brackets OK</v>
      </c>
      <c r="N25" s="275" t="str">
        <f>IFERROR(_xlfn.XLOOKUP($A25,'Full Plan'!$A:$A,'Full Plan'!$P:$P,""),"")</f>
        <v>Received</v>
      </c>
      <c r="O25" s="275" t="str">
        <f>IFERROR(_xlfn.XLOOKUP($A25,'Full Plan'!$A:$A,'Full Plan'!$Q:$Q,""),"")</f>
        <v>Received</v>
      </c>
      <c r="P25" s="275" t="str">
        <f>IFERROR(_xlfn.XLOOKUP($A25,'Full Plan'!$A:$A,'Full Plan'!$R:$R,""),"")</f>
        <v>Received</v>
      </c>
      <c r="Q25" s="287" t="str">
        <f>IFERROR(_xlfn.XLOOKUP($A25,'MW Removal &amp; Update'!$A:$A,'MW Removal &amp; Update'!$M:$M,""),"")</f>
        <v>10G1454</v>
      </c>
      <c r="R25" s="288">
        <f>IFERROR(_xlfn.XLOOKUP($A25,'Full Plan'!$A:$A,'Full Plan'!$K:$K,""),"")</f>
        <v>0</v>
      </c>
      <c r="S25" s="207" t="str">
        <f>IF($A25="","",IF(COUNTIF($I25:$P25,"*Pending*")=0,"Ready","Waiting"))</f>
        <v>Ready</v>
      </c>
      <c r="T25" s="205" t="str">
        <f>IFERROR(_xlfn.XLOOKUP($A25,'Material Summary'!$A:$A,'Material Summary'!$F:$F,""),"")</f>
        <v>Full BBU</v>
      </c>
      <c r="U25" s="205" t="str">
        <f>IFERROR(_xlfn.XLOOKUP($A25,'Material Summary'!$A:$A,'Material Summary'!$G:$G,""),"")</f>
        <v>n/a - Huawei</v>
      </c>
    </row>
    <row r="26" spans="1:21">
      <c r="A26" s="211" t="str">
        <f>IFERROR(IF('Full Plan'!A14="","",'Full Plan'!A14),"")</f>
        <v>CM5671</v>
      </c>
      <c r="B26" s="211" t="str">
        <f>IFERROR(_xlfn.XLOOKUP($A26,'Full Plan'!$A:$A,'Full Plan'!$B:$B,""),"")</f>
        <v>Thotupala_Rd_Lamp</v>
      </c>
      <c r="C26" s="192" t="str">
        <f>IFERROR(_xlfn.XLOOKUP($A26,'Full Plan'!$A:$A,'Full Plan'!$E:$E,""),"")</f>
        <v>Amal</v>
      </c>
      <c r="D26" s="279" t="str">
        <f>IFERROR(_xlfn.XLOOKUP($A26,'Full Plan'!$A:$A,'Full Plan'!$J:$J,""),"")</f>
        <v>On Hold</v>
      </c>
      <c r="E26" s="281">
        <f>IFERROR(_xlfn.XLOOKUP($A26,'Full Plan'!$A:$A,'Full Plan'!$F:$F,""),"")</f>
        <v>22</v>
      </c>
      <c r="F26" s="188" t="str">
        <f>IFERROR(_xlfn.XLOOKUP($A26,'Full Plan'!$A:$A,'Full Plan'!$G:$G,""),"")</f>
        <v>Ericsson</v>
      </c>
      <c r="G26" s="190" t="str">
        <f>IFERROR(_xlfn.XLOOKUP($A26,'Full Plan'!$A:$A,'Full Plan'!$I:$I,""),"")</f>
        <v>Huawei</v>
      </c>
      <c r="H26" s="189" t="str">
        <f>IFERROR(_xlfn.XLOOKUP($A26,'Full Plan'!$A:$A,'Full Plan'!$H:$H,""),"")</f>
        <v>MW-HYB</v>
      </c>
      <c r="I26" s="275" t="str">
        <f>IFERROR(_xlfn.XLOOKUP($A26,'Full Plan'!$A:$A,'Full Plan'!$N:$N,""),"")</f>
        <v>Pending</v>
      </c>
      <c r="J26" s="212" t="str">
        <f>IFERROR(_xlfn.XLOOKUP($A26,'Full Plan'!$A:$A,'Full Plan'!$T:$T,""),"")</f>
        <v>MW_2026_2110</v>
      </c>
      <c r="K26" s="275" t="str">
        <f>IFERROR(_xlfn.XLOOKUP($A26,'Full Plan'!$A:$A,'Full Plan'!$U:$U,""),"")</f>
        <v>MW Link OK</v>
      </c>
      <c r="L26" s="275" t="str">
        <f>IFERROR(_xlfn.XLOOKUP($A26,'Full Plan'!$A:$A,'Full Plan'!$V:$V,""),"")</f>
        <v>Received</v>
      </c>
      <c r="M26" s="277" t="str">
        <f>IFERROR(_xlfn.XLOOKUP($A26,'Full Plan'!$A:$A,'Full Plan'!$O:$O,""),"")</f>
        <v>Extention Brackets OK</v>
      </c>
      <c r="N26" s="275" t="str">
        <f>IFERROR(_xlfn.XLOOKUP($A26,'Full Plan'!$A:$A,'Full Plan'!$P:$P,""),"")</f>
        <v>Received</v>
      </c>
      <c r="O26" s="275" t="str">
        <f>IFERROR(_xlfn.XLOOKUP($A26,'Full Plan'!$A:$A,'Full Plan'!$Q:$Q,""),"")</f>
        <v>Received</v>
      </c>
      <c r="P26" s="275" t="str">
        <f>IFERROR(_xlfn.XLOOKUP($A26,'Full Plan'!$A:$A,'Full Plan'!$R:$R,""),"")</f>
        <v>Received</v>
      </c>
      <c r="Q26" s="287" t="str">
        <f>IFERROR(_xlfn.XLOOKUP($A26,'MW Removal &amp; Update'!$A:$A,'MW Removal &amp; Update'!$M:$M,""),"")</f>
        <v>23G2684</v>
      </c>
      <c r="R26" s="288">
        <f>IFERROR(_xlfn.XLOOKUP($A26,'Full Plan'!$A:$A,'Full Plan'!$K:$K,""),"")</f>
        <v>0</v>
      </c>
      <c r="S26" s="207" t="str">
        <f>IF($A26="","",IF(COUNTIF($I26:$P26,"*Pending*")=0,"Ready","Waiting"))</f>
        <v>Waiting</v>
      </c>
      <c r="T26" s="205" t="str">
        <f>IFERROR(_xlfn.XLOOKUP($A26,'Material Summary'!$A:$A,'Material Summary'!$F:$F,""),"")</f>
        <v>n/a - Ericsson</v>
      </c>
      <c r="U26" s="208" t="str">
        <f>IFERROR(_xlfn.XLOOKUP($A26,'Material Summary'!$A:$A,'Material Summary'!$G:$G,""),"")</f>
        <v>Pending</v>
      </c>
    </row>
    <row r="27" spans="1:21">
      <c r="A27" s="211" t="str">
        <f>IFERROR(IF('Full Plan'!A15="","",'Full Plan'!A15),"")</f>
        <v>MR5011</v>
      </c>
      <c r="B27" s="211" t="str">
        <f>IFERROR(_xlfn.XLOOKUP($A27,'Full Plan'!$A:$A,'Full Plan'!$B:$B,""),"")</f>
        <v>Weligama_Tourism_Cluster_1_Lamp</v>
      </c>
      <c r="C27" s="192">
        <f>IFERROR(_xlfn.XLOOKUP($A27,'Full Plan'!$A:$A,'Full Plan'!$E:$E,""),"")</f>
        <v>0</v>
      </c>
      <c r="D27" s="279" t="str">
        <f>IFERROR(_xlfn.XLOOKUP($A27,'Full Plan'!$A:$A,'Full Plan'!$J:$J,""),"")</f>
        <v>On Hold</v>
      </c>
      <c r="E27" s="281">
        <f>IFERROR(_xlfn.XLOOKUP($A27,'Full Plan'!$A:$A,'Full Plan'!$F:$F,""),"")</f>
        <v>30</v>
      </c>
      <c r="F27" s="191" t="str">
        <f>IFERROR(_xlfn.XLOOKUP($A27,'Full Plan'!$A:$A,'Full Plan'!$G:$G,""),"")</f>
        <v>Ericsson</v>
      </c>
      <c r="G27" s="188" t="str">
        <f>IFERROR(_xlfn.XLOOKUP($A27,'Full Plan'!$A:$A,'Full Plan'!$I:$I,""),"")</f>
        <v>Huawei</v>
      </c>
      <c r="H27" s="190" t="str">
        <f>IFERROR(_xlfn.XLOOKUP($A27,'Full Plan'!$A:$A,'Full Plan'!$H:$H,""),"")</f>
        <v>MW-HYB</v>
      </c>
      <c r="I27" s="275" t="str">
        <f>IFERROR(_xlfn.XLOOKUP($A27,'Full Plan'!$A:$A,'Full Plan'!$N:$N,""),"")</f>
        <v>Pending</v>
      </c>
      <c r="J27" s="213" t="str">
        <f>IFERROR(_xlfn.XLOOKUP($A27,'Full Plan'!$A:$A,'Full Plan'!$T:$T,""),"")</f>
        <v>MW_2026_2111</v>
      </c>
      <c r="K27" s="275" t="str">
        <f>IFERROR(_xlfn.XLOOKUP($A27,'Full Plan'!$A:$A,'Full Plan'!$U:$U,""),"")</f>
        <v>MW Link Pending</v>
      </c>
      <c r="L27" s="275" t="str">
        <f>IFERROR(_xlfn.XLOOKUP($A27,'Full Plan'!$A:$A,'Full Plan'!$V:$V,""),"")</f>
        <v>Pending</v>
      </c>
      <c r="M27" s="277" t="str">
        <f>IFERROR(_xlfn.XLOOKUP($A27,'Full Plan'!$A:$A,'Full Plan'!$O:$O,""),"")</f>
        <v>Pending</v>
      </c>
      <c r="N27" s="275" t="str">
        <f>IFERROR(_xlfn.XLOOKUP($A27,'Full Plan'!$A:$A,'Full Plan'!$P:$P,""),"")</f>
        <v>Received</v>
      </c>
      <c r="O27" s="275" t="str">
        <f>IFERROR(_xlfn.XLOOKUP($A27,'Full Plan'!$A:$A,'Full Plan'!$Q:$Q,""),"")</f>
        <v>Pending</v>
      </c>
      <c r="P27" s="275" t="str">
        <f>IFERROR(_xlfn.XLOOKUP($A27,'Full Plan'!$A:$A,'Full Plan'!$R:$R,""),"")</f>
        <v>Pending</v>
      </c>
      <c r="Q27" s="287" t="str">
        <f>IFERROR(_xlfn.XLOOKUP($A27,'MW Removal &amp; Update'!$A:$A,'MW Removal &amp; Update'!$M:$M,""),"")</f>
        <v>23G2161</v>
      </c>
      <c r="R27" s="288">
        <f>IFERROR(_xlfn.XLOOKUP($A27,'Full Plan'!$A:$A,'Full Plan'!$K:$K,""),"")</f>
        <v>0</v>
      </c>
      <c r="S27" s="207" t="str">
        <f>IF($A27="","",IF(COUNTIF($I27:$P27,"*Pending*")=0,"Ready","Waiting"))</f>
        <v>Waiting</v>
      </c>
      <c r="T27" s="208" t="str">
        <f>IFERROR(_xlfn.XLOOKUP($A27,'Material Summary'!$A:$A,'Material Summary'!$F:$F,""),"")</f>
        <v>n/a - Ericsson</v>
      </c>
      <c r="U27" s="209" t="str">
        <f>IFERROR(_xlfn.XLOOKUP($A27,'Material Summary'!$A:$A,'Material Summary'!$G:$G,""),"")</f>
        <v>Pending</v>
      </c>
    </row>
    <row r="28" spans="1:21">
      <c r="A28" s="211" t="str">
        <f>IFERROR(IF('Full Plan'!A16="","",'Full Plan'!A16),"")</f>
        <v>CM5724</v>
      </c>
      <c r="B28" s="211" t="str">
        <f>IFERROR(_xlfn.XLOOKUP($A28,'Full Plan'!$A:$A,'Full Plan'!$B:$B,""),"")</f>
        <v>Angampitiya_Lamp</v>
      </c>
      <c r="C28" s="192" t="str">
        <f>IFERROR(_xlfn.XLOOKUP($A28,'Full Plan'!$A:$A,'Full Plan'!$E:$E,""),"")</f>
        <v>Amal</v>
      </c>
      <c r="D28" s="279" t="str">
        <f>IFERROR(_xlfn.XLOOKUP($A28,'Full Plan'!$A:$A,'Full Plan'!$J:$J,""),"")</f>
        <v>On Hold</v>
      </c>
      <c r="E28" s="281">
        <f>IFERROR(_xlfn.XLOOKUP($A28,'Full Plan'!$A:$A,'Full Plan'!$F:$F,""),"")</f>
        <v>20</v>
      </c>
      <c r="F28" s="191" t="str">
        <f>IFERROR(_xlfn.XLOOKUP($A28,'Full Plan'!$A:$A,'Full Plan'!$G:$G,""),"")</f>
        <v>Ericsson</v>
      </c>
      <c r="G28" s="188" t="str">
        <f>IFERROR(_xlfn.XLOOKUP($A28,'Full Plan'!$A:$A,'Full Plan'!$I:$I,""),"")</f>
        <v>Huawei</v>
      </c>
      <c r="H28" s="192" t="str">
        <f>IFERROR(_xlfn.XLOOKUP($A28,'Full Plan'!$A:$A,'Full Plan'!$H:$H,""),"")</f>
        <v>MW-HYB</v>
      </c>
      <c r="I28" s="275" t="str">
        <f>IFERROR(_xlfn.XLOOKUP($A28,'Full Plan'!$A:$A,'Full Plan'!$N:$N,""),"")</f>
        <v>Pending</v>
      </c>
      <c r="J28" s="212" t="str">
        <f>IFERROR(_xlfn.XLOOKUP($A28,'Full Plan'!$A:$A,'Full Plan'!$T:$T,""),"")</f>
        <v>MW_2026_2094</v>
      </c>
      <c r="K28" s="275" t="str">
        <f>IFERROR(_xlfn.XLOOKUP($A28,'Full Plan'!$A:$A,'Full Plan'!$U:$U,""),"")</f>
        <v>MW Link OK</v>
      </c>
      <c r="L28" s="275" t="str">
        <f>IFERROR(_xlfn.XLOOKUP($A28,'Full Plan'!$A:$A,'Full Plan'!$V:$V,""),"")</f>
        <v>Received</v>
      </c>
      <c r="M28" s="277" t="str">
        <f>IFERROR(_xlfn.XLOOKUP($A28,'Full Plan'!$A:$A,'Full Plan'!$O:$O,""),"")</f>
        <v>Received</v>
      </c>
      <c r="N28" s="275" t="str">
        <f>IFERROR(_xlfn.XLOOKUP($A28,'Full Plan'!$A:$A,'Full Plan'!$P:$P,""),"")</f>
        <v>Received</v>
      </c>
      <c r="O28" s="275" t="str">
        <f>IFERROR(_xlfn.XLOOKUP($A28,'Full Plan'!$A:$A,'Full Plan'!$Q:$Q,""),"")</f>
        <v>Received</v>
      </c>
      <c r="P28" s="275" t="str">
        <f>IFERROR(_xlfn.XLOOKUP($A28,'Full Plan'!$A:$A,'Full Plan'!$R:$R,""),"")</f>
        <v>Received</v>
      </c>
      <c r="Q28" s="287" t="str">
        <f>IFERROR(_xlfn.XLOOKUP($A28,'MW Removal &amp; Update'!$A:$A,'MW Removal &amp; Update'!$M:$M,""),"")</f>
        <v>18G2006</v>
      </c>
      <c r="R28" s="288">
        <f>IFERROR(_xlfn.XLOOKUP($A28,'Full Plan'!$A:$A,'Full Plan'!$K:$K,""),"")</f>
        <v>0</v>
      </c>
      <c r="S28" s="207" t="str">
        <f>IF($A28="","",IF(COUNTIF($I28:$P28,"*Pending*")=0,"Ready","Waiting"))</f>
        <v>Waiting</v>
      </c>
      <c r="T28" s="206" t="str">
        <f>IFERROR(_xlfn.XLOOKUP($A28,'Material Summary'!$A:$A,'Material Summary'!$F:$F,""),"")</f>
        <v>n/a - Ericsson</v>
      </c>
      <c r="U28" s="209" t="str">
        <f>IFERROR(_xlfn.XLOOKUP($A28,'Material Summary'!$A:$A,'Material Summary'!$G:$G,""),"")</f>
        <v>Pending</v>
      </c>
    </row>
    <row r="29" spans="1:21">
      <c r="A29" s="211" t="str">
        <f>IFERROR(IF('Full Plan'!A17="","",'Full Plan'!A17),"")</f>
        <v>GA5095</v>
      </c>
      <c r="B29" s="211" t="str">
        <f>IFERROR(_xlfn.XLOOKUP($A29,'Full Plan'!$A:$A,'Full Plan'!$B:$B,""),"")</f>
        <v>Yatramulla_Lamp</v>
      </c>
      <c r="C29" s="192" t="str">
        <f>IFERROR(_xlfn.XLOOKUP($A29,'Full Plan'!$A:$A,'Full Plan'!$E:$E,""),"")</f>
        <v>Udaya</v>
      </c>
      <c r="D29" s="279" t="str">
        <f>IFERROR(_xlfn.XLOOKUP($A29,'Full Plan'!$A:$A,'Full Plan'!$J:$J,""),"")</f>
        <v>On Hold</v>
      </c>
      <c r="E29" s="281">
        <f>IFERROR(_xlfn.XLOOKUP($A29,'Full Plan'!$A:$A,'Full Plan'!$F:$F,""),"")</f>
        <v>30</v>
      </c>
      <c r="F29" s="191" t="str">
        <f>IFERROR(_xlfn.XLOOKUP($A29,'Full Plan'!$A:$A,'Full Plan'!$G:$G,""),"")</f>
        <v>Ericsson</v>
      </c>
      <c r="G29" s="188" t="str">
        <f>IFERROR(_xlfn.XLOOKUP($A29,'Full Plan'!$A:$A,'Full Plan'!$I:$I,""),"")</f>
        <v>Huawei</v>
      </c>
      <c r="H29" s="192" t="str">
        <f>IFERROR(_xlfn.XLOOKUP($A29,'Full Plan'!$A:$A,'Full Plan'!$H:$H,""),"")</f>
        <v>MW-HYB</v>
      </c>
      <c r="I29" s="275" t="str">
        <f>IFERROR(_xlfn.XLOOKUP($A29,'Full Plan'!$A:$A,'Full Plan'!$N:$N,""),"")</f>
        <v>Pending</v>
      </c>
      <c r="J29" s="212" t="str">
        <f>IFERROR(_xlfn.XLOOKUP($A29,'Full Plan'!$A:$A,'Full Plan'!$T:$T,""),"")</f>
        <v>MW_2026_1713</v>
      </c>
      <c r="K29" s="275" t="str">
        <f>IFERROR(_xlfn.XLOOKUP($A29,'Full Plan'!$A:$A,'Full Plan'!$U:$U,""),"")</f>
        <v>MW Link Pending</v>
      </c>
      <c r="L29" s="275" t="str">
        <f>IFERROR(_xlfn.XLOOKUP($A29,'Full Plan'!$A:$A,'Full Plan'!$V:$V,""),"")</f>
        <v>Pending</v>
      </c>
      <c r="M29" s="277" t="str">
        <f>IFERROR(_xlfn.XLOOKUP($A29,'Full Plan'!$A:$A,'Full Plan'!$O:$O,""),"")</f>
        <v>Pending</v>
      </c>
      <c r="N29" s="275" t="str">
        <f>IFERROR(_xlfn.XLOOKUP($A29,'Full Plan'!$A:$A,'Full Plan'!$P:$P,""),"")</f>
        <v>Received</v>
      </c>
      <c r="O29" s="275" t="str">
        <f>IFERROR(_xlfn.XLOOKUP($A29,'Full Plan'!$A:$A,'Full Plan'!$Q:$Q,""),"")</f>
        <v>Pending</v>
      </c>
      <c r="P29" s="275" t="str">
        <f>IFERROR(_xlfn.XLOOKUP($A29,'Full Plan'!$A:$A,'Full Plan'!$R:$R,""),"")</f>
        <v>Pending</v>
      </c>
      <c r="Q29" s="287" t="str">
        <f>IFERROR(_xlfn.XLOOKUP($A29,'MW Removal &amp; Update'!$A:$A,'MW Removal &amp; Update'!$M:$M,""),"")</f>
        <v>23G2496</v>
      </c>
      <c r="R29" s="288">
        <f>IFERROR(_xlfn.XLOOKUP($A29,'Full Plan'!$A:$A,'Full Plan'!$K:$K,""),"")</f>
        <v>0</v>
      </c>
      <c r="S29" s="207" t="str">
        <f>IF($A29="","",IF(COUNTIF($I29:$P29,"*Pending*")=0,"Ready","Waiting"))</f>
        <v>Waiting</v>
      </c>
      <c r="T29" s="206" t="str">
        <f>IFERROR(_xlfn.XLOOKUP($A29,'Material Summary'!$A:$A,'Material Summary'!$F:$F,""),"")</f>
        <v>n/a - Ericsson</v>
      </c>
      <c r="U29" s="209" t="str">
        <f>IFERROR(_xlfn.XLOOKUP($A29,'Material Summary'!$A:$A,'Material Summary'!$G:$G,""),"")</f>
        <v>Pending</v>
      </c>
    </row>
    <row r="30" spans="1:21">
      <c r="A30" s="211" t="str">
        <f>IFERROR(IF('Full Plan'!A31="","",'Full Plan'!A31),"")</f>
        <v>JA5177</v>
      </c>
      <c r="B30" s="211" t="str">
        <f>IFERROR(_xlfn.XLOOKUP($A30,'Full Plan'!$A:$A,'Full Plan'!$B:$B,""),"")</f>
        <v>Manatkadu_Lamp</v>
      </c>
      <c r="C30" s="192" t="str">
        <f>IFERROR(_xlfn.XLOOKUP($A30,'Full Plan'!$A:$A,'Full Plan'!$E:$E,""),"")</f>
        <v>Thusitha</v>
      </c>
      <c r="D30" s="279" t="str">
        <f>IFERROR(_xlfn.XLOOKUP($A30,'Full Plan'!$A:$A,'Full Plan'!$J:$J,""),"")</f>
        <v>Dispute</v>
      </c>
      <c r="E30" s="281">
        <f>IFERROR(_xlfn.XLOOKUP($A30,'Full Plan'!$A:$A,'Full Plan'!$F:$F,""),"")</f>
        <v>20</v>
      </c>
      <c r="F30" s="191" t="str">
        <f>IFERROR(_xlfn.XLOOKUP($A30,'Full Plan'!$A:$A,'Full Plan'!$G:$G,""),"")</f>
        <v>Huawei</v>
      </c>
      <c r="G30" s="190" t="str">
        <f>IFERROR(_xlfn.XLOOKUP($A30,'Full Plan'!$A:$A,'Full Plan'!$I:$I,""),"")</f>
        <v>WiBAS</v>
      </c>
      <c r="H30" s="192" t="str">
        <f>IFERROR(_xlfn.XLOOKUP($A30,'Full Plan'!$A:$A,'Full Plan'!$H:$H,""),"")</f>
        <v>WiBAS</v>
      </c>
      <c r="I30" s="275" t="str">
        <f>IFERROR(_xlfn.XLOOKUP($A30,'Full Plan'!$A:$A,'Full Plan'!$N:$N,""),"")</f>
        <v>No Reservation for BBU..Other Materials are ok, BBU OK</v>
      </c>
      <c r="J30" s="212" t="str">
        <f>IFERROR(_xlfn.XLOOKUP($A30,'Full Plan'!$A:$A,'Full Plan'!$T:$T,""),"")</f>
        <v>WIBAS_2026_1677</v>
      </c>
      <c r="K30" s="275" t="str">
        <f>IFERROR(_xlfn.XLOOKUP($A30,'Full Plan'!$A:$A,'Full Plan'!$U:$U,""),"")</f>
        <v>MW Link Pending</v>
      </c>
      <c r="L30" s="275" t="str">
        <f>IFERROR(_xlfn.XLOOKUP($A30,'Full Plan'!$A:$A,'Full Plan'!$V:$V,""),"")</f>
        <v>Received</v>
      </c>
      <c r="M30" s="277" t="str">
        <f>IFERROR(_xlfn.XLOOKUP($A30,'Full Plan'!$A:$A,'Full Plan'!$O:$O,""),"")</f>
        <v>Pending</v>
      </c>
      <c r="N30" s="275" t="str">
        <f>IFERROR(_xlfn.XLOOKUP($A30,'Full Plan'!$A:$A,'Full Plan'!$P:$P,""),"")</f>
        <v>Pending</v>
      </c>
      <c r="O30" s="275" t="str">
        <f>IFERROR(_xlfn.XLOOKUP($A30,'Full Plan'!$A:$A,'Full Plan'!$Q:$Q,""),"")</f>
        <v>Pending</v>
      </c>
      <c r="P30" s="275" t="str">
        <f>IFERROR(_xlfn.XLOOKUP($A30,'Full Plan'!$A:$A,'Full Plan'!$R:$R,""),"")</f>
        <v>Pending</v>
      </c>
      <c r="Q30" s="287" t="str">
        <f>IFERROR(_xlfn.XLOOKUP($A30,'MW Removal &amp; Update'!$A:$A,'MW Removal &amp; Update'!$M:$M,""),"")</f>
        <v>10G1435</v>
      </c>
      <c r="R30" s="288" t="str">
        <f>IFERROR(_xlfn.XLOOKUP($A30,'Full Plan'!$A:$A,'Full Plan'!$K:$K,""),"")</f>
        <v>Dispute Ongoing, BBU OK from AM9000, bracket issue from Oxenture mail</v>
      </c>
      <c r="S30" s="207" t="str">
        <f>IF($A30="","",IF(COUNTIF($I30:$P30,"*Pending*")=0,"Ready","Waiting"))</f>
        <v>Waiting</v>
      </c>
      <c r="T30" s="206" t="str">
        <f>IFERROR(_xlfn.XLOOKUP($A30,'Material Summary'!$A:$A,'Material Summary'!$F:$F,""),"")</f>
        <v>UPEU/UEIU/FAN only</v>
      </c>
      <c r="U30" s="209" t="str">
        <f>IFERROR(_xlfn.XLOOKUP($A30,'Material Summary'!$A:$A,'Material Summary'!$G:$G,""),"")</f>
        <v>n/a - Huawei</v>
      </c>
    </row>
    <row r="31" spans="1:21">
      <c r="A31" s="211" t="str">
        <f>IFERROR(IF('Full Plan'!A18="","",'Full Plan'!A18),"")</f>
        <v>BD5071</v>
      </c>
      <c r="B31" s="211" t="str">
        <f>IFERROR(_xlfn.XLOOKUP($A31,'Full Plan'!$A:$A,'Full Plan'!$B:$B,""),"")</f>
        <v>Meedumpitiya_Lamp</v>
      </c>
      <c r="C31" s="192">
        <f>IFERROR(_xlfn.XLOOKUP($A31,'Full Plan'!$A:$A,'Full Plan'!$E:$E,""),"")</f>
        <v>0</v>
      </c>
      <c r="D31" s="279" t="str">
        <f>IFERROR(_xlfn.XLOOKUP($A31,'Full Plan'!$A:$A,'Full Plan'!$J:$J,""),"")</f>
        <v>On Hold</v>
      </c>
      <c r="E31" s="281">
        <f>IFERROR(_xlfn.XLOOKUP($A31,'Full Plan'!$A:$A,'Full Plan'!$F:$F,""),"")</f>
        <v>25</v>
      </c>
      <c r="F31" s="191" t="str">
        <f>IFERROR(_xlfn.XLOOKUP($A31,'Full Plan'!$A:$A,'Full Plan'!$G:$G,""),"")</f>
        <v>Ericsson</v>
      </c>
      <c r="G31" s="188" t="str">
        <f>IFERROR(_xlfn.XLOOKUP($A31,'Full Plan'!$A:$A,'Full Plan'!$I:$I,""),"")</f>
        <v>OFN</v>
      </c>
      <c r="H31" s="190" t="str">
        <f>IFERROR(_xlfn.XLOOKUP($A31,'Full Plan'!$A:$A,'Full Plan'!$H:$H,""),"")</f>
        <v>OFN</v>
      </c>
      <c r="I31" s="275" t="str">
        <f>IFERROR(_xlfn.XLOOKUP($A31,'Full Plan'!$A:$A,'Full Plan'!$N:$N,""),"")</f>
        <v>Pending</v>
      </c>
      <c r="J31" s="213" t="str">
        <f>IFERROR(_xlfn.XLOOKUP($A31,'Full Plan'!$A:$A,'Full Plan'!$T:$T,""),"")</f>
        <v>OFN</v>
      </c>
      <c r="K31" s="275" t="str">
        <f>IFERROR(_xlfn.XLOOKUP($A31,'Full Plan'!$A:$A,'Full Plan'!$U:$U,""),"")</f>
        <v>Tx Pending</v>
      </c>
      <c r="L31" s="275" t="str">
        <f>IFERROR(_xlfn.XLOOKUP($A31,'Full Plan'!$A:$A,'Full Plan'!$V:$V,""),"")</f>
        <v>OFN</v>
      </c>
      <c r="M31" s="277" t="str">
        <f>IFERROR(_xlfn.XLOOKUP($A31,'Full Plan'!$A:$A,'Full Plan'!$O:$O,""),"")</f>
        <v>Extention Brackets OK</v>
      </c>
      <c r="N31" s="275" t="str">
        <f>IFERROR(_xlfn.XLOOKUP($A31,'Full Plan'!$A:$A,'Full Plan'!$P:$P,""),"")</f>
        <v>Pending</v>
      </c>
      <c r="O31" s="275" t="str">
        <f>IFERROR(_xlfn.XLOOKUP($A31,'Full Plan'!$A:$A,'Full Plan'!$Q:$Q,""),"")</f>
        <v>Received</v>
      </c>
      <c r="P31" s="275" t="str">
        <f>IFERROR(_xlfn.XLOOKUP($A31,'Full Plan'!$A:$A,'Full Plan'!$R:$R,""),"")</f>
        <v>N/A</v>
      </c>
      <c r="Q31" s="287" t="str">
        <f>IFERROR(_xlfn.XLOOKUP($A31,'MW Removal &amp; Update'!$A:$A,'MW Removal &amp; Update'!$M:$M,""),"")</f>
        <v/>
      </c>
      <c r="R31" s="288">
        <f>IFERROR(_xlfn.XLOOKUP($A31,'Full Plan'!$A:$A,'Full Plan'!$K:$K,""),"")</f>
        <v>0</v>
      </c>
      <c r="S31" s="207" t="str">
        <f>IF($A31="","",IF(COUNTIF($I31:$P31,"*Pending*")=0,"Ready","Waiting"))</f>
        <v>Waiting</v>
      </c>
      <c r="T31" s="208" t="str">
        <f>IFERROR(_xlfn.XLOOKUP($A31,'Material Summary'!$A:$A,'Material Summary'!$F:$F,""),"")</f>
        <v>n/a - Ericsson</v>
      </c>
      <c r="U31" s="209" t="str">
        <f>IFERROR(_xlfn.XLOOKUP($A31,'Material Summary'!$A:$A,'Material Summary'!$G:$G,""),"")</f>
        <v>Pending</v>
      </c>
    </row>
    <row r="32" spans="1:21">
      <c r="A32" s="211" t="str">
        <f>IFERROR(IF('Full Plan'!A19="","",'Full Plan'!A19),"")</f>
        <v>VA5038</v>
      </c>
      <c r="B32" s="211" t="str">
        <f>IFERROR(_xlfn.XLOOKUP($A32,'Full Plan'!$A:$A,'Full Plan'!$B:$B,""),"")</f>
        <v>Collage_Rd_Lamp</v>
      </c>
      <c r="C32" s="192" t="str">
        <f>IFERROR(_xlfn.XLOOKUP($A32,'Full Plan'!$A:$A,'Full Plan'!$E:$E,""),"")</f>
        <v>Chanaka</v>
      </c>
      <c r="D32" s="279" t="str">
        <f>IFERROR(_xlfn.XLOOKUP($A32,'Full Plan'!$A:$A,'Full Plan'!$J:$J,""),"")</f>
        <v>On Hold</v>
      </c>
      <c r="E32" s="281">
        <f>IFERROR(_xlfn.XLOOKUP($A32,'Full Plan'!$A:$A,'Full Plan'!$F:$F,""),"")</f>
        <v>25</v>
      </c>
      <c r="F32" s="191" t="str">
        <f>IFERROR(_xlfn.XLOOKUP($A32,'Full Plan'!$A:$A,'Full Plan'!$G:$G,""),"")</f>
        <v>Huawei</v>
      </c>
      <c r="G32" s="190" t="str">
        <f>IFERROR(_xlfn.XLOOKUP($A32,'Full Plan'!$A:$A,'Full Plan'!$I:$I,""),"")</f>
        <v>OFN</v>
      </c>
      <c r="H32" s="192" t="str">
        <f>IFERROR(_xlfn.XLOOKUP($A32,'Full Plan'!$A:$A,'Full Plan'!$H:$H,""),"")</f>
        <v>OFN</v>
      </c>
      <c r="I32" s="275" t="str">
        <f>IFERROR(_xlfn.XLOOKUP($A32,'Full Plan'!$A:$A,'Full Plan'!$N:$N,""),"")</f>
        <v>Reservation Stil nit ready to collect for BBU..Other Materials are ok</v>
      </c>
      <c r="J32" s="212" t="str">
        <f>IFERROR(_xlfn.XLOOKUP($A32,'Full Plan'!$A:$A,'Full Plan'!$T:$T,""),"")</f>
        <v>OFN</v>
      </c>
      <c r="K32" s="275" t="str">
        <f>IFERROR(_xlfn.XLOOKUP($A32,'Full Plan'!$A:$A,'Full Plan'!$U:$U,""),"")</f>
        <v>Tx Pending</v>
      </c>
      <c r="L32" s="275" t="str">
        <f>IFERROR(_xlfn.XLOOKUP($A32,'Full Plan'!$A:$A,'Full Plan'!$V:$V,""),"")</f>
        <v>OFN</v>
      </c>
      <c r="M32" s="277" t="str">
        <f>IFERROR(_xlfn.XLOOKUP($A32,'Full Plan'!$A:$A,'Full Plan'!$O:$O,""),"")</f>
        <v>Extention Brackets OK</v>
      </c>
      <c r="N32" s="275" t="str">
        <f>IFERROR(_xlfn.XLOOKUP($A32,'Full Plan'!$A:$A,'Full Plan'!$P:$P,""),"")</f>
        <v>Received</v>
      </c>
      <c r="O32" s="275" t="str">
        <f>IFERROR(_xlfn.XLOOKUP($A32,'Full Plan'!$A:$A,'Full Plan'!$Q:$Q,""),"")</f>
        <v>Received</v>
      </c>
      <c r="P32" s="275" t="str">
        <f>IFERROR(_xlfn.XLOOKUP($A32,'Full Plan'!$A:$A,'Full Plan'!$R:$R,""),"")</f>
        <v>N/A</v>
      </c>
      <c r="Q32" s="287" t="str">
        <f>IFERROR(_xlfn.XLOOKUP($A32,'MW Removal &amp; Update'!$A:$A,'MW Removal &amp; Update'!$M:$M,""),"")</f>
        <v/>
      </c>
      <c r="R32" s="288" t="str">
        <f>IFERROR(_xlfn.XLOOKUP($A32,'Full Plan'!$A:$A,'Full Plan'!$K:$K,""),"")</f>
        <v>BBU Pending</v>
      </c>
      <c r="S32" s="207" t="str">
        <f>IF($A32="","",IF(COUNTIF($I32:$P32,"*Pending*")=0,"Ready","Waiting"))</f>
        <v>Waiting</v>
      </c>
      <c r="T32" s="206" t="str">
        <f>IFERROR(_xlfn.XLOOKUP($A32,'Material Summary'!$A:$A,'Material Summary'!$F:$F,""),"")</f>
        <v>Pending</v>
      </c>
      <c r="U32" s="209" t="str">
        <f>IFERROR(_xlfn.XLOOKUP($A32,'Material Summary'!$A:$A,'Material Summary'!$G:$G,""),"")</f>
        <v>n/a - Huawei</v>
      </c>
    </row>
    <row r="33" spans="1:21">
      <c r="A33" s="211" t="str">
        <f>IFERROR(IF('Full Plan'!A30="","",'Full Plan'!A30),"")</f>
        <v>CM5756</v>
      </c>
      <c r="B33" s="211" t="str">
        <f>IFERROR(_xlfn.XLOOKUP($A33,'Full Plan'!$A:$A,'Full Plan'!$B:$B,""),"")</f>
        <v>Yasorapura_Rd_Lamp</v>
      </c>
      <c r="C33" s="192" t="str">
        <f>IFERROR(_xlfn.XLOOKUP($A33,'Full Plan'!$A:$A,'Full Plan'!$E:$E,""),"")</f>
        <v>Amal</v>
      </c>
      <c r="D33" s="279" t="str">
        <f>IFERROR(_xlfn.XLOOKUP($A33,'Full Plan'!$A:$A,'Full Plan'!$J:$J,""),"")</f>
        <v>Dispute</v>
      </c>
      <c r="E33" s="281">
        <f>IFERROR(_xlfn.XLOOKUP($A33,'Full Plan'!$A:$A,'Full Plan'!$F:$F,""),"")</f>
        <v>20</v>
      </c>
      <c r="F33" s="191" t="str">
        <f>IFERROR(_xlfn.XLOOKUP($A33,'Full Plan'!$A:$A,'Full Plan'!$G:$G,""),"")</f>
        <v>Huawei</v>
      </c>
      <c r="G33" s="190" t="str">
        <f>IFERROR(_xlfn.XLOOKUP($A33,'Full Plan'!$A:$A,'Full Plan'!$I:$I,""),"")</f>
        <v>OFN</v>
      </c>
      <c r="H33" s="190" t="str">
        <f>IFERROR(_xlfn.XLOOKUP($A33,'Full Plan'!$A:$A,'Full Plan'!$H:$H,""),"")</f>
        <v>OFN</v>
      </c>
      <c r="I33" s="275" t="str">
        <f>IFERROR(_xlfn.XLOOKUP($A33,'Full Plan'!$A:$A,'Full Plan'!$N:$N,""),"")</f>
        <v>Reservation Stil nit ready to collect for BBU..Other Materials are ok</v>
      </c>
      <c r="J33" s="213" t="str">
        <f>IFERROR(_xlfn.XLOOKUP($A33,'Full Plan'!$A:$A,'Full Plan'!$T:$T,""),"")</f>
        <v>OFN</v>
      </c>
      <c r="K33" s="275" t="str">
        <f>IFERROR(_xlfn.XLOOKUP($A33,'Full Plan'!$A:$A,'Full Plan'!$U:$U,""),"")</f>
        <v>Tx Pending</v>
      </c>
      <c r="L33" s="275" t="str">
        <f>IFERROR(_xlfn.XLOOKUP($A33,'Full Plan'!$A:$A,'Full Plan'!$V:$V,""),"")</f>
        <v>OFN</v>
      </c>
      <c r="M33" s="277" t="str">
        <f>IFERROR(_xlfn.XLOOKUP($A33,'Full Plan'!$A:$A,'Full Plan'!$O:$O,""),"")</f>
        <v>Received</v>
      </c>
      <c r="N33" s="275" t="str">
        <f>IFERROR(_xlfn.XLOOKUP($A33,'Full Plan'!$A:$A,'Full Plan'!$P:$P,""),"")</f>
        <v>Received</v>
      </c>
      <c r="O33" s="275" t="str">
        <f>IFERROR(_xlfn.XLOOKUP($A33,'Full Plan'!$A:$A,'Full Plan'!$Q:$Q,""),"")</f>
        <v>Received</v>
      </c>
      <c r="P33" s="275" t="str">
        <f>IFERROR(_xlfn.XLOOKUP($A33,'Full Plan'!$A:$A,'Full Plan'!$R:$R,""),"")</f>
        <v>N/A</v>
      </c>
      <c r="Q33" s="287" t="str">
        <f>IFERROR(_xlfn.XLOOKUP($A33,'MW Removal &amp; Update'!$A:$A,'MW Removal &amp; Update'!$M:$M,""),"")</f>
        <v/>
      </c>
      <c r="R33" s="288" t="str">
        <f>IFERROR(_xlfn.XLOOKUP($A33,'Full Plan'!$A:$A,'Full Plan'!$K:$K,""),"")</f>
        <v>Dispute Ongoing, BBU Pending</v>
      </c>
      <c r="S33" s="207" t="str">
        <f>IF($A33="","",IF(COUNTIF($I33:$P33,"*Pending*")=0,"Ready","Waiting"))</f>
        <v>Waiting</v>
      </c>
      <c r="T33" s="205" t="str">
        <f>IFERROR(_xlfn.XLOOKUP($A33,'Material Summary'!$A:$A,'Material Summary'!$F:$F,""),"")</f>
        <v>Pending</v>
      </c>
      <c r="U33" s="206" t="str">
        <f>IFERROR(_xlfn.XLOOKUP($A33,'Material Summary'!$A:$A,'Material Summary'!$G:$G,""),"")</f>
        <v>n/a - Huawei</v>
      </c>
    </row>
    <row r="34" spans="1:21">
      <c r="A34" s="211" t="str">
        <f>IFERROR(IF('Full Plan'!A25="","",'Full Plan'!A25),"")</f>
        <v>GA5093</v>
      </c>
      <c r="B34" s="211" t="str">
        <f>IFERROR(_xlfn.XLOOKUP($A34,'Full Plan'!$A:$A,'Full Plan'!$B:$B,""),"")</f>
        <v>Thalpe_East_Lamp</v>
      </c>
      <c r="C34" s="192" t="str">
        <f>IFERROR(_xlfn.XLOOKUP($A34,'Full Plan'!$A:$A,'Full Plan'!$E:$E,""),"")</f>
        <v>Udaya</v>
      </c>
      <c r="D34" s="279" t="str">
        <f>IFERROR(_xlfn.XLOOKUP($A34,'Full Plan'!$A:$A,'Full Plan'!$J:$J,""),"")</f>
        <v>On Hold</v>
      </c>
      <c r="E34" s="281">
        <f>IFERROR(_xlfn.XLOOKUP($A34,'Full Plan'!$A:$A,'Full Plan'!$F:$F,""),"")</f>
        <v>30</v>
      </c>
      <c r="F34" s="191" t="str">
        <f>IFERROR(_xlfn.XLOOKUP($A34,'Full Plan'!$A:$A,'Full Plan'!$G:$G,""),"")</f>
        <v>Ericsson</v>
      </c>
      <c r="G34" s="190" t="str">
        <f>IFERROR(_xlfn.XLOOKUP($A34,'Full Plan'!$A:$A,'Full Plan'!$I:$I,""),"")</f>
        <v>OFN</v>
      </c>
      <c r="H34" s="192" t="str">
        <f>IFERROR(_xlfn.XLOOKUP($A34,'Full Plan'!$A:$A,'Full Plan'!$H:$H,""),"")</f>
        <v>OFN</v>
      </c>
      <c r="I34" s="275" t="str">
        <f>IFERROR(_xlfn.XLOOKUP($A34,'Full Plan'!$A:$A,'Full Plan'!$N:$N,""),"")</f>
        <v>Pending</v>
      </c>
      <c r="J34" s="212" t="str">
        <f>IFERROR(_xlfn.XLOOKUP($A34,'Full Plan'!$A:$A,'Full Plan'!$T:$T,""),"")</f>
        <v>OFN</v>
      </c>
      <c r="K34" s="275" t="str">
        <f>IFERROR(_xlfn.XLOOKUP($A34,'Full Plan'!$A:$A,'Full Plan'!$U:$U,""),"")</f>
        <v>Tx Pending</v>
      </c>
      <c r="L34" s="275" t="str">
        <f>IFERROR(_xlfn.XLOOKUP($A34,'Full Plan'!$A:$A,'Full Plan'!$V:$V,""),"")</f>
        <v>OFN</v>
      </c>
      <c r="M34" s="277" t="str">
        <f>IFERROR(_xlfn.XLOOKUP($A34,'Full Plan'!$A:$A,'Full Plan'!$O:$O,""),"")</f>
        <v>Extention Brackets OK</v>
      </c>
      <c r="N34" s="275" t="str">
        <f>IFERROR(_xlfn.XLOOKUP($A34,'Full Plan'!$A:$A,'Full Plan'!$P:$P,""),"")</f>
        <v>Pending</v>
      </c>
      <c r="O34" s="275" t="str">
        <f>IFERROR(_xlfn.XLOOKUP($A34,'Full Plan'!$A:$A,'Full Plan'!$Q:$Q,""),"")</f>
        <v>Pending</v>
      </c>
      <c r="P34" s="275" t="str">
        <f>IFERROR(_xlfn.XLOOKUP($A34,'Full Plan'!$A:$A,'Full Plan'!$R:$R,""),"")</f>
        <v>N/A</v>
      </c>
      <c r="Q34" s="287" t="str">
        <f>IFERROR(_xlfn.XLOOKUP($A34,'MW Removal &amp; Update'!$A:$A,'MW Removal &amp; Update'!$M:$M,""),"")</f>
        <v/>
      </c>
      <c r="R34" s="288" t="str">
        <f>IFERROR(_xlfn.XLOOKUP($A34,'Full Plan'!$A:$A,'Full Plan'!$K:$K,""),"")</f>
        <v>Design Pending</v>
      </c>
      <c r="S34" s="207" t="str">
        <f>IF($A34="","",IF(COUNTIF($I34:$P34,"*Pending*")=0,"Ready","Waiting"))</f>
        <v>Waiting</v>
      </c>
      <c r="T34" s="205" t="str">
        <f>IFERROR(_xlfn.XLOOKUP($A34,'Material Summary'!$A:$A,'Material Summary'!$F:$F,""),"")</f>
        <v>n/a - Ericsson</v>
      </c>
      <c r="U34" s="205" t="str">
        <f>IFERROR(_xlfn.XLOOKUP($A34,'Material Summary'!$A:$A,'Material Summary'!$G:$G,""),"")</f>
        <v>Pending</v>
      </c>
    </row>
    <row r="35" spans="1:21">
      <c r="A35" s="211" t="str">
        <f>IFERROR(IF('Full Plan'!A35="","",'Full Plan'!A35),"")</f>
        <v>HA5039</v>
      </c>
      <c r="B35" s="211" t="str">
        <f>IFERROR(_xlfn.XLOOKUP($A35,'Full Plan'!$A:$A,'Full Plan'!$B:$B,""),"")</f>
        <v>Medaketiya_Lamp</v>
      </c>
      <c r="C35" s="192">
        <f>IFERROR(_xlfn.XLOOKUP($A35,'Full Plan'!$A:$A,'Full Plan'!$E:$E,""),"")</f>
        <v>0</v>
      </c>
      <c r="D35" s="279" t="str">
        <f>IFERROR(_xlfn.XLOOKUP($A35,'Full Plan'!$A:$A,'Full Plan'!$J:$J,""),"")</f>
        <v>Terminated</v>
      </c>
      <c r="E35" s="281">
        <f>IFERROR(_xlfn.XLOOKUP($A35,'Full Plan'!$A:$A,'Full Plan'!$F:$F,""),"")</f>
        <v>25</v>
      </c>
      <c r="F35" s="188" t="str">
        <f>IFERROR(_xlfn.XLOOKUP($A35,'Full Plan'!$A:$A,'Full Plan'!$G:$G,""),"")</f>
        <v>Ericsson</v>
      </c>
      <c r="G35" s="188" t="str">
        <f>IFERROR(_xlfn.XLOOKUP($A35,'Full Plan'!$A:$A,'Full Plan'!$I:$I,""),"")</f>
        <v>OFN</v>
      </c>
      <c r="H35" s="192" t="str">
        <f>IFERROR(_xlfn.XLOOKUP($A35,'Full Plan'!$A:$A,'Full Plan'!$H:$H,""),"")</f>
        <v>OFN</v>
      </c>
      <c r="I35" s="275" t="str">
        <f>IFERROR(_xlfn.XLOOKUP($A35,'Full Plan'!$A:$A,'Full Plan'!$N:$N,""),"")</f>
        <v>Pending</v>
      </c>
      <c r="J35" s="212" t="str">
        <f>IFERROR(_xlfn.XLOOKUP($A35,'Full Plan'!$A:$A,'Full Plan'!$T:$T,""),"")</f>
        <v>OFN</v>
      </c>
      <c r="K35" s="275" t="str">
        <f>IFERROR(_xlfn.XLOOKUP($A35,'Full Plan'!$A:$A,'Full Plan'!$U:$U,""),"")</f>
        <v>Tx Pending</v>
      </c>
      <c r="L35" s="275" t="str">
        <f>IFERROR(_xlfn.XLOOKUP($A35,'Full Plan'!$A:$A,'Full Plan'!$V:$V,""),"")</f>
        <v>OFN</v>
      </c>
      <c r="M35" s="277" t="str">
        <f>IFERROR(_xlfn.XLOOKUP($A35,'Full Plan'!$A:$A,'Full Plan'!$O:$O,""),"")</f>
        <v>Extention Brackets OK</v>
      </c>
      <c r="N35" s="275" t="str">
        <f>IFERROR(_xlfn.XLOOKUP($A35,'Full Plan'!$A:$A,'Full Plan'!$P:$P,""),"")</f>
        <v>Pending</v>
      </c>
      <c r="O35" s="275" t="str">
        <f>IFERROR(_xlfn.XLOOKUP($A35,'Full Plan'!$A:$A,'Full Plan'!$Q:$Q,""),"")</f>
        <v>Received</v>
      </c>
      <c r="P35" s="275" t="str">
        <f>IFERROR(_xlfn.XLOOKUP($A35,'Full Plan'!$A:$A,'Full Plan'!$R:$R,""),"")</f>
        <v>N/A</v>
      </c>
      <c r="Q35" s="287" t="str">
        <f>IFERROR(_xlfn.XLOOKUP($A35,'MW Removal &amp; Update'!$A:$A,'MW Removal &amp; Update'!$M:$M,""),"")</f>
        <v/>
      </c>
      <c r="R35" s="288" t="str">
        <f>IFERROR(_xlfn.XLOOKUP($A35,'Full Plan'!$A:$A,'Full Plan'!$K:$K,""),"")</f>
        <v>Terminated by DAP Project</v>
      </c>
      <c r="S35" s="207" t="str">
        <f>IF($A35="","",IF(COUNTIF($I35:$P35,"*Pending*")=0,"Ready","Waiting"))</f>
        <v>Waiting</v>
      </c>
      <c r="T35" s="288"/>
      <c r="U35" s="288"/>
    </row>
    <row r="36" spans="1:21">
      <c r="A36" s="211" t="str">
        <f>IFERROR(IF('Full Plan'!A36="","",'Full Plan'!A36),"")</f>
        <v/>
      </c>
      <c r="B36" s="211" t="str">
        <f>IFERROR(_xlfn.XLOOKUP($A36,'Full Plan'!$A:$A,'Full Plan'!$B:$B,""),"")</f>
        <v/>
      </c>
      <c r="C36" s="192" t="str">
        <f>IFERROR(_xlfn.XLOOKUP($A36,'Full Plan'!$A:$A,'Full Plan'!$E:$E,""),"")</f>
        <v/>
      </c>
      <c r="D36" s="279" t="str">
        <f>IFERROR(_xlfn.XLOOKUP($A36,'Full Plan'!$A:$A,'Full Plan'!$J:$J,""),"")</f>
        <v/>
      </c>
      <c r="E36" s="281" t="str">
        <f>IFERROR(_xlfn.XLOOKUP($A36,'Full Plan'!$A:$A,'Full Plan'!$F:$F,""),"")</f>
        <v/>
      </c>
      <c r="F36" s="188" t="str">
        <f>IFERROR(_xlfn.XLOOKUP($A36,'Full Plan'!$A:$A,'Full Plan'!$G:$G,""),"")</f>
        <v/>
      </c>
      <c r="G36" s="188" t="str">
        <f>IFERROR(_xlfn.XLOOKUP($A36,'Full Plan'!$A:$A,'Full Plan'!$I:$I,""),"")</f>
        <v/>
      </c>
      <c r="H36" s="192" t="str">
        <f>IFERROR(_xlfn.XLOOKUP($A36,'Full Plan'!$A:$A,'Full Plan'!$H:$H,""),"")</f>
        <v/>
      </c>
      <c r="I36" s="275" t="str">
        <f>IFERROR(_xlfn.XLOOKUP($A36,'Full Plan'!$A:$A,'Full Plan'!$N:$N,""),"")</f>
        <v/>
      </c>
      <c r="J36" s="212" t="str">
        <f>IFERROR(_xlfn.XLOOKUP($A36,'Full Plan'!$A:$A,'Full Plan'!$T:$T,""),"")</f>
        <v/>
      </c>
      <c r="K36" s="275" t="str">
        <f>IFERROR(_xlfn.XLOOKUP($A36,'Full Plan'!$A:$A,'Full Plan'!$U:$U,""),"")</f>
        <v/>
      </c>
      <c r="L36" s="275" t="str">
        <f>IFERROR(_xlfn.XLOOKUP($A36,'Full Plan'!$A:$A,'Full Plan'!$V:$V,""),"")</f>
        <v/>
      </c>
      <c r="M36" s="277" t="str">
        <f>IFERROR(_xlfn.XLOOKUP($A36,'Full Plan'!$A:$A,'Full Plan'!$O:$O,""),"")</f>
        <v/>
      </c>
      <c r="N36" s="275" t="str">
        <f>IFERROR(_xlfn.XLOOKUP($A36,'Full Plan'!$A:$A,'Full Plan'!$P:$P,""),"")</f>
        <v/>
      </c>
      <c r="O36" s="275" t="str">
        <f>IFERROR(_xlfn.XLOOKUP($A36,'Full Plan'!$A:$A,'Full Plan'!$Q:$Q,""),"")</f>
        <v/>
      </c>
      <c r="P36" s="275" t="str">
        <f>IFERROR(_xlfn.XLOOKUP($A36,'Full Plan'!$A:$A,'Full Plan'!$R:$R,""),"")</f>
        <v/>
      </c>
      <c r="Q36" s="287" t="str">
        <f>IFERROR(_xlfn.XLOOKUP($A36,'MW Removal &amp; Update'!$A:$A,'MW Removal &amp; Update'!$M:$M,""),"")</f>
        <v/>
      </c>
      <c r="R36" s="288" t="str">
        <f>IFERROR(_xlfn.XLOOKUP($A36,'Full Plan'!$A:$A,'Full Plan'!$K:$K,""),"")</f>
        <v/>
      </c>
      <c r="S36" s="207" t="str">
        <f>IF($A36="","",IF(COUNTIF($I36:$P36,"*Pending*")=0,"Ready","Waiting"))</f>
        <v/>
      </c>
      <c r="T36" s="288"/>
      <c r="U36" s="288"/>
    </row>
    <row r="37" spans="1:21">
      <c r="A37" s="211" t="str">
        <f>IFERROR(IF('Full Plan'!A37="","",'Full Plan'!A37),"")</f>
        <v/>
      </c>
      <c r="B37" s="211" t="str">
        <f>IFERROR(_xlfn.XLOOKUP($A37,'Full Plan'!$A:$A,'Full Plan'!$B:$B,""),"")</f>
        <v/>
      </c>
      <c r="C37" s="192" t="str">
        <f>IFERROR(_xlfn.XLOOKUP($A37,'Full Plan'!$A:$A,'Full Plan'!$E:$E,""),"")</f>
        <v/>
      </c>
      <c r="D37" s="279" t="str">
        <f>IFERROR(_xlfn.XLOOKUP($A37,'Full Plan'!$A:$A,'Full Plan'!$J:$J,""),"")</f>
        <v/>
      </c>
      <c r="E37" s="281" t="str">
        <f>IFERROR(_xlfn.XLOOKUP($A37,'Full Plan'!$A:$A,'Full Plan'!$F:$F,""),"")</f>
        <v/>
      </c>
      <c r="F37" s="188" t="str">
        <f>IFERROR(_xlfn.XLOOKUP($A37,'Full Plan'!$A:$A,'Full Plan'!$G:$G,""),"")</f>
        <v/>
      </c>
      <c r="G37" s="188" t="str">
        <f>IFERROR(_xlfn.XLOOKUP($A37,'Full Plan'!$A:$A,'Full Plan'!$I:$I,""),"")</f>
        <v/>
      </c>
      <c r="H37" s="192" t="str">
        <f>IFERROR(_xlfn.XLOOKUP($A37,'Full Plan'!$A:$A,'Full Plan'!$H:$H,""),"")</f>
        <v/>
      </c>
      <c r="I37" s="275" t="str">
        <f>IFERROR(_xlfn.XLOOKUP($A37,'Full Plan'!$A:$A,'Full Plan'!$N:$N,""),"")</f>
        <v/>
      </c>
      <c r="J37" s="212" t="str">
        <f>IFERROR(_xlfn.XLOOKUP($A37,'Full Plan'!$A:$A,'Full Plan'!$T:$T,""),"")</f>
        <v/>
      </c>
      <c r="K37" s="275" t="str">
        <f>IFERROR(_xlfn.XLOOKUP($A37,'Full Plan'!$A:$A,'Full Plan'!$U:$U,""),"")</f>
        <v/>
      </c>
      <c r="L37" s="275" t="str">
        <f>IFERROR(_xlfn.XLOOKUP($A37,'Full Plan'!$A:$A,'Full Plan'!$V:$V,""),"")</f>
        <v/>
      </c>
      <c r="M37" s="277" t="str">
        <f>IFERROR(_xlfn.XLOOKUP($A37,'Full Plan'!$A:$A,'Full Plan'!$O:$O,""),"")</f>
        <v/>
      </c>
      <c r="N37" s="275" t="str">
        <f>IFERROR(_xlfn.XLOOKUP($A37,'Full Plan'!$A:$A,'Full Plan'!$P:$P,""),"")</f>
        <v/>
      </c>
      <c r="O37" s="275" t="str">
        <f>IFERROR(_xlfn.XLOOKUP($A37,'Full Plan'!$A:$A,'Full Plan'!$Q:$Q,""),"")</f>
        <v/>
      </c>
      <c r="P37" s="275" t="str">
        <f>IFERROR(_xlfn.XLOOKUP($A37,'Full Plan'!$A:$A,'Full Plan'!$R:$R,""),"")</f>
        <v/>
      </c>
      <c r="Q37" s="287" t="str">
        <f>IFERROR(_xlfn.XLOOKUP($A37,'MW Removal &amp; Update'!$A:$A,'MW Removal &amp; Update'!$M:$M,""),"")</f>
        <v/>
      </c>
      <c r="R37" s="288" t="str">
        <f>IFERROR(_xlfn.XLOOKUP($A37,'Full Plan'!$A:$A,'Full Plan'!$K:$K,""),"")</f>
        <v/>
      </c>
      <c r="S37" s="207" t="str">
        <f>IF($A37="","",IF(COUNTIF($I37:$P37,"*Pending*")=0,"Ready","Waiting"))</f>
        <v/>
      </c>
      <c r="T37" s="288"/>
      <c r="U37" s="288"/>
    </row>
    <row r="38" spans="1:21">
      <c r="A38" s="211" t="str">
        <f>IFERROR(IF('Full Plan'!A38="","",'Full Plan'!A38),"")</f>
        <v/>
      </c>
      <c r="B38" s="211" t="str">
        <f>IFERROR(_xlfn.XLOOKUP($A38,'Full Plan'!$A:$A,'Full Plan'!$B:$B,""),"")</f>
        <v/>
      </c>
      <c r="C38" s="192" t="str">
        <f>IFERROR(_xlfn.XLOOKUP($A38,'Full Plan'!$A:$A,'Full Plan'!$E:$E,""),"")</f>
        <v/>
      </c>
      <c r="D38" s="279" t="str">
        <f>IFERROR(_xlfn.XLOOKUP($A38,'Full Plan'!$A:$A,'Full Plan'!$J:$J,""),"")</f>
        <v/>
      </c>
      <c r="E38" s="281" t="str">
        <f>IFERROR(_xlfn.XLOOKUP($A38,'Full Plan'!$A:$A,'Full Plan'!$F:$F,""),"")</f>
        <v/>
      </c>
      <c r="F38" s="188" t="str">
        <f>IFERROR(_xlfn.XLOOKUP($A38,'Full Plan'!$A:$A,'Full Plan'!$G:$G,""),"")</f>
        <v/>
      </c>
      <c r="G38" s="188" t="str">
        <f>IFERROR(_xlfn.XLOOKUP($A38,'Full Plan'!$A:$A,'Full Plan'!$I:$I,""),"")</f>
        <v/>
      </c>
      <c r="H38" s="192" t="str">
        <f>IFERROR(_xlfn.XLOOKUP($A38,'Full Plan'!$A:$A,'Full Plan'!$H:$H,""),"")</f>
        <v/>
      </c>
      <c r="I38" s="275" t="str">
        <f>IFERROR(_xlfn.XLOOKUP($A38,'Full Plan'!$A:$A,'Full Plan'!$N:$N,""),"")</f>
        <v/>
      </c>
      <c r="J38" s="212" t="str">
        <f>IFERROR(_xlfn.XLOOKUP($A38,'Full Plan'!$A:$A,'Full Plan'!$T:$T,""),"")</f>
        <v/>
      </c>
      <c r="K38" s="275" t="str">
        <f>IFERROR(_xlfn.XLOOKUP($A38,'Full Plan'!$A:$A,'Full Plan'!$U:$U,""),"")</f>
        <v/>
      </c>
      <c r="L38" s="275" t="str">
        <f>IFERROR(_xlfn.XLOOKUP($A38,'Full Plan'!$A:$A,'Full Plan'!$V:$V,""),"")</f>
        <v/>
      </c>
      <c r="M38" s="277" t="str">
        <f>IFERROR(_xlfn.XLOOKUP($A38,'Full Plan'!$A:$A,'Full Plan'!$O:$O,""),"")</f>
        <v/>
      </c>
      <c r="N38" s="275" t="str">
        <f>IFERROR(_xlfn.XLOOKUP($A38,'Full Plan'!$A:$A,'Full Plan'!$P:$P,""),"")</f>
        <v/>
      </c>
      <c r="O38" s="275" t="str">
        <f>IFERROR(_xlfn.XLOOKUP($A38,'Full Plan'!$A:$A,'Full Plan'!$Q:$Q,""),"")</f>
        <v/>
      </c>
      <c r="P38" s="275" t="str">
        <f>IFERROR(_xlfn.XLOOKUP($A38,'Full Plan'!$A:$A,'Full Plan'!$R:$R,""),"")</f>
        <v/>
      </c>
      <c r="Q38" s="287" t="str">
        <f>IFERROR(_xlfn.XLOOKUP($A38,'MW Removal &amp; Update'!$A:$A,'MW Removal &amp; Update'!$M:$M,""),"")</f>
        <v/>
      </c>
      <c r="R38" s="288" t="str">
        <f>IFERROR(_xlfn.XLOOKUP($A38,'Full Plan'!$A:$A,'Full Plan'!$K:$K,""),"")</f>
        <v/>
      </c>
      <c r="S38" s="207" t="str">
        <f>IF($A38="","",IF(COUNTIF($I38:$P38,"*Pending*")=0,"Ready","Waiting"))</f>
        <v/>
      </c>
      <c r="T38" s="288"/>
      <c r="U38" s="288"/>
    </row>
    <row r="39" spans="1:21">
      <c r="A39" s="211" t="str">
        <f>IFERROR(IF('Full Plan'!A39="","",'Full Plan'!A39),"")</f>
        <v/>
      </c>
      <c r="B39" s="211" t="str">
        <f>IFERROR(_xlfn.XLOOKUP($A39,'Full Plan'!$A:$A,'Full Plan'!$B:$B,""),"")</f>
        <v/>
      </c>
      <c r="C39" s="192" t="str">
        <f>IFERROR(_xlfn.XLOOKUP($A39,'Full Plan'!$A:$A,'Full Plan'!$E:$E,""),"")</f>
        <v/>
      </c>
      <c r="D39" s="279" t="str">
        <f>IFERROR(_xlfn.XLOOKUP($A39,'Full Plan'!$A:$A,'Full Plan'!$J:$J,""),"")</f>
        <v/>
      </c>
      <c r="E39" s="281" t="str">
        <f>IFERROR(_xlfn.XLOOKUP($A39,'Full Plan'!$A:$A,'Full Plan'!$F:$F,""),"")</f>
        <v/>
      </c>
      <c r="F39" s="188" t="str">
        <f>IFERROR(_xlfn.XLOOKUP($A39,'Full Plan'!$A:$A,'Full Plan'!$G:$G,""),"")</f>
        <v/>
      </c>
      <c r="G39" s="188" t="str">
        <f>IFERROR(_xlfn.XLOOKUP($A39,'Full Plan'!$A:$A,'Full Plan'!$I:$I,""),"")</f>
        <v/>
      </c>
      <c r="H39" s="192" t="str">
        <f>IFERROR(_xlfn.XLOOKUP($A39,'Full Plan'!$A:$A,'Full Plan'!$H:$H,""),"")</f>
        <v/>
      </c>
      <c r="I39" s="275" t="str">
        <f>IFERROR(_xlfn.XLOOKUP($A39,'Full Plan'!$A:$A,'Full Plan'!$N:$N,""),"")</f>
        <v/>
      </c>
      <c r="J39" s="212" t="str">
        <f>IFERROR(_xlfn.XLOOKUP($A39,'Full Plan'!$A:$A,'Full Plan'!$T:$T,""),"")</f>
        <v/>
      </c>
      <c r="K39" s="275" t="str">
        <f>IFERROR(_xlfn.XLOOKUP($A39,'Full Plan'!$A:$A,'Full Plan'!$U:$U,""),"")</f>
        <v/>
      </c>
      <c r="L39" s="275" t="str">
        <f>IFERROR(_xlfn.XLOOKUP($A39,'Full Plan'!$A:$A,'Full Plan'!$V:$V,""),"")</f>
        <v/>
      </c>
      <c r="M39" s="277" t="str">
        <f>IFERROR(_xlfn.XLOOKUP($A39,'Full Plan'!$A:$A,'Full Plan'!$O:$O,""),"")</f>
        <v/>
      </c>
      <c r="N39" s="275" t="str">
        <f>IFERROR(_xlfn.XLOOKUP($A39,'Full Plan'!$A:$A,'Full Plan'!$P:$P,""),"")</f>
        <v/>
      </c>
      <c r="O39" s="275" t="str">
        <f>IFERROR(_xlfn.XLOOKUP($A39,'Full Plan'!$A:$A,'Full Plan'!$Q:$Q,""),"")</f>
        <v/>
      </c>
      <c r="P39" s="275" t="str">
        <f>IFERROR(_xlfn.XLOOKUP($A39,'Full Plan'!$A:$A,'Full Plan'!$R:$R,""),"")</f>
        <v/>
      </c>
      <c r="Q39" s="287" t="str">
        <f>IFERROR(_xlfn.XLOOKUP($A39,'MW Removal &amp; Update'!$A:$A,'MW Removal &amp; Update'!$M:$M,""),"")</f>
        <v/>
      </c>
      <c r="R39" s="288" t="str">
        <f>IFERROR(_xlfn.XLOOKUP($A39,'Full Plan'!$A:$A,'Full Plan'!$K:$K,""),"")</f>
        <v/>
      </c>
      <c r="S39" s="207" t="str">
        <f>IF($A39="","",IF(COUNTIF($I39:$P39,"*Pending*")=0,"Ready","Waiting"))</f>
        <v/>
      </c>
      <c r="T39" s="288"/>
      <c r="U39" s="288"/>
    </row>
    <row r="40" spans="1:21">
      <c r="A40" s="211" t="str">
        <f>IFERROR(IF('Full Plan'!A40="","",'Full Plan'!A40),"")</f>
        <v/>
      </c>
      <c r="B40" s="211" t="str">
        <f>IFERROR(_xlfn.XLOOKUP($A40,'Full Plan'!$A:$A,'Full Plan'!$B:$B,""),"")</f>
        <v/>
      </c>
      <c r="C40" s="192" t="str">
        <f>IFERROR(_xlfn.XLOOKUP($A40,'Full Plan'!$A:$A,'Full Plan'!$E:$E,""),"")</f>
        <v/>
      </c>
      <c r="D40" s="279" t="str">
        <f>IFERROR(_xlfn.XLOOKUP($A40,'Full Plan'!$A:$A,'Full Plan'!$J:$J,""),"")</f>
        <v/>
      </c>
      <c r="E40" s="281" t="str">
        <f>IFERROR(_xlfn.XLOOKUP($A40,'Full Plan'!$A:$A,'Full Plan'!$F:$F,""),"")</f>
        <v/>
      </c>
      <c r="F40" s="188" t="str">
        <f>IFERROR(_xlfn.XLOOKUP($A40,'Full Plan'!$A:$A,'Full Plan'!$G:$G,""),"")</f>
        <v/>
      </c>
      <c r="G40" s="188" t="str">
        <f>IFERROR(_xlfn.XLOOKUP($A40,'Full Plan'!$A:$A,'Full Plan'!$I:$I,""),"")</f>
        <v/>
      </c>
      <c r="H40" s="192" t="str">
        <f>IFERROR(_xlfn.XLOOKUP($A40,'Full Plan'!$A:$A,'Full Plan'!$H:$H,""),"")</f>
        <v/>
      </c>
      <c r="I40" s="275" t="str">
        <f>IFERROR(_xlfn.XLOOKUP($A40,'Full Plan'!$A:$A,'Full Plan'!$N:$N,""),"")</f>
        <v/>
      </c>
      <c r="J40" s="212" t="str">
        <f>IFERROR(_xlfn.XLOOKUP($A40,'Full Plan'!$A:$A,'Full Plan'!$T:$T,""),"")</f>
        <v/>
      </c>
      <c r="K40" s="275" t="str">
        <f>IFERROR(_xlfn.XLOOKUP($A40,'Full Plan'!$A:$A,'Full Plan'!$U:$U,""),"")</f>
        <v/>
      </c>
      <c r="L40" s="275" t="str">
        <f>IFERROR(_xlfn.XLOOKUP($A40,'Full Plan'!$A:$A,'Full Plan'!$V:$V,""),"")</f>
        <v/>
      </c>
      <c r="M40" s="277" t="str">
        <f>IFERROR(_xlfn.XLOOKUP($A40,'Full Plan'!$A:$A,'Full Plan'!$O:$O,""),"")</f>
        <v/>
      </c>
      <c r="N40" s="275" t="str">
        <f>IFERROR(_xlfn.XLOOKUP($A40,'Full Plan'!$A:$A,'Full Plan'!$P:$P,""),"")</f>
        <v/>
      </c>
      <c r="O40" s="275" t="str">
        <f>IFERROR(_xlfn.XLOOKUP($A40,'Full Plan'!$A:$A,'Full Plan'!$Q:$Q,""),"")</f>
        <v/>
      </c>
      <c r="P40" s="275" t="str">
        <f>IFERROR(_xlfn.XLOOKUP($A40,'Full Plan'!$A:$A,'Full Plan'!$R:$R,""),"")</f>
        <v/>
      </c>
      <c r="Q40" s="287" t="str">
        <f>IFERROR(_xlfn.XLOOKUP($A40,'MW Removal &amp; Update'!$A:$A,'MW Removal &amp; Update'!$M:$M,""),"")</f>
        <v/>
      </c>
      <c r="R40" s="288" t="str">
        <f>IFERROR(_xlfn.XLOOKUP($A40,'Full Plan'!$A:$A,'Full Plan'!$K:$K,""),"")</f>
        <v/>
      </c>
      <c r="S40" s="207" t="str">
        <f>IF($A40="","",IF(COUNTIF($I40:$P40,"*Pending*")=0,"Ready","Waiting"))</f>
        <v/>
      </c>
      <c r="T40" s="288"/>
      <c r="U40" s="288"/>
    </row>
    <row r="41" spans="1:21">
      <c r="A41" s="211" t="str">
        <f>IFERROR(IF('Full Plan'!A41="","",'Full Plan'!A41),"")</f>
        <v/>
      </c>
      <c r="B41" s="211" t="str">
        <f>IFERROR(_xlfn.XLOOKUP($A41,'Full Plan'!$A:$A,'Full Plan'!$B:$B,""),"")</f>
        <v/>
      </c>
      <c r="C41" s="192" t="str">
        <f>IFERROR(_xlfn.XLOOKUP($A41,'Full Plan'!$A:$A,'Full Plan'!$E:$E,""),"")</f>
        <v/>
      </c>
      <c r="D41" s="279" t="str">
        <f>IFERROR(_xlfn.XLOOKUP($A41,'Full Plan'!$A:$A,'Full Plan'!$J:$J,""),"")</f>
        <v/>
      </c>
      <c r="E41" s="281" t="str">
        <f>IFERROR(_xlfn.XLOOKUP($A41,'Full Plan'!$A:$A,'Full Plan'!$F:$F,""),"")</f>
        <v/>
      </c>
      <c r="F41" s="188" t="str">
        <f>IFERROR(_xlfn.XLOOKUP($A41,'Full Plan'!$A:$A,'Full Plan'!$G:$G,""),"")</f>
        <v/>
      </c>
      <c r="G41" s="188" t="str">
        <f>IFERROR(_xlfn.XLOOKUP($A41,'Full Plan'!$A:$A,'Full Plan'!$I:$I,""),"")</f>
        <v/>
      </c>
      <c r="H41" s="192" t="str">
        <f>IFERROR(_xlfn.XLOOKUP($A41,'Full Plan'!$A:$A,'Full Plan'!$H:$H,""),"")</f>
        <v/>
      </c>
      <c r="I41" s="275" t="str">
        <f>IFERROR(_xlfn.XLOOKUP($A41,'Full Plan'!$A:$A,'Full Plan'!$N:$N,""),"")</f>
        <v/>
      </c>
      <c r="J41" s="212" t="str">
        <f>IFERROR(_xlfn.XLOOKUP($A41,'Full Plan'!$A:$A,'Full Plan'!$T:$T,""),"")</f>
        <v/>
      </c>
      <c r="K41" s="275" t="str">
        <f>IFERROR(_xlfn.XLOOKUP($A41,'Full Plan'!$A:$A,'Full Plan'!$U:$U,""),"")</f>
        <v/>
      </c>
      <c r="L41" s="275" t="str">
        <f>IFERROR(_xlfn.XLOOKUP($A41,'Full Plan'!$A:$A,'Full Plan'!$V:$V,""),"")</f>
        <v/>
      </c>
      <c r="M41" s="277" t="str">
        <f>IFERROR(_xlfn.XLOOKUP($A41,'Full Plan'!$A:$A,'Full Plan'!$O:$O,""),"")</f>
        <v/>
      </c>
      <c r="N41" s="275" t="str">
        <f>IFERROR(_xlfn.XLOOKUP($A41,'Full Plan'!$A:$A,'Full Plan'!$P:$P,""),"")</f>
        <v/>
      </c>
      <c r="O41" s="275" t="str">
        <f>IFERROR(_xlfn.XLOOKUP($A41,'Full Plan'!$A:$A,'Full Plan'!$Q:$Q,""),"")</f>
        <v/>
      </c>
      <c r="P41" s="275" t="str">
        <f>IFERROR(_xlfn.XLOOKUP($A41,'Full Plan'!$A:$A,'Full Plan'!$R:$R,""),"")</f>
        <v/>
      </c>
      <c r="Q41" s="287" t="str">
        <f>IFERROR(_xlfn.XLOOKUP($A41,'MW Removal &amp; Update'!$A:$A,'MW Removal &amp; Update'!$M:$M,""),"")</f>
        <v/>
      </c>
      <c r="R41" s="288" t="str">
        <f>IFERROR(_xlfn.XLOOKUP($A41,'Full Plan'!$A:$A,'Full Plan'!$K:$K,""),"")</f>
        <v/>
      </c>
      <c r="S41" s="207" t="str">
        <f>IF($A41="","",IF(COUNTIF($I41:$P41,"*Pending*")=0,"Ready","Waiting"))</f>
        <v/>
      </c>
      <c r="T41" s="288"/>
      <c r="U41" s="288"/>
    </row>
    <row r="42" spans="1:21">
      <c r="A42" s="211" t="str">
        <f>IFERROR(IF('Full Plan'!A42="","",'Full Plan'!A42),"")</f>
        <v/>
      </c>
      <c r="B42" s="211" t="str">
        <f>IFERROR(_xlfn.XLOOKUP($A42,'Full Plan'!$A:$A,'Full Plan'!$B:$B,""),"")</f>
        <v/>
      </c>
      <c r="C42" s="192" t="str">
        <f>IFERROR(_xlfn.XLOOKUP($A42,'Full Plan'!$A:$A,'Full Plan'!$E:$E,""),"")</f>
        <v/>
      </c>
      <c r="D42" s="279" t="str">
        <f>IFERROR(_xlfn.XLOOKUP($A42,'Full Plan'!$A:$A,'Full Plan'!$J:$J,""),"")</f>
        <v/>
      </c>
      <c r="E42" s="281" t="str">
        <f>IFERROR(_xlfn.XLOOKUP($A42,'Full Plan'!$A:$A,'Full Plan'!$F:$F,""),"")</f>
        <v/>
      </c>
      <c r="F42" s="188" t="str">
        <f>IFERROR(_xlfn.XLOOKUP($A42,'Full Plan'!$A:$A,'Full Plan'!$G:$G,""),"")</f>
        <v/>
      </c>
      <c r="G42" s="188" t="str">
        <f>IFERROR(_xlfn.XLOOKUP($A42,'Full Plan'!$A:$A,'Full Plan'!$I:$I,""),"")</f>
        <v/>
      </c>
      <c r="H42" s="192" t="str">
        <f>IFERROR(_xlfn.XLOOKUP($A42,'Full Plan'!$A:$A,'Full Plan'!$H:$H,""),"")</f>
        <v/>
      </c>
      <c r="I42" s="275" t="str">
        <f>IFERROR(_xlfn.XLOOKUP($A42,'Full Plan'!$A:$A,'Full Plan'!$N:$N,""),"")</f>
        <v/>
      </c>
      <c r="J42" s="212" t="str">
        <f>IFERROR(_xlfn.XLOOKUP($A42,'Full Plan'!$A:$A,'Full Plan'!$T:$T,""),"")</f>
        <v/>
      </c>
      <c r="K42" s="275" t="str">
        <f>IFERROR(_xlfn.XLOOKUP($A42,'Full Plan'!$A:$A,'Full Plan'!$U:$U,""),"")</f>
        <v/>
      </c>
      <c r="L42" s="275" t="str">
        <f>IFERROR(_xlfn.XLOOKUP($A42,'Full Plan'!$A:$A,'Full Plan'!$V:$V,""),"")</f>
        <v/>
      </c>
      <c r="M42" s="277" t="str">
        <f>IFERROR(_xlfn.XLOOKUP($A42,'Full Plan'!$A:$A,'Full Plan'!$O:$O,""),"")</f>
        <v/>
      </c>
      <c r="N42" s="275" t="str">
        <f>IFERROR(_xlfn.XLOOKUP($A42,'Full Plan'!$A:$A,'Full Plan'!$P:$P,""),"")</f>
        <v/>
      </c>
      <c r="O42" s="275" t="str">
        <f>IFERROR(_xlfn.XLOOKUP($A42,'Full Plan'!$A:$A,'Full Plan'!$Q:$Q,""),"")</f>
        <v/>
      </c>
      <c r="P42" s="275" t="str">
        <f>IFERROR(_xlfn.XLOOKUP($A42,'Full Plan'!$A:$A,'Full Plan'!$R:$R,""),"")</f>
        <v/>
      </c>
      <c r="Q42" s="287" t="str">
        <f>IFERROR(_xlfn.XLOOKUP($A42,'MW Removal &amp; Update'!$A:$A,'MW Removal &amp; Update'!$M:$M,""),"")</f>
        <v/>
      </c>
      <c r="R42" s="288" t="str">
        <f>IFERROR(_xlfn.XLOOKUP($A42,'Full Plan'!$A:$A,'Full Plan'!$K:$K,""),"")</f>
        <v/>
      </c>
      <c r="S42" s="207" t="str">
        <f>IF($A42="","",IF(COUNTIF($I42:$P42,"*Pending*")=0,"Ready","Waiting"))</f>
        <v/>
      </c>
      <c r="T42" s="288"/>
      <c r="U42" s="288"/>
    </row>
    <row r="43" spans="1:21">
      <c r="A43" s="211" t="str">
        <f>IFERROR(IF('Full Plan'!A43="","",'Full Plan'!A43),"")</f>
        <v/>
      </c>
      <c r="B43" s="211" t="str">
        <f>IFERROR(_xlfn.XLOOKUP($A43,'Full Plan'!$A:$A,'Full Plan'!$B:$B,""),"")</f>
        <v/>
      </c>
      <c r="C43" s="192" t="str">
        <f>IFERROR(_xlfn.XLOOKUP($A43,'Full Plan'!$A:$A,'Full Plan'!$E:$E,""),"")</f>
        <v/>
      </c>
      <c r="D43" s="279" t="str">
        <f>IFERROR(_xlfn.XLOOKUP($A43,'Full Plan'!$A:$A,'Full Plan'!$J:$J,""),"")</f>
        <v/>
      </c>
      <c r="E43" s="281" t="str">
        <f>IFERROR(_xlfn.XLOOKUP($A43,'Full Plan'!$A:$A,'Full Plan'!$F:$F,""),"")</f>
        <v/>
      </c>
      <c r="F43" s="188" t="str">
        <f>IFERROR(_xlfn.XLOOKUP($A43,'Full Plan'!$A:$A,'Full Plan'!$G:$G,""),"")</f>
        <v/>
      </c>
      <c r="G43" s="188" t="str">
        <f>IFERROR(_xlfn.XLOOKUP($A43,'Full Plan'!$A:$A,'Full Plan'!$I:$I,""),"")</f>
        <v/>
      </c>
      <c r="H43" s="192" t="str">
        <f>IFERROR(_xlfn.XLOOKUP($A43,'Full Plan'!$A:$A,'Full Plan'!$H:$H,""),"")</f>
        <v/>
      </c>
      <c r="I43" s="275" t="str">
        <f>IFERROR(_xlfn.XLOOKUP($A43,'Full Plan'!$A:$A,'Full Plan'!$N:$N,""),"")</f>
        <v/>
      </c>
      <c r="J43" s="212" t="str">
        <f>IFERROR(_xlfn.XLOOKUP($A43,'Full Plan'!$A:$A,'Full Plan'!$T:$T,""),"")</f>
        <v/>
      </c>
      <c r="K43" s="275" t="str">
        <f>IFERROR(_xlfn.XLOOKUP($A43,'Full Plan'!$A:$A,'Full Plan'!$U:$U,""),"")</f>
        <v/>
      </c>
      <c r="L43" s="275" t="str">
        <f>IFERROR(_xlfn.XLOOKUP($A43,'Full Plan'!$A:$A,'Full Plan'!$V:$V,""),"")</f>
        <v/>
      </c>
      <c r="M43" s="277" t="str">
        <f>IFERROR(_xlfn.XLOOKUP($A43,'Full Plan'!$A:$A,'Full Plan'!$O:$O,""),"")</f>
        <v/>
      </c>
      <c r="N43" s="275" t="str">
        <f>IFERROR(_xlfn.XLOOKUP($A43,'Full Plan'!$A:$A,'Full Plan'!$P:$P,""),"")</f>
        <v/>
      </c>
      <c r="O43" s="275" t="str">
        <f>IFERROR(_xlfn.XLOOKUP($A43,'Full Plan'!$A:$A,'Full Plan'!$Q:$Q,""),"")</f>
        <v/>
      </c>
      <c r="P43" s="275" t="str">
        <f>IFERROR(_xlfn.XLOOKUP($A43,'Full Plan'!$A:$A,'Full Plan'!$R:$R,""),"")</f>
        <v/>
      </c>
      <c r="Q43" s="287" t="str">
        <f>IFERROR(_xlfn.XLOOKUP($A43,'MW Removal &amp; Update'!$A:$A,'MW Removal &amp; Update'!$M:$M,""),"")</f>
        <v/>
      </c>
      <c r="R43" s="288" t="str">
        <f>IFERROR(_xlfn.XLOOKUP($A43,'Full Plan'!$A:$A,'Full Plan'!$K:$K,""),"")</f>
        <v/>
      </c>
      <c r="S43" s="207" t="str">
        <f>IF($A43="","",IF(COUNTIF($I43:$P43,"*Pending*")=0,"Ready","Waiting"))</f>
        <v/>
      </c>
      <c r="T43" s="288"/>
      <c r="U43" s="288"/>
    </row>
    <row r="44" spans="1:21">
      <c r="A44" s="211" t="str">
        <f>IFERROR(IF('Full Plan'!A44="","",'Full Plan'!A44),"")</f>
        <v/>
      </c>
      <c r="B44" s="211" t="str">
        <f>IFERROR(_xlfn.XLOOKUP($A44,'Full Plan'!$A:$A,'Full Plan'!$B:$B,""),"")</f>
        <v/>
      </c>
      <c r="C44" s="192" t="str">
        <f>IFERROR(_xlfn.XLOOKUP($A44,'Full Plan'!$A:$A,'Full Plan'!$E:$E,""),"")</f>
        <v/>
      </c>
      <c r="D44" s="279" t="str">
        <f>IFERROR(_xlfn.XLOOKUP($A44,'Full Plan'!$A:$A,'Full Plan'!$J:$J,""),"")</f>
        <v/>
      </c>
      <c r="E44" s="281" t="str">
        <f>IFERROR(_xlfn.XLOOKUP($A44,'Full Plan'!$A:$A,'Full Plan'!$F:$F,""),"")</f>
        <v/>
      </c>
      <c r="F44" s="188" t="str">
        <f>IFERROR(_xlfn.XLOOKUP($A44,'Full Plan'!$A:$A,'Full Plan'!$G:$G,""),"")</f>
        <v/>
      </c>
      <c r="G44" s="188" t="str">
        <f>IFERROR(_xlfn.XLOOKUP($A44,'Full Plan'!$A:$A,'Full Plan'!$I:$I,""),"")</f>
        <v/>
      </c>
      <c r="H44" s="192" t="str">
        <f>IFERROR(_xlfn.XLOOKUP($A44,'Full Plan'!$A:$A,'Full Plan'!$H:$H,""),"")</f>
        <v/>
      </c>
      <c r="I44" s="275" t="str">
        <f>IFERROR(_xlfn.XLOOKUP($A44,'Full Plan'!$A:$A,'Full Plan'!$N:$N,""),"")</f>
        <v/>
      </c>
      <c r="J44" s="212" t="str">
        <f>IFERROR(_xlfn.XLOOKUP($A44,'Full Plan'!$A:$A,'Full Plan'!$T:$T,""),"")</f>
        <v/>
      </c>
      <c r="K44" s="275" t="str">
        <f>IFERROR(_xlfn.XLOOKUP($A44,'Full Plan'!$A:$A,'Full Plan'!$U:$U,""),"")</f>
        <v/>
      </c>
      <c r="L44" s="275" t="str">
        <f>IFERROR(_xlfn.XLOOKUP($A44,'Full Plan'!$A:$A,'Full Plan'!$V:$V,""),"")</f>
        <v/>
      </c>
      <c r="M44" s="277" t="str">
        <f>IFERROR(_xlfn.XLOOKUP($A44,'Full Plan'!$A:$A,'Full Plan'!$O:$O,""),"")</f>
        <v/>
      </c>
      <c r="N44" s="275" t="str">
        <f>IFERROR(_xlfn.XLOOKUP($A44,'Full Plan'!$A:$A,'Full Plan'!$P:$P,""),"")</f>
        <v/>
      </c>
      <c r="O44" s="275" t="str">
        <f>IFERROR(_xlfn.XLOOKUP($A44,'Full Plan'!$A:$A,'Full Plan'!$Q:$Q,""),"")</f>
        <v/>
      </c>
      <c r="P44" s="275" t="str">
        <f>IFERROR(_xlfn.XLOOKUP($A44,'Full Plan'!$A:$A,'Full Plan'!$R:$R,""),"")</f>
        <v/>
      </c>
      <c r="Q44" s="287" t="str">
        <f>IFERROR(_xlfn.XLOOKUP($A44,'MW Removal &amp; Update'!$A:$A,'MW Removal &amp; Update'!$M:$M,""),"")</f>
        <v/>
      </c>
      <c r="R44" s="288" t="str">
        <f>IFERROR(_xlfn.XLOOKUP($A44,'Full Plan'!$A:$A,'Full Plan'!$K:$K,""),"")</f>
        <v/>
      </c>
      <c r="S44" s="207" t="str">
        <f>IF($A44="","",IF(COUNTIF($I44:$P44,"*Pending*")=0,"Ready","Waiting"))</f>
        <v/>
      </c>
      <c r="T44" s="288"/>
      <c r="U44" s="288"/>
    </row>
    <row r="45" spans="1:21">
      <c r="A45" s="211" t="str">
        <f>IFERROR(IF('Full Plan'!A45="","",'Full Plan'!A45),"")</f>
        <v/>
      </c>
      <c r="B45" s="211" t="str">
        <f>IFERROR(_xlfn.XLOOKUP($A45,'Full Plan'!$A:$A,'Full Plan'!$B:$B,""),"")</f>
        <v/>
      </c>
      <c r="C45" s="192" t="str">
        <f>IFERROR(_xlfn.XLOOKUP($A45,'Full Plan'!$A:$A,'Full Plan'!$E:$E,""),"")</f>
        <v/>
      </c>
      <c r="D45" s="279" t="str">
        <f>IFERROR(_xlfn.XLOOKUP($A45,'Full Plan'!$A:$A,'Full Plan'!$J:$J,""),"")</f>
        <v/>
      </c>
      <c r="E45" s="281" t="str">
        <f>IFERROR(_xlfn.XLOOKUP($A45,'Full Plan'!$A:$A,'Full Plan'!$F:$F,""),"")</f>
        <v/>
      </c>
      <c r="F45" s="188" t="str">
        <f>IFERROR(_xlfn.XLOOKUP($A45,'Full Plan'!$A:$A,'Full Plan'!$G:$G,""),"")</f>
        <v/>
      </c>
      <c r="G45" s="188" t="str">
        <f>IFERROR(_xlfn.XLOOKUP($A45,'Full Plan'!$A:$A,'Full Plan'!$I:$I,""),"")</f>
        <v/>
      </c>
      <c r="H45" s="192" t="str">
        <f>IFERROR(_xlfn.XLOOKUP($A45,'Full Plan'!$A:$A,'Full Plan'!$H:$H,""),"")</f>
        <v/>
      </c>
      <c r="I45" s="275" t="str">
        <f>IFERROR(_xlfn.XLOOKUP($A45,'Full Plan'!$A:$A,'Full Plan'!$N:$N,""),"")</f>
        <v/>
      </c>
      <c r="J45" s="212" t="str">
        <f>IFERROR(_xlfn.XLOOKUP($A45,'Full Plan'!$A:$A,'Full Plan'!$T:$T,""),"")</f>
        <v/>
      </c>
      <c r="K45" s="275" t="str">
        <f>IFERROR(_xlfn.XLOOKUP($A45,'Full Plan'!$A:$A,'Full Plan'!$U:$U,""),"")</f>
        <v/>
      </c>
      <c r="L45" s="275" t="str">
        <f>IFERROR(_xlfn.XLOOKUP($A45,'Full Plan'!$A:$A,'Full Plan'!$V:$V,""),"")</f>
        <v/>
      </c>
      <c r="M45" s="277" t="str">
        <f>IFERROR(_xlfn.XLOOKUP($A45,'Full Plan'!$A:$A,'Full Plan'!$O:$O,""),"")</f>
        <v/>
      </c>
      <c r="N45" s="275" t="str">
        <f>IFERROR(_xlfn.XLOOKUP($A45,'Full Plan'!$A:$A,'Full Plan'!$P:$P,""),"")</f>
        <v/>
      </c>
      <c r="O45" s="275" t="str">
        <f>IFERROR(_xlfn.XLOOKUP($A45,'Full Plan'!$A:$A,'Full Plan'!$Q:$Q,""),"")</f>
        <v/>
      </c>
      <c r="P45" s="275" t="str">
        <f>IFERROR(_xlfn.XLOOKUP($A45,'Full Plan'!$A:$A,'Full Plan'!$R:$R,""),"")</f>
        <v/>
      </c>
      <c r="Q45" s="287" t="str">
        <f>IFERROR(_xlfn.XLOOKUP($A45,'MW Removal &amp; Update'!$A:$A,'MW Removal &amp; Update'!$M:$M,""),"")</f>
        <v/>
      </c>
      <c r="R45" s="288" t="str">
        <f>IFERROR(_xlfn.XLOOKUP($A45,'Full Plan'!$A:$A,'Full Plan'!$K:$K,""),"")</f>
        <v/>
      </c>
      <c r="S45" s="207" t="str">
        <f>IF($A45="","",IF(COUNTIF($I45:$P45,"*Pending*")=0,"Ready","Waiting"))</f>
        <v/>
      </c>
      <c r="T45" s="288"/>
      <c r="U45" s="288"/>
    </row>
    <row r="46" spans="1:21">
      <c r="A46" s="211" t="str">
        <f>IFERROR(IF('Full Plan'!A46="","",'Full Plan'!A46),"")</f>
        <v/>
      </c>
      <c r="B46" s="211" t="str">
        <f>IFERROR(_xlfn.XLOOKUP($A46,'Full Plan'!$A:$A,'Full Plan'!$B:$B,""),"")</f>
        <v/>
      </c>
      <c r="C46" s="192" t="str">
        <f>IFERROR(_xlfn.XLOOKUP($A46,'Full Plan'!$A:$A,'Full Plan'!$E:$E,""),"")</f>
        <v/>
      </c>
      <c r="D46" s="279" t="str">
        <f>IFERROR(_xlfn.XLOOKUP($A46,'Full Plan'!$A:$A,'Full Plan'!$J:$J,""),"")</f>
        <v/>
      </c>
      <c r="E46" s="281" t="str">
        <f>IFERROR(_xlfn.XLOOKUP($A46,'Full Plan'!$A:$A,'Full Plan'!$F:$F,""),"")</f>
        <v/>
      </c>
      <c r="F46" s="188" t="str">
        <f>IFERROR(_xlfn.XLOOKUP($A46,'Full Plan'!$A:$A,'Full Plan'!$G:$G,""),"")</f>
        <v/>
      </c>
      <c r="G46" s="188" t="str">
        <f>IFERROR(_xlfn.XLOOKUP($A46,'Full Plan'!$A:$A,'Full Plan'!$I:$I,""),"")</f>
        <v/>
      </c>
      <c r="H46" s="192" t="str">
        <f>IFERROR(_xlfn.XLOOKUP($A46,'Full Plan'!$A:$A,'Full Plan'!$H:$H,""),"")</f>
        <v/>
      </c>
      <c r="I46" s="275" t="str">
        <f>IFERROR(_xlfn.XLOOKUP($A46,'Full Plan'!$A:$A,'Full Plan'!$N:$N,""),"")</f>
        <v/>
      </c>
      <c r="J46" s="212" t="str">
        <f>IFERROR(_xlfn.XLOOKUP($A46,'Full Plan'!$A:$A,'Full Plan'!$T:$T,""),"")</f>
        <v/>
      </c>
      <c r="K46" s="275" t="str">
        <f>IFERROR(_xlfn.XLOOKUP($A46,'Full Plan'!$A:$A,'Full Plan'!$U:$U,""),"")</f>
        <v/>
      </c>
      <c r="L46" s="275" t="str">
        <f>IFERROR(_xlfn.XLOOKUP($A46,'Full Plan'!$A:$A,'Full Plan'!$V:$V,""),"")</f>
        <v/>
      </c>
      <c r="M46" s="277" t="str">
        <f>IFERROR(_xlfn.XLOOKUP($A46,'Full Plan'!$A:$A,'Full Plan'!$O:$O,""),"")</f>
        <v/>
      </c>
      <c r="N46" s="275" t="str">
        <f>IFERROR(_xlfn.XLOOKUP($A46,'Full Plan'!$A:$A,'Full Plan'!$P:$P,""),"")</f>
        <v/>
      </c>
      <c r="O46" s="275" t="str">
        <f>IFERROR(_xlfn.XLOOKUP($A46,'Full Plan'!$A:$A,'Full Plan'!$Q:$Q,""),"")</f>
        <v/>
      </c>
      <c r="P46" s="275" t="str">
        <f>IFERROR(_xlfn.XLOOKUP($A46,'Full Plan'!$A:$A,'Full Plan'!$R:$R,""),"")</f>
        <v/>
      </c>
      <c r="Q46" s="287" t="str">
        <f>IFERROR(_xlfn.XLOOKUP($A46,'MW Removal &amp; Update'!$A:$A,'MW Removal &amp; Update'!$M:$M,""),"")</f>
        <v/>
      </c>
      <c r="R46" s="288" t="str">
        <f>IFERROR(_xlfn.XLOOKUP($A46,'Full Plan'!$A:$A,'Full Plan'!$K:$K,""),"")</f>
        <v/>
      </c>
      <c r="S46" s="207" t="str">
        <f>IF($A46="","",IF(COUNTIF($I46:$P46,"*Pending*")=0,"Ready","Waiting"))</f>
        <v/>
      </c>
      <c r="T46" s="288"/>
      <c r="U46" s="288"/>
    </row>
    <row r="47" spans="1:21">
      <c r="A47" s="211" t="str">
        <f>IFERROR(IF('Full Plan'!A47="","",'Full Plan'!A47),"")</f>
        <v/>
      </c>
      <c r="B47" s="211" t="str">
        <f>IFERROR(_xlfn.XLOOKUP($A47,'Full Plan'!$A:$A,'Full Plan'!$B:$B,""),"")</f>
        <v/>
      </c>
      <c r="C47" s="192" t="str">
        <f>IFERROR(_xlfn.XLOOKUP($A47,'Full Plan'!$A:$A,'Full Plan'!$E:$E,""),"")</f>
        <v/>
      </c>
      <c r="D47" s="279" t="str">
        <f>IFERROR(_xlfn.XLOOKUP($A47,'Full Plan'!$A:$A,'Full Plan'!$J:$J,""),"")</f>
        <v/>
      </c>
      <c r="E47" s="281" t="str">
        <f>IFERROR(_xlfn.XLOOKUP($A47,'Full Plan'!$A:$A,'Full Plan'!$F:$F,""),"")</f>
        <v/>
      </c>
      <c r="F47" s="188" t="str">
        <f>IFERROR(_xlfn.XLOOKUP($A47,'Full Plan'!$A:$A,'Full Plan'!$G:$G,""),"")</f>
        <v/>
      </c>
      <c r="G47" s="188" t="str">
        <f>IFERROR(_xlfn.XLOOKUP($A47,'Full Plan'!$A:$A,'Full Plan'!$I:$I,""),"")</f>
        <v/>
      </c>
      <c r="H47" s="192" t="str">
        <f>IFERROR(_xlfn.XLOOKUP($A47,'Full Plan'!$A:$A,'Full Plan'!$H:$H,""),"")</f>
        <v/>
      </c>
      <c r="I47" s="275" t="str">
        <f>IFERROR(_xlfn.XLOOKUP($A47,'Full Plan'!$A:$A,'Full Plan'!$N:$N,""),"")</f>
        <v/>
      </c>
      <c r="J47" s="212" t="str">
        <f>IFERROR(_xlfn.XLOOKUP($A47,'Full Plan'!$A:$A,'Full Plan'!$T:$T,""),"")</f>
        <v/>
      </c>
      <c r="K47" s="275" t="str">
        <f>IFERROR(_xlfn.XLOOKUP($A47,'Full Plan'!$A:$A,'Full Plan'!$U:$U,""),"")</f>
        <v/>
      </c>
      <c r="L47" s="275" t="str">
        <f>IFERROR(_xlfn.XLOOKUP($A47,'Full Plan'!$A:$A,'Full Plan'!$V:$V,""),"")</f>
        <v/>
      </c>
      <c r="M47" s="277" t="str">
        <f>IFERROR(_xlfn.XLOOKUP($A47,'Full Plan'!$A:$A,'Full Plan'!$O:$O,""),"")</f>
        <v/>
      </c>
      <c r="N47" s="275" t="str">
        <f>IFERROR(_xlfn.XLOOKUP($A47,'Full Plan'!$A:$A,'Full Plan'!$P:$P,""),"")</f>
        <v/>
      </c>
      <c r="O47" s="275" t="str">
        <f>IFERROR(_xlfn.XLOOKUP($A47,'Full Plan'!$A:$A,'Full Plan'!$Q:$Q,""),"")</f>
        <v/>
      </c>
      <c r="P47" s="275" t="str">
        <f>IFERROR(_xlfn.XLOOKUP($A47,'Full Plan'!$A:$A,'Full Plan'!$R:$R,""),"")</f>
        <v/>
      </c>
      <c r="Q47" s="287" t="str">
        <f>IFERROR(_xlfn.XLOOKUP($A47,'MW Removal &amp; Update'!$A:$A,'MW Removal &amp; Update'!$M:$M,""),"")</f>
        <v/>
      </c>
      <c r="R47" s="288" t="str">
        <f>IFERROR(_xlfn.XLOOKUP($A47,'Full Plan'!$A:$A,'Full Plan'!$K:$K,""),"")</f>
        <v/>
      </c>
      <c r="S47" s="207" t="str">
        <f>IF($A47="","",IF(COUNTIF($I47:$P47,"*Pending*")=0,"Ready","Waiting"))</f>
        <v/>
      </c>
      <c r="T47" s="288"/>
      <c r="U47" s="288"/>
    </row>
    <row r="48" spans="1:21">
      <c r="A48" s="211" t="str">
        <f>IFERROR(IF('Full Plan'!A48="","",'Full Plan'!A48),"")</f>
        <v/>
      </c>
      <c r="B48" s="211" t="str">
        <f>IFERROR(_xlfn.XLOOKUP($A48,'Full Plan'!$A:$A,'Full Plan'!$B:$B,""),"")</f>
        <v/>
      </c>
      <c r="C48" s="192" t="str">
        <f>IFERROR(_xlfn.XLOOKUP($A48,'Full Plan'!$A:$A,'Full Plan'!$E:$E,""),"")</f>
        <v/>
      </c>
      <c r="D48" s="279" t="str">
        <f>IFERROR(_xlfn.XLOOKUP($A48,'Full Plan'!$A:$A,'Full Plan'!$J:$J,""),"")</f>
        <v/>
      </c>
      <c r="E48" s="281" t="str">
        <f>IFERROR(_xlfn.XLOOKUP($A48,'Full Plan'!$A:$A,'Full Plan'!$F:$F,""),"")</f>
        <v/>
      </c>
      <c r="F48" s="188" t="str">
        <f>IFERROR(_xlfn.XLOOKUP($A48,'Full Plan'!$A:$A,'Full Plan'!$G:$G,""),"")</f>
        <v/>
      </c>
      <c r="G48" s="188" t="str">
        <f>IFERROR(_xlfn.XLOOKUP($A48,'Full Plan'!$A:$A,'Full Plan'!$I:$I,""),"")</f>
        <v/>
      </c>
      <c r="H48" s="192" t="str">
        <f>IFERROR(_xlfn.XLOOKUP($A48,'Full Plan'!$A:$A,'Full Plan'!$H:$H,""),"")</f>
        <v/>
      </c>
      <c r="I48" s="275" t="str">
        <f>IFERROR(_xlfn.XLOOKUP($A48,'Full Plan'!$A:$A,'Full Plan'!$N:$N,""),"")</f>
        <v/>
      </c>
      <c r="J48" s="212" t="str">
        <f>IFERROR(_xlfn.XLOOKUP($A48,'Full Plan'!$A:$A,'Full Plan'!$T:$T,""),"")</f>
        <v/>
      </c>
      <c r="K48" s="275" t="str">
        <f>IFERROR(_xlfn.XLOOKUP($A48,'Full Plan'!$A:$A,'Full Plan'!$U:$U,""),"")</f>
        <v/>
      </c>
      <c r="L48" s="275" t="str">
        <f>IFERROR(_xlfn.XLOOKUP($A48,'Full Plan'!$A:$A,'Full Plan'!$V:$V,""),"")</f>
        <v/>
      </c>
      <c r="M48" s="277" t="str">
        <f>IFERROR(_xlfn.XLOOKUP($A48,'Full Plan'!$A:$A,'Full Plan'!$O:$O,""),"")</f>
        <v/>
      </c>
      <c r="N48" s="275" t="str">
        <f>IFERROR(_xlfn.XLOOKUP($A48,'Full Plan'!$A:$A,'Full Plan'!$P:$P,""),"")</f>
        <v/>
      </c>
      <c r="O48" s="275" t="str">
        <f>IFERROR(_xlfn.XLOOKUP($A48,'Full Plan'!$A:$A,'Full Plan'!$Q:$Q,""),"")</f>
        <v/>
      </c>
      <c r="P48" s="275" t="str">
        <f>IFERROR(_xlfn.XLOOKUP($A48,'Full Plan'!$A:$A,'Full Plan'!$R:$R,""),"")</f>
        <v/>
      </c>
      <c r="Q48" s="287" t="str">
        <f>IFERROR(_xlfn.XLOOKUP($A48,'MW Removal &amp; Update'!$A:$A,'MW Removal &amp; Update'!$M:$M,""),"")</f>
        <v/>
      </c>
      <c r="R48" s="288" t="str">
        <f>IFERROR(_xlfn.XLOOKUP($A48,'Full Plan'!$A:$A,'Full Plan'!$K:$K,""),"")</f>
        <v/>
      </c>
      <c r="S48" s="207" t="str">
        <f>IF($A48="","",IF(COUNTIF($I48:$P48,"*Pending*")=0,"Ready","Waiting"))</f>
        <v/>
      </c>
      <c r="T48" s="288"/>
      <c r="U48" s="288"/>
    </row>
    <row r="49" spans="1:21">
      <c r="A49" s="211" t="str">
        <f>IFERROR(IF('Full Plan'!A49="","",'Full Plan'!A49),"")</f>
        <v/>
      </c>
      <c r="B49" s="211" t="str">
        <f>IFERROR(_xlfn.XLOOKUP($A49,'Full Plan'!$A:$A,'Full Plan'!$B:$B,""),"")</f>
        <v/>
      </c>
      <c r="C49" s="192" t="str">
        <f>IFERROR(_xlfn.XLOOKUP($A49,'Full Plan'!$A:$A,'Full Plan'!$E:$E,""),"")</f>
        <v/>
      </c>
      <c r="D49" s="279" t="str">
        <f>IFERROR(_xlfn.XLOOKUP($A49,'Full Plan'!$A:$A,'Full Plan'!$J:$J,""),"")</f>
        <v/>
      </c>
      <c r="E49" s="281" t="str">
        <f>IFERROR(_xlfn.XLOOKUP($A49,'Full Plan'!$A:$A,'Full Plan'!$F:$F,""),"")</f>
        <v/>
      </c>
      <c r="F49" s="188" t="str">
        <f>IFERROR(_xlfn.XLOOKUP($A49,'Full Plan'!$A:$A,'Full Plan'!$G:$G,""),"")</f>
        <v/>
      </c>
      <c r="G49" s="188" t="str">
        <f>IFERROR(_xlfn.XLOOKUP($A49,'Full Plan'!$A:$A,'Full Plan'!$I:$I,""),"")</f>
        <v/>
      </c>
      <c r="H49" s="192" t="str">
        <f>IFERROR(_xlfn.XLOOKUP($A49,'Full Plan'!$A:$A,'Full Plan'!$H:$H,""),"")</f>
        <v/>
      </c>
      <c r="I49" s="275" t="str">
        <f>IFERROR(_xlfn.XLOOKUP($A49,'Full Plan'!$A:$A,'Full Plan'!$N:$N,""),"")</f>
        <v/>
      </c>
      <c r="J49" s="212" t="str">
        <f>IFERROR(_xlfn.XLOOKUP($A49,'Full Plan'!$A:$A,'Full Plan'!$T:$T,""),"")</f>
        <v/>
      </c>
      <c r="K49" s="275" t="str">
        <f>IFERROR(_xlfn.XLOOKUP($A49,'Full Plan'!$A:$A,'Full Plan'!$U:$U,""),"")</f>
        <v/>
      </c>
      <c r="L49" s="275" t="str">
        <f>IFERROR(_xlfn.XLOOKUP($A49,'Full Plan'!$A:$A,'Full Plan'!$V:$V,""),"")</f>
        <v/>
      </c>
      <c r="M49" s="277" t="str">
        <f>IFERROR(_xlfn.XLOOKUP($A49,'Full Plan'!$A:$A,'Full Plan'!$O:$O,""),"")</f>
        <v/>
      </c>
      <c r="N49" s="275" t="str">
        <f>IFERROR(_xlfn.XLOOKUP($A49,'Full Plan'!$A:$A,'Full Plan'!$P:$P,""),"")</f>
        <v/>
      </c>
      <c r="O49" s="275" t="str">
        <f>IFERROR(_xlfn.XLOOKUP($A49,'Full Plan'!$A:$A,'Full Plan'!$Q:$Q,""),"")</f>
        <v/>
      </c>
      <c r="P49" s="275" t="str">
        <f>IFERROR(_xlfn.XLOOKUP($A49,'Full Plan'!$A:$A,'Full Plan'!$R:$R,""),"")</f>
        <v/>
      </c>
      <c r="Q49" s="287" t="str">
        <f>IFERROR(_xlfn.XLOOKUP($A49,'MW Removal &amp; Update'!$A:$A,'MW Removal &amp; Update'!$M:$M,""),"")</f>
        <v/>
      </c>
      <c r="R49" s="288" t="str">
        <f>IFERROR(_xlfn.XLOOKUP($A49,'Full Plan'!$A:$A,'Full Plan'!$K:$K,""),"")</f>
        <v/>
      </c>
      <c r="S49" s="207" t="str">
        <f>IF($A49="","",IF(COUNTIF($I49:$P49,"*Pending*")=0,"Ready","Waiting"))</f>
        <v/>
      </c>
      <c r="T49" s="288"/>
      <c r="U49" s="288"/>
    </row>
    <row r="50" spans="1:21">
      <c r="A50" s="211" t="str">
        <f>IFERROR(IF('Full Plan'!A50="","",'Full Plan'!A50),"")</f>
        <v/>
      </c>
      <c r="B50" s="211" t="str">
        <f>IFERROR(_xlfn.XLOOKUP($A50,'Full Plan'!$A:$A,'Full Plan'!$B:$B,""),"")</f>
        <v/>
      </c>
      <c r="C50" s="192" t="str">
        <f>IFERROR(_xlfn.XLOOKUP($A50,'Full Plan'!$A:$A,'Full Plan'!$E:$E,""),"")</f>
        <v/>
      </c>
      <c r="D50" s="279" t="str">
        <f>IFERROR(_xlfn.XLOOKUP($A50,'Full Plan'!$A:$A,'Full Plan'!$J:$J,""),"")</f>
        <v/>
      </c>
      <c r="E50" s="281" t="str">
        <f>IFERROR(_xlfn.XLOOKUP($A50,'Full Plan'!$A:$A,'Full Plan'!$F:$F,""),"")</f>
        <v/>
      </c>
      <c r="F50" s="188" t="str">
        <f>IFERROR(_xlfn.XLOOKUP($A50,'Full Plan'!$A:$A,'Full Plan'!$G:$G,""),"")</f>
        <v/>
      </c>
      <c r="G50" s="188" t="str">
        <f>IFERROR(_xlfn.XLOOKUP($A50,'Full Plan'!$A:$A,'Full Plan'!$I:$I,""),"")</f>
        <v/>
      </c>
      <c r="H50" s="192" t="str">
        <f>IFERROR(_xlfn.XLOOKUP($A50,'Full Plan'!$A:$A,'Full Plan'!$H:$H,""),"")</f>
        <v/>
      </c>
      <c r="I50" s="275" t="str">
        <f>IFERROR(_xlfn.XLOOKUP($A50,'Full Plan'!$A:$A,'Full Plan'!$N:$N,""),"")</f>
        <v/>
      </c>
      <c r="J50" s="212" t="str">
        <f>IFERROR(_xlfn.XLOOKUP($A50,'Full Plan'!$A:$A,'Full Plan'!$T:$T,""),"")</f>
        <v/>
      </c>
      <c r="K50" s="275" t="str">
        <f>IFERROR(_xlfn.XLOOKUP($A50,'Full Plan'!$A:$A,'Full Plan'!$U:$U,""),"")</f>
        <v/>
      </c>
      <c r="L50" s="275" t="str">
        <f>IFERROR(_xlfn.XLOOKUP($A50,'Full Plan'!$A:$A,'Full Plan'!$V:$V,""),"")</f>
        <v/>
      </c>
      <c r="M50" s="277" t="str">
        <f>IFERROR(_xlfn.XLOOKUP($A50,'Full Plan'!$A:$A,'Full Plan'!$O:$O,""),"")</f>
        <v/>
      </c>
      <c r="N50" s="275" t="str">
        <f>IFERROR(_xlfn.XLOOKUP($A50,'Full Plan'!$A:$A,'Full Plan'!$P:$P,""),"")</f>
        <v/>
      </c>
      <c r="O50" s="275" t="str">
        <f>IFERROR(_xlfn.XLOOKUP($A50,'Full Plan'!$A:$A,'Full Plan'!$Q:$Q,""),"")</f>
        <v/>
      </c>
      <c r="P50" s="275" t="str">
        <f>IFERROR(_xlfn.XLOOKUP($A50,'Full Plan'!$A:$A,'Full Plan'!$R:$R,""),"")</f>
        <v/>
      </c>
      <c r="Q50" s="287" t="str">
        <f>IFERROR(_xlfn.XLOOKUP($A50,'MW Removal &amp; Update'!$A:$A,'MW Removal &amp; Update'!$M:$M,""),"")</f>
        <v/>
      </c>
      <c r="R50" s="288" t="str">
        <f>IFERROR(_xlfn.XLOOKUP($A50,'Full Plan'!$A:$A,'Full Plan'!$K:$K,""),"")</f>
        <v/>
      </c>
      <c r="S50" s="207" t="str">
        <f>IF($A50="","",IF(COUNTIF($I50:$P50,"*Pending*")=0,"Ready","Waiting"))</f>
        <v/>
      </c>
      <c r="T50" s="288"/>
      <c r="U50" s="288"/>
    </row>
    <row r="51" spans="1:21">
      <c r="A51" s="211" t="str">
        <f>IFERROR(IF('Full Plan'!A51="","",'Full Plan'!A51),"")</f>
        <v/>
      </c>
      <c r="B51" s="211" t="str">
        <f>IFERROR(_xlfn.XLOOKUP($A51,'Full Plan'!$A:$A,'Full Plan'!$B:$B,""),"")</f>
        <v/>
      </c>
      <c r="C51" s="192" t="str">
        <f>IFERROR(_xlfn.XLOOKUP($A51,'Full Plan'!$A:$A,'Full Plan'!$E:$E,""),"")</f>
        <v/>
      </c>
      <c r="D51" s="279" t="str">
        <f>IFERROR(_xlfn.XLOOKUP($A51,'Full Plan'!$A:$A,'Full Plan'!$J:$J,""),"")</f>
        <v/>
      </c>
      <c r="E51" s="281" t="str">
        <f>IFERROR(_xlfn.XLOOKUP($A51,'Full Plan'!$A:$A,'Full Plan'!$F:$F,""),"")</f>
        <v/>
      </c>
      <c r="F51" s="188" t="str">
        <f>IFERROR(_xlfn.XLOOKUP($A51,'Full Plan'!$A:$A,'Full Plan'!$G:$G,""),"")</f>
        <v/>
      </c>
      <c r="G51" s="188" t="str">
        <f>IFERROR(_xlfn.XLOOKUP($A51,'Full Plan'!$A:$A,'Full Plan'!$I:$I,""),"")</f>
        <v/>
      </c>
      <c r="H51" s="192" t="str">
        <f>IFERROR(_xlfn.XLOOKUP($A51,'Full Plan'!$A:$A,'Full Plan'!$H:$H,""),"")</f>
        <v/>
      </c>
      <c r="I51" s="275" t="str">
        <f>IFERROR(_xlfn.XLOOKUP($A51,'Full Plan'!$A:$A,'Full Plan'!$N:$N,""),"")</f>
        <v/>
      </c>
      <c r="J51" s="212" t="str">
        <f>IFERROR(_xlfn.XLOOKUP($A51,'Full Plan'!$A:$A,'Full Plan'!$T:$T,""),"")</f>
        <v/>
      </c>
      <c r="K51" s="275" t="str">
        <f>IFERROR(_xlfn.XLOOKUP($A51,'Full Plan'!$A:$A,'Full Plan'!$U:$U,""),"")</f>
        <v/>
      </c>
      <c r="L51" s="275" t="str">
        <f>IFERROR(_xlfn.XLOOKUP($A51,'Full Plan'!$A:$A,'Full Plan'!$V:$V,""),"")</f>
        <v/>
      </c>
      <c r="M51" s="277" t="str">
        <f>IFERROR(_xlfn.XLOOKUP($A51,'Full Plan'!$A:$A,'Full Plan'!$O:$O,""),"")</f>
        <v/>
      </c>
      <c r="N51" s="275" t="str">
        <f>IFERROR(_xlfn.XLOOKUP($A51,'Full Plan'!$A:$A,'Full Plan'!$P:$P,""),"")</f>
        <v/>
      </c>
      <c r="O51" s="275" t="str">
        <f>IFERROR(_xlfn.XLOOKUP($A51,'Full Plan'!$A:$A,'Full Plan'!$Q:$Q,""),"")</f>
        <v/>
      </c>
      <c r="P51" s="275" t="str">
        <f>IFERROR(_xlfn.XLOOKUP($A51,'Full Plan'!$A:$A,'Full Plan'!$R:$R,""),"")</f>
        <v/>
      </c>
      <c r="Q51" s="287" t="str">
        <f>IFERROR(_xlfn.XLOOKUP($A51,'MW Removal &amp; Update'!$A:$A,'MW Removal &amp; Update'!$M:$M,""),"")</f>
        <v/>
      </c>
      <c r="R51" s="288" t="str">
        <f>IFERROR(_xlfn.XLOOKUP($A51,'Full Plan'!$A:$A,'Full Plan'!$K:$K,""),"")</f>
        <v/>
      </c>
      <c r="S51" s="207" t="str">
        <f>IF($A51="","",IF(COUNTIF($I51:$P51,"*Pending*")=0,"Ready","Waiting"))</f>
        <v/>
      </c>
      <c r="T51" s="288"/>
      <c r="U51" s="288"/>
    </row>
    <row r="52" spans="1:21">
      <c r="A52" s="211" t="str">
        <f>IFERROR(IF('Full Plan'!A52="","",'Full Plan'!A52),"")</f>
        <v/>
      </c>
      <c r="B52" s="211" t="str">
        <f>IFERROR(_xlfn.XLOOKUP($A52,'Full Plan'!$A:$A,'Full Plan'!$B:$B,""),"")</f>
        <v/>
      </c>
      <c r="C52" s="192" t="str">
        <f>IFERROR(_xlfn.XLOOKUP($A52,'Full Plan'!$A:$A,'Full Plan'!$E:$E,""),"")</f>
        <v/>
      </c>
      <c r="D52" s="279" t="str">
        <f>IFERROR(_xlfn.XLOOKUP($A52,'Full Plan'!$A:$A,'Full Plan'!$J:$J,""),"")</f>
        <v/>
      </c>
      <c r="E52" s="281" t="str">
        <f>IFERROR(_xlfn.XLOOKUP($A52,'Full Plan'!$A:$A,'Full Plan'!$F:$F,""),"")</f>
        <v/>
      </c>
      <c r="F52" s="188" t="str">
        <f>IFERROR(_xlfn.XLOOKUP($A52,'Full Plan'!$A:$A,'Full Plan'!$G:$G,""),"")</f>
        <v/>
      </c>
      <c r="G52" s="188" t="str">
        <f>IFERROR(_xlfn.XLOOKUP($A52,'Full Plan'!$A:$A,'Full Plan'!$I:$I,""),"")</f>
        <v/>
      </c>
      <c r="H52" s="192" t="str">
        <f>IFERROR(_xlfn.XLOOKUP($A52,'Full Plan'!$A:$A,'Full Plan'!$H:$H,""),"")</f>
        <v/>
      </c>
      <c r="I52" s="275" t="str">
        <f>IFERROR(_xlfn.XLOOKUP($A52,'Full Plan'!$A:$A,'Full Plan'!$N:$N,""),"")</f>
        <v/>
      </c>
      <c r="J52" s="212" t="str">
        <f>IFERROR(_xlfn.XLOOKUP($A52,'Full Plan'!$A:$A,'Full Plan'!$T:$T,""),"")</f>
        <v/>
      </c>
      <c r="K52" s="275" t="str">
        <f>IFERROR(_xlfn.XLOOKUP($A52,'Full Plan'!$A:$A,'Full Plan'!$U:$U,""),"")</f>
        <v/>
      </c>
      <c r="L52" s="275" t="str">
        <f>IFERROR(_xlfn.XLOOKUP($A52,'Full Plan'!$A:$A,'Full Plan'!$V:$V,""),"")</f>
        <v/>
      </c>
      <c r="M52" s="277" t="str">
        <f>IFERROR(_xlfn.XLOOKUP($A52,'Full Plan'!$A:$A,'Full Plan'!$O:$O,""),"")</f>
        <v/>
      </c>
      <c r="N52" s="275" t="str">
        <f>IFERROR(_xlfn.XLOOKUP($A52,'Full Plan'!$A:$A,'Full Plan'!$P:$P,""),"")</f>
        <v/>
      </c>
      <c r="O52" s="275" t="str">
        <f>IFERROR(_xlfn.XLOOKUP($A52,'Full Plan'!$A:$A,'Full Plan'!$Q:$Q,""),"")</f>
        <v/>
      </c>
      <c r="P52" s="275" t="str">
        <f>IFERROR(_xlfn.XLOOKUP($A52,'Full Plan'!$A:$A,'Full Plan'!$R:$R,""),"")</f>
        <v/>
      </c>
      <c r="Q52" s="287" t="str">
        <f>IFERROR(_xlfn.XLOOKUP($A52,'MW Removal &amp; Update'!$A:$A,'MW Removal &amp; Update'!$M:$M,""),"")</f>
        <v/>
      </c>
      <c r="R52" s="288" t="str">
        <f>IFERROR(_xlfn.XLOOKUP($A52,'Full Plan'!$A:$A,'Full Plan'!$K:$K,""),"")</f>
        <v/>
      </c>
      <c r="S52" s="207" t="str">
        <f>IF($A52="","",IF(COUNTIF($I52:$P52,"*Pending*")=0,"Ready","Waiting"))</f>
        <v/>
      </c>
      <c r="T52" s="288"/>
      <c r="U52" s="288"/>
    </row>
    <row r="53" spans="1:21">
      <c r="A53" s="211" t="str">
        <f>IFERROR(IF('Full Plan'!A53="","",'Full Plan'!A53),"")</f>
        <v/>
      </c>
      <c r="B53" s="211" t="str">
        <f>IFERROR(_xlfn.XLOOKUP($A53,'Full Plan'!$A:$A,'Full Plan'!$B:$B,""),"")</f>
        <v/>
      </c>
      <c r="C53" s="192" t="str">
        <f>IFERROR(_xlfn.XLOOKUP($A53,'Full Plan'!$A:$A,'Full Plan'!$E:$E,""),"")</f>
        <v/>
      </c>
      <c r="D53" s="279" t="str">
        <f>IFERROR(_xlfn.XLOOKUP($A53,'Full Plan'!$A:$A,'Full Plan'!$J:$J,""),"")</f>
        <v/>
      </c>
      <c r="E53" s="281" t="str">
        <f>IFERROR(_xlfn.XLOOKUP($A53,'Full Plan'!$A:$A,'Full Plan'!$F:$F,""),"")</f>
        <v/>
      </c>
      <c r="F53" s="188" t="str">
        <f>IFERROR(_xlfn.XLOOKUP($A53,'Full Plan'!$A:$A,'Full Plan'!$G:$G,""),"")</f>
        <v/>
      </c>
      <c r="G53" s="188" t="str">
        <f>IFERROR(_xlfn.XLOOKUP($A53,'Full Plan'!$A:$A,'Full Plan'!$I:$I,""),"")</f>
        <v/>
      </c>
      <c r="H53" s="192" t="str">
        <f>IFERROR(_xlfn.XLOOKUP($A53,'Full Plan'!$A:$A,'Full Plan'!$H:$H,""),"")</f>
        <v/>
      </c>
      <c r="I53" s="275" t="str">
        <f>IFERROR(_xlfn.XLOOKUP($A53,'Full Plan'!$A:$A,'Full Plan'!$N:$N,""),"")</f>
        <v/>
      </c>
      <c r="J53" s="212" t="str">
        <f>IFERROR(_xlfn.XLOOKUP($A53,'Full Plan'!$A:$A,'Full Plan'!$T:$T,""),"")</f>
        <v/>
      </c>
      <c r="K53" s="275" t="str">
        <f>IFERROR(_xlfn.XLOOKUP($A53,'Full Plan'!$A:$A,'Full Plan'!$U:$U,""),"")</f>
        <v/>
      </c>
      <c r="L53" s="275" t="str">
        <f>IFERROR(_xlfn.XLOOKUP($A53,'Full Plan'!$A:$A,'Full Plan'!$V:$V,""),"")</f>
        <v/>
      </c>
      <c r="M53" s="277" t="str">
        <f>IFERROR(_xlfn.XLOOKUP($A53,'Full Plan'!$A:$A,'Full Plan'!$O:$O,""),"")</f>
        <v/>
      </c>
      <c r="N53" s="275" t="str">
        <f>IFERROR(_xlfn.XLOOKUP($A53,'Full Plan'!$A:$A,'Full Plan'!$P:$P,""),"")</f>
        <v/>
      </c>
      <c r="O53" s="275" t="str">
        <f>IFERROR(_xlfn.XLOOKUP($A53,'Full Plan'!$A:$A,'Full Plan'!$Q:$Q,""),"")</f>
        <v/>
      </c>
      <c r="P53" s="275" t="str">
        <f>IFERROR(_xlfn.XLOOKUP($A53,'Full Plan'!$A:$A,'Full Plan'!$R:$R,""),"")</f>
        <v/>
      </c>
      <c r="Q53" s="287" t="str">
        <f>IFERROR(_xlfn.XLOOKUP($A53,'MW Removal &amp; Update'!$A:$A,'MW Removal &amp; Update'!$M:$M,""),"")</f>
        <v/>
      </c>
      <c r="R53" s="288" t="str">
        <f>IFERROR(_xlfn.XLOOKUP($A53,'Full Plan'!$A:$A,'Full Plan'!$K:$K,""),"")</f>
        <v/>
      </c>
      <c r="S53" s="207" t="str">
        <f>IF($A53="","",IF(COUNTIF($I53:$P53,"*Pending*")=0,"Ready","Waiting"))</f>
        <v/>
      </c>
      <c r="T53" s="288"/>
      <c r="U53" s="288"/>
    </row>
    <row r="54" spans="1:21">
      <c r="A54" s="211" t="str">
        <f>IFERROR(IF('Full Plan'!A54="","",'Full Plan'!A54),"")</f>
        <v/>
      </c>
      <c r="B54" s="211" t="str">
        <f>IFERROR(_xlfn.XLOOKUP($A54,'Full Plan'!$A:$A,'Full Plan'!$B:$B,""),"")</f>
        <v/>
      </c>
      <c r="C54" s="192" t="str">
        <f>IFERROR(_xlfn.XLOOKUP($A54,'Full Plan'!$A:$A,'Full Plan'!$E:$E,""),"")</f>
        <v/>
      </c>
      <c r="D54" s="279" t="str">
        <f>IFERROR(_xlfn.XLOOKUP($A54,'Full Plan'!$A:$A,'Full Plan'!$J:$J,""),"")</f>
        <v/>
      </c>
      <c r="E54" s="281" t="str">
        <f>IFERROR(_xlfn.XLOOKUP($A54,'Full Plan'!$A:$A,'Full Plan'!$F:$F,""),"")</f>
        <v/>
      </c>
      <c r="F54" s="188" t="str">
        <f>IFERROR(_xlfn.XLOOKUP($A54,'Full Plan'!$A:$A,'Full Plan'!$G:$G,""),"")</f>
        <v/>
      </c>
      <c r="G54" s="188" t="str">
        <f>IFERROR(_xlfn.XLOOKUP($A54,'Full Plan'!$A:$A,'Full Plan'!$I:$I,""),"")</f>
        <v/>
      </c>
      <c r="H54" s="192" t="str">
        <f>IFERROR(_xlfn.XLOOKUP($A54,'Full Plan'!$A:$A,'Full Plan'!$H:$H,""),"")</f>
        <v/>
      </c>
      <c r="I54" s="275" t="str">
        <f>IFERROR(_xlfn.XLOOKUP($A54,'Full Plan'!$A:$A,'Full Plan'!$N:$N,""),"")</f>
        <v/>
      </c>
      <c r="J54" s="212" t="str">
        <f>IFERROR(_xlfn.XLOOKUP($A54,'Full Plan'!$A:$A,'Full Plan'!$T:$T,""),"")</f>
        <v/>
      </c>
      <c r="K54" s="275" t="str">
        <f>IFERROR(_xlfn.XLOOKUP($A54,'Full Plan'!$A:$A,'Full Plan'!$U:$U,""),"")</f>
        <v/>
      </c>
      <c r="L54" s="275" t="str">
        <f>IFERROR(_xlfn.XLOOKUP($A54,'Full Plan'!$A:$A,'Full Plan'!$V:$V,""),"")</f>
        <v/>
      </c>
      <c r="M54" s="277" t="str">
        <f>IFERROR(_xlfn.XLOOKUP($A54,'Full Plan'!$A:$A,'Full Plan'!$O:$O,""),"")</f>
        <v/>
      </c>
      <c r="N54" s="275" t="str">
        <f>IFERROR(_xlfn.XLOOKUP($A54,'Full Plan'!$A:$A,'Full Plan'!$P:$P,""),"")</f>
        <v/>
      </c>
      <c r="O54" s="275" t="str">
        <f>IFERROR(_xlfn.XLOOKUP($A54,'Full Plan'!$A:$A,'Full Plan'!$Q:$Q,""),"")</f>
        <v/>
      </c>
      <c r="P54" s="275" t="str">
        <f>IFERROR(_xlfn.XLOOKUP($A54,'Full Plan'!$A:$A,'Full Plan'!$R:$R,""),"")</f>
        <v/>
      </c>
      <c r="Q54" s="287" t="str">
        <f>IFERROR(_xlfn.XLOOKUP($A54,'MW Removal &amp; Update'!$A:$A,'MW Removal &amp; Update'!$M:$M,""),"")</f>
        <v/>
      </c>
      <c r="R54" s="288" t="str">
        <f>IFERROR(_xlfn.XLOOKUP($A54,'Full Plan'!$A:$A,'Full Plan'!$K:$K,""),"")</f>
        <v/>
      </c>
      <c r="S54" s="207" t="str">
        <f>IF($A54="","",IF(COUNTIF($I54:$P54,"*Pending*")=0,"Ready","Waiting"))</f>
        <v/>
      </c>
      <c r="T54" s="288"/>
      <c r="U54" s="288"/>
    </row>
    <row r="55" spans="1:21">
      <c r="A55" s="211" t="str">
        <f>IFERROR(IF('Full Plan'!A55="","",'Full Plan'!A55),"")</f>
        <v/>
      </c>
      <c r="B55" s="211" t="str">
        <f>IFERROR(_xlfn.XLOOKUP($A55,'Full Plan'!$A:$A,'Full Plan'!$B:$B,""),"")</f>
        <v/>
      </c>
      <c r="C55" s="192" t="str">
        <f>IFERROR(_xlfn.XLOOKUP($A55,'Full Plan'!$A:$A,'Full Plan'!$E:$E,""),"")</f>
        <v/>
      </c>
      <c r="D55" s="279" t="str">
        <f>IFERROR(_xlfn.XLOOKUP($A55,'Full Plan'!$A:$A,'Full Plan'!$J:$J,""),"")</f>
        <v/>
      </c>
      <c r="E55" s="281" t="str">
        <f>IFERROR(_xlfn.XLOOKUP($A55,'Full Plan'!$A:$A,'Full Plan'!$F:$F,""),"")</f>
        <v/>
      </c>
      <c r="F55" s="188" t="str">
        <f>IFERROR(_xlfn.XLOOKUP($A55,'Full Plan'!$A:$A,'Full Plan'!$G:$G,""),"")</f>
        <v/>
      </c>
      <c r="G55" s="188" t="str">
        <f>IFERROR(_xlfn.XLOOKUP($A55,'Full Plan'!$A:$A,'Full Plan'!$I:$I,""),"")</f>
        <v/>
      </c>
      <c r="H55" s="192" t="str">
        <f>IFERROR(_xlfn.XLOOKUP($A55,'Full Plan'!$A:$A,'Full Plan'!$H:$H,""),"")</f>
        <v/>
      </c>
      <c r="I55" s="275" t="str">
        <f>IFERROR(_xlfn.XLOOKUP($A55,'Full Plan'!$A:$A,'Full Plan'!$N:$N,""),"")</f>
        <v/>
      </c>
      <c r="J55" s="212" t="str">
        <f>IFERROR(_xlfn.XLOOKUP($A55,'Full Plan'!$A:$A,'Full Plan'!$T:$T,""),"")</f>
        <v/>
      </c>
      <c r="K55" s="275" t="str">
        <f>IFERROR(_xlfn.XLOOKUP($A55,'Full Plan'!$A:$A,'Full Plan'!$U:$U,""),"")</f>
        <v/>
      </c>
      <c r="L55" s="275" t="str">
        <f>IFERROR(_xlfn.XLOOKUP($A55,'Full Plan'!$A:$A,'Full Plan'!$V:$V,""),"")</f>
        <v/>
      </c>
      <c r="M55" s="277" t="str">
        <f>IFERROR(_xlfn.XLOOKUP($A55,'Full Plan'!$A:$A,'Full Plan'!$O:$O,""),"")</f>
        <v/>
      </c>
      <c r="N55" s="275" t="str">
        <f>IFERROR(_xlfn.XLOOKUP($A55,'Full Plan'!$A:$A,'Full Plan'!$P:$P,""),"")</f>
        <v/>
      </c>
      <c r="O55" s="275" t="str">
        <f>IFERROR(_xlfn.XLOOKUP($A55,'Full Plan'!$A:$A,'Full Plan'!$Q:$Q,""),"")</f>
        <v/>
      </c>
      <c r="P55" s="275" t="str">
        <f>IFERROR(_xlfn.XLOOKUP($A55,'Full Plan'!$A:$A,'Full Plan'!$R:$R,""),"")</f>
        <v/>
      </c>
      <c r="Q55" s="287" t="str">
        <f>IFERROR(_xlfn.XLOOKUP($A55,'MW Removal &amp; Update'!$A:$A,'MW Removal &amp; Update'!$M:$M,""),"")</f>
        <v/>
      </c>
      <c r="R55" s="288" t="str">
        <f>IFERROR(_xlfn.XLOOKUP($A55,'Full Plan'!$A:$A,'Full Plan'!$K:$K,""),"")</f>
        <v/>
      </c>
      <c r="S55" s="207" t="str">
        <f>IF($A55="","",IF(COUNTIF($I55:$P55,"*Pending*")=0,"Ready","Waiting"))</f>
        <v/>
      </c>
      <c r="T55" s="288"/>
      <c r="U55" s="288"/>
    </row>
    <row r="56" spans="1:21">
      <c r="A56" s="211" t="str">
        <f>IFERROR(IF('Full Plan'!A56="","",'Full Plan'!A56),"")</f>
        <v/>
      </c>
      <c r="B56" s="211" t="str">
        <f>IFERROR(_xlfn.XLOOKUP($A56,'Full Plan'!$A:$A,'Full Plan'!$B:$B,""),"")</f>
        <v/>
      </c>
      <c r="C56" s="192" t="str">
        <f>IFERROR(_xlfn.XLOOKUP($A56,'Full Plan'!$A:$A,'Full Plan'!$E:$E,""),"")</f>
        <v/>
      </c>
      <c r="D56" s="279" t="str">
        <f>IFERROR(_xlfn.XLOOKUP($A56,'Full Plan'!$A:$A,'Full Plan'!$J:$J,""),"")</f>
        <v/>
      </c>
      <c r="E56" s="281" t="str">
        <f>IFERROR(_xlfn.XLOOKUP($A56,'Full Plan'!$A:$A,'Full Plan'!$F:$F,""),"")</f>
        <v/>
      </c>
      <c r="F56" s="188" t="str">
        <f>IFERROR(_xlfn.XLOOKUP($A56,'Full Plan'!$A:$A,'Full Plan'!$G:$G,""),"")</f>
        <v/>
      </c>
      <c r="G56" s="188" t="str">
        <f>IFERROR(_xlfn.XLOOKUP($A56,'Full Plan'!$A:$A,'Full Plan'!$I:$I,""),"")</f>
        <v/>
      </c>
      <c r="H56" s="192" t="str">
        <f>IFERROR(_xlfn.XLOOKUP($A56,'Full Plan'!$A:$A,'Full Plan'!$H:$H,""),"")</f>
        <v/>
      </c>
      <c r="I56" s="275" t="str">
        <f>IFERROR(_xlfn.XLOOKUP($A56,'Full Plan'!$A:$A,'Full Plan'!$N:$N,""),"")</f>
        <v/>
      </c>
      <c r="J56" s="212" t="str">
        <f>IFERROR(_xlfn.XLOOKUP($A56,'Full Plan'!$A:$A,'Full Plan'!$T:$T,""),"")</f>
        <v/>
      </c>
      <c r="K56" s="275" t="str">
        <f>IFERROR(_xlfn.XLOOKUP($A56,'Full Plan'!$A:$A,'Full Plan'!$U:$U,""),"")</f>
        <v/>
      </c>
      <c r="L56" s="275" t="str">
        <f>IFERROR(_xlfn.XLOOKUP($A56,'Full Plan'!$A:$A,'Full Plan'!$V:$V,""),"")</f>
        <v/>
      </c>
      <c r="M56" s="277" t="str">
        <f>IFERROR(_xlfn.XLOOKUP($A56,'Full Plan'!$A:$A,'Full Plan'!$O:$O,""),"")</f>
        <v/>
      </c>
      <c r="N56" s="275" t="str">
        <f>IFERROR(_xlfn.XLOOKUP($A56,'Full Plan'!$A:$A,'Full Plan'!$P:$P,""),"")</f>
        <v/>
      </c>
      <c r="O56" s="275" t="str">
        <f>IFERROR(_xlfn.XLOOKUP($A56,'Full Plan'!$A:$A,'Full Plan'!$Q:$Q,""),"")</f>
        <v/>
      </c>
      <c r="P56" s="275" t="str">
        <f>IFERROR(_xlfn.XLOOKUP($A56,'Full Plan'!$A:$A,'Full Plan'!$R:$R,""),"")</f>
        <v/>
      </c>
      <c r="Q56" s="287" t="str">
        <f>IFERROR(_xlfn.XLOOKUP($A56,'MW Removal &amp; Update'!$A:$A,'MW Removal &amp; Update'!$M:$M,""),"")</f>
        <v/>
      </c>
      <c r="R56" s="288" t="str">
        <f>IFERROR(_xlfn.XLOOKUP($A56,'Full Plan'!$A:$A,'Full Plan'!$K:$K,""),"")</f>
        <v/>
      </c>
      <c r="S56" s="207" t="str">
        <f>IF($A56="","",IF(COUNTIF($I56:$P56,"*Pending*")=0,"Ready","Waiting"))</f>
        <v/>
      </c>
      <c r="T56" s="288"/>
      <c r="U56" s="288"/>
    </row>
    <row r="57" spans="1:21">
      <c r="A57" s="211" t="str">
        <f>IFERROR(IF('Full Plan'!A57="","",'Full Plan'!A57),"")</f>
        <v/>
      </c>
      <c r="B57" s="211" t="str">
        <f>IFERROR(_xlfn.XLOOKUP($A57,'Full Plan'!$A:$A,'Full Plan'!$B:$B,""),"")</f>
        <v/>
      </c>
      <c r="C57" s="192" t="str">
        <f>IFERROR(_xlfn.XLOOKUP($A57,'Full Plan'!$A:$A,'Full Plan'!$E:$E,""),"")</f>
        <v/>
      </c>
      <c r="D57" s="279" t="str">
        <f>IFERROR(_xlfn.XLOOKUP($A57,'Full Plan'!$A:$A,'Full Plan'!$J:$J,""),"")</f>
        <v/>
      </c>
      <c r="E57" s="281" t="str">
        <f>IFERROR(_xlfn.XLOOKUP($A57,'Full Plan'!$A:$A,'Full Plan'!$F:$F,""),"")</f>
        <v/>
      </c>
      <c r="F57" s="188" t="str">
        <f>IFERROR(_xlfn.XLOOKUP($A57,'Full Plan'!$A:$A,'Full Plan'!$G:$G,""),"")</f>
        <v/>
      </c>
      <c r="G57" s="188" t="str">
        <f>IFERROR(_xlfn.XLOOKUP($A57,'Full Plan'!$A:$A,'Full Plan'!$I:$I,""),"")</f>
        <v/>
      </c>
      <c r="H57" s="192" t="str">
        <f>IFERROR(_xlfn.XLOOKUP($A57,'Full Plan'!$A:$A,'Full Plan'!$H:$H,""),"")</f>
        <v/>
      </c>
      <c r="I57" s="275" t="str">
        <f>IFERROR(_xlfn.XLOOKUP($A57,'Full Plan'!$A:$A,'Full Plan'!$N:$N,""),"")</f>
        <v/>
      </c>
      <c r="J57" s="212" t="str">
        <f>IFERROR(_xlfn.XLOOKUP($A57,'Full Plan'!$A:$A,'Full Plan'!$T:$T,""),"")</f>
        <v/>
      </c>
      <c r="K57" s="275" t="str">
        <f>IFERROR(_xlfn.XLOOKUP($A57,'Full Plan'!$A:$A,'Full Plan'!$U:$U,""),"")</f>
        <v/>
      </c>
      <c r="L57" s="275" t="str">
        <f>IFERROR(_xlfn.XLOOKUP($A57,'Full Plan'!$A:$A,'Full Plan'!$V:$V,""),"")</f>
        <v/>
      </c>
      <c r="M57" s="277" t="str">
        <f>IFERROR(_xlfn.XLOOKUP($A57,'Full Plan'!$A:$A,'Full Plan'!$O:$O,""),"")</f>
        <v/>
      </c>
      <c r="N57" s="275" t="str">
        <f>IFERROR(_xlfn.XLOOKUP($A57,'Full Plan'!$A:$A,'Full Plan'!$P:$P,""),"")</f>
        <v/>
      </c>
      <c r="O57" s="275" t="str">
        <f>IFERROR(_xlfn.XLOOKUP($A57,'Full Plan'!$A:$A,'Full Plan'!$Q:$Q,""),"")</f>
        <v/>
      </c>
      <c r="P57" s="275" t="str">
        <f>IFERROR(_xlfn.XLOOKUP($A57,'Full Plan'!$A:$A,'Full Plan'!$R:$R,""),"")</f>
        <v/>
      </c>
      <c r="Q57" s="287" t="str">
        <f>IFERROR(_xlfn.XLOOKUP($A57,'MW Removal &amp; Update'!$A:$A,'MW Removal &amp; Update'!$M:$M,""),"")</f>
        <v/>
      </c>
      <c r="R57" s="288" t="str">
        <f>IFERROR(_xlfn.XLOOKUP($A57,'Full Plan'!$A:$A,'Full Plan'!$K:$K,""),"")</f>
        <v/>
      </c>
      <c r="S57" s="207" t="str">
        <f>IF($A57="","",IF(COUNTIF($I57:$P57,"*Pending*")=0,"Ready","Waiting"))</f>
        <v/>
      </c>
      <c r="T57" s="288"/>
      <c r="U57" s="288"/>
    </row>
    <row r="58" spans="1:21">
      <c r="A58" s="211" t="str">
        <f>IFERROR(IF('Full Plan'!A58="","",'Full Plan'!A58),"")</f>
        <v/>
      </c>
      <c r="B58" s="211" t="str">
        <f>IFERROR(_xlfn.XLOOKUP($A58,'Full Plan'!$A:$A,'Full Plan'!$B:$B,""),"")</f>
        <v/>
      </c>
      <c r="C58" s="192" t="str">
        <f>IFERROR(_xlfn.XLOOKUP($A58,'Full Plan'!$A:$A,'Full Plan'!$E:$E,""),"")</f>
        <v/>
      </c>
      <c r="D58" s="279" t="str">
        <f>IFERROR(_xlfn.XLOOKUP($A58,'Full Plan'!$A:$A,'Full Plan'!$J:$J,""),"")</f>
        <v/>
      </c>
      <c r="E58" s="281" t="str">
        <f>IFERROR(_xlfn.XLOOKUP($A58,'Full Plan'!$A:$A,'Full Plan'!$F:$F,""),"")</f>
        <v/>
      </c>
      <c r="F58" s="188" t="str">
        <f>IFERROR(_xlfn.XLOOKUP($A58,'Full Plan'!$A:$A,'Full Plan'!$G:$G,""),"")</f>
        <v/>
      </c>
      <c r="G58" s="188" t="str">
        <f>IFERROR(_xlfn.XLOOKUP($A58,'Full Plan'!$A:$A,'Full Plan'!$I:$I,""),"")</f>
        <v/>
      </c>
      <c r="H58" s="192" t="str">
        <f>IFERROR(_xlfn.XLOOKUP($A58,'Full Plan'!$A:$A,'Full Plan'!$H:$H,""),"")</f>
        <v/>
      </c>
      <c r="I58" s="275" t="str">
        <f>IFERROR(_xlfn.XLOOKUP($A58,'Full Plan'!$A:$A,'Full Plan'!$N:$N,""),"")</f>
        <v/>
      </c>
      <c r="J58" s="212" t="str">
        <f>IFERROR(_xlfn.XLOOKUP($A58,'Full Plan'!$A:$A,'Full Plan'!$T:$T,""),"")</f>
        <v/>
      </c>
      <c r="K58" s="275" t="str">
        <f>IFERROR(_xlfn.XLOOKUP($A58,'Full Plan'!$A:$A,'Full Plan'!$U:$U,""),"")</f>
        <v/>
      </c>
      <c r="L58" s="275" t="str">
        <f>IFERROR(_xlfn.XLOOKUP($A58,'Full Plan'!$A:$A,'Full Plan'!$V:$V,""),"")</f>
        <v/>
      </c>
      <c r="M58" s="277" t="str">
        <f>IFERROR(_xlfn.XLOOKUP($A58,'Full Plan'!$A:$A,'Full Plan'!$O:$O,""),"")</f>
        <v/>
      </c>
      <c r="N58" s="275" t="str">
        <f>IFERROR(_xlfn.XLOOKUP($A58,'Full Plan'!$A:$A,'Full Plan'!$P:$P,""),"")</f>
        <v/>
      </c>
      <c r="O58" s="275" t="str">
        <f>IFERROR(_xlfn.XLOOKUP($A58,'Full Plan'!$A:$A,'Full Plan'!$Q:$Q,""),"")</f>
        <v/>
      </c>
      <c r="P58" s="275" t="str">
        <f>IFERROR(_xlfn.XLOOKUP($A58,'Full Plan'!$A:$A,'Full Plan'!$R:$R,""),"")</f>
        <v/>
      </c>
      <c r="Q58" s="287" t="str">
        <f>IFERROR(_xlfn.XLOOKUP($A58,'MW Removal &amp; Update'!$A:$A,'MW Removal &amp; Update'!$M:$M,""),"")</f>
        <v/>
      </c>
      <c r="R58" s="288" t="str">
        <f>IFERROR(_xlfn.XLOOKUP($A58,'Full Plan'!$A:$A,'Full Plan'!$K:$K,""),"")</f>
        <v/>
      </c>
      <c r="S58" s="207" t="str">
        <f>IF($A58="","",IF(COUNTIF($I58:$P58,"*Pending*")=0,"Ready","Waiting"))</f>
        <v/>
      </c>
      <c r="T58" s="288"/>
      <c r="U58" s="288"/>
    </row>
    <row r="59" spans="1:21">
      <c r="A59" s="211" t="str">
        <f>IFERROR(IF('Full Plan'!A59="","",'Full Plan'!A59),"")</f>
        <v/>
      </c>
      <c r="B59" s="211" t="str">
        <f>IFERROR(_xlfn.XLOOKUP($A59,'Full Plan'!$A:$A,'Full Plan'!$B:$B,""),"")</f>
        <v/>
      </c>
      <c r="C59" s="192" t="str">
        <f>IFERROR(_xlfn.XLOOKUP($A59,'Full Plan'!$A:$A,'Full Plan'!$E:$E,""),"")</f>
        <v/>
      </c>
      <c r="D59" s="279" t="str">
        <f>IFERROR(_xlfn.XLOOKUP($A59,'Full Plan'!$A:$A,'Full Plan'!$J:$J,""),"")</f>
        <v/>
      </c>
      <c r="E59" s="281" t="str">
        <f>IFERROR(_xlfn.XLOOKUP($A59,'Full Plan'!$A:$A,'Full Plan'!$F:$F,""),"")</f>
        <v/>
      </c>
      <c r="F59" s="188" t="str">
        <f>IFERROR(_xlfn.XLOOKUP($A59,'Full Plan'!$A:$A,'Full Plan'!$G:$G,""),"")</f>
        <v/>
      </c>
      <c r="G59" s="188" t="str">
        <f>IFERROR(_xlfn.XLOOKUP($A59,'Full Plan'!$A:$A,'Full Plan'!$I:$I,""),"")</f>
        <v/>
      </c>
      <c r="H59" s="192" t="str">
        <f>IFERROR(_xlfn.XLOOKUP($A59,'Full Plan'!$A:$A,'Full Plan'!$H:$H,""),"")</f>
        <v/>
      </c>
      <c r="I59" s="275" t="str">
        <f>IFERROR(_xlfn.XLOOKUP($A59,'Full Plan'!$A:$A,'Full Plan'!$N:$N,""),"")</f>
        <v/>
      </c>
      <c r="J59" s="212" t="str">
        <f>IFERROR(_xlfn.XLOOKUP($A59,'Full Plan'!$A:$A,'Full Plan'!$T:$T,""),"")</f>
        <v/>
      </c>
      <c r="K59" s="275" t="str">
        <f>IFERROR(_xlfn.XLOOKUP($A59,'Full Plan'!$A:$A,'Full Plan'!$U:$U,""),"")</f>
        <v/>
      </c>
      <c r="L59" s="275" t="str">
        <f>IFERROR(_xlfn.XLOOKUP($A59,'Full Plan'!$A:$A,'Full Plan'!$V:$V,""),"")</f>
        <v/>
      </c>
      <c r="M59" s="277" t="str">
        <f>IFERROR(_xlfn.XLOOKUP($A59,'Full Plan'!$A:$A,'Full Plan'!$O:$O,""),"")</f>
        <v/>
      </c>
      <c r="N59" s="275" t="str">
        <f>IFERROR(_xlfn.XLOOKUP($A59,'Full Plan'!$A:$A,'Full Plan'!$P:$P,""),"")</f>
        <v/>
      </c>
      <c r="O59" s="275" t="str">
        <f>IFERROR(_xlfn.XLOOKUP($A59,'Full Plan'!$A:$A,'Full Plan'!$Q:$Q,""),"")</f>
        <v/>
      </c>
      <c r="P59" s="275" t="str">
        <f>IFERROR(_xlfn.XLOOKUP($A59,'Full Plan'!$A:$A,'Full Plan'!$R:$R,""),"")</f>
        <v/>
      </c>
      <c r="Q59" s="287" t="str">
        <f>IFERROR(_xlfn.XLOOKUP($A59,'MW Removal &amp; Update'!$A:$A,'MW Removal &amp; Update'!$M:$M,""),"")</f>
        <v/>
      </c>
      <c r="R59" s="288" t="str">
        <f>IFERROR(_xlfn.XLOOKUP($A59,'Full Plan'!$A:$A,'Full Plan'!$K:$K,""),"")</f>
        <v/>
      </c>
      <c r="S59" s="207" t="str">
        <f>IF($A59="","",IF(COUNTIF($I59:$P59,"*Pending*")=0,"Ready","Waiting"))</f>
        <v/>
      </c>
      <c r="T59" s="288"/>
      <c r="U59" s="288"/>
    </row>
    <row r="60" spans="1:21">
      <c r="A60" s="211" t="str">
        <f>IFERROR(IF('Full Plan'!A60="","",'Full Plan'!A60),"")</f>
        <v/>
      </c>
      <c r="B60" s="211" t="str">
        <f>IFERROR(_xlfn.XLOOKUP($A60,'Full Plan'!$A:$A,'Full Plan'!$B:$B,""),"")</f>
        <v/>
      </c>
      <c r="C60" s="192" t="str">
        <f>IFERROR(_xlfn.XLOOKUP($A60,'Full Plan'!$A:$A,'Full Plan'!$E:$E,""),"")</f>
        <v/>
      </c>
      <c r="D60" s="279" t="str">
        <f>IFERROR(_xlfn.XLOOKUP($A60,'Full Plan'!$A:$A,'Full Plan'!$J:$J,""),"")</f>
        <v/>
      </c>
      <c r="E60" s="281" t="str">
        <f>IFERROR(_xlfn.XLOOKUP($A60,'Full Plan'!$A:$A,'Full Plan'!$F:$F,""),"")</f>
        <v/>
      </c>
      <c r="F60" s="188" t="str">
        <f>IFERROR(_xlfn.XLOOKUP($A60,'Full Plan'!$A:$A,'Full Plan'!$G:$G,""),"")</f>
        <v/>
      </c>
      <c r="G60" s="188" t="str">
        <f>IFERROR(_xlfn.XLOOKUP($A60,'Full Plan'!$A:$A,'Full Plan'!$I:$I,""),"")</f>
        <v/>
      </c>
      <c r="H60" s="192" t="str">
        <f>IFERROR(_xlfn.XLOOKUP($A60,'Full Plan'!$A:$A,'Full Plan'!$H:$H,""),"")</f>
        <v/>
      </c>
      <c r="I60" s="275" t="str">
        <f>IFERROR(_xlfn.XLOOKUP($A60,'Full Plan'!$A:$A,'Full Plan'!$N:$N,""),"")</f>
        <v/>
      </c>
      <c r="J60" s="212" t="str">
        <f>IFERROR(_xlfn.XLOOKUP($A60,'Full Plan'!$A:$A,'Full Plan'!$T:$T,""),"")</f>
        <v/>
      </c>
      <c r="K60" s="275" t="str">
        <f>IFERROR(_xlfn.XLOOKUP($A60,'Full Plan'!$A:$A,'Full Plan'!$U:$U,""),"")</f>
        <v/>
      </c>
      <c r="L60" s="275" t="str">
        <f>IFERROR(_xlfn.XLOOKUP($A60,'Full Plan'!$A:$A,'Full Plan'!$V:$V,""),"")</f>
        <v/>
      </c>
      <c r="M60" s="277" t="str">
        <f>IFERROR(_xlfn.XLOOKUP($A60,'Full Plan'!$A:$A,'Full Plan'!$O:$O,""),"")</f>
        <v/>
      </c>
      <c r="N60" s="275" t="str">
        <f>IFERROR(_xlfn.XLOOKUP($A60,'Full Plan'!$A:$A,'Full Plan'!$P:$P,""),"")</f>
        <v/>
      </c>
      <c r="O60" s="275" t="str">
        <f>IFERROR(_xlfn.XLOOKUP($A60,'Full Plan'!$A:$A,'Full Plan'!$Q:$Q,""),"")</f>
        <v/>
      </c>
      <c r="P60" s="275" t="str">
        <f>IFERROR(_xlfn.XLOOKUP($A60,'Full Plan'!$A:$A,'Full Plan'!$R:$R,""),"")</f>
        <v/>
      </c>
      <c r="Q60" s="287" t="str">
        <f>IFERROR(_xlfn.XLOOKUP($A60,'MW Removal &amp; Update'!$A:$A,'MW Removal &amp; Update'!$M:$M,""),"")</f>
        <v/>
      </c>
      <c r="R60" s="288" t="str">
        <f>IFERROR(_xlfn.XLOOKUP($A60,'Full Plan'!$A:$A,'Full Plan'!$K:$K,""),"")</f>
        <v/>
      </c>
      <c r="S60" s="207" t="str">
        <f>IF($A60="","",IF(COUNTIF($I60:$P60,"*Pending*")=0,"Ready","Waiting"))</f>
        <v/>
      </c>
      <c r="T60" s="288"/>
      <c r="U60" s="288"/>
    </row>
    <row r="61" spans="1:21">
      <c r="A61" s="211" t="str">
        <f>IFERROR(IF('Full Plan'!A61="","",'Full Plan'!A61),"")</f>
        <v/>
      </c>
      <c r="B61" s="211" t="str">
        <f>IFERROR(_xlfn.XLOOKUP($A61,'Full Plan'!$A:$A,'Full Plan'!$B:$B,""),"")</f>
        <v/>
      </c>
      <c r="C61" s="192" t="str">
        <f>IFERROR(_xlfn.XLOOKUP($A61,'Full Plan'!$A:$A,'Full Plan'!$E:$E,""),"")</f>
        <v/>
      </c>
      <c r="D61" s="279" t="str">
        <f>IFERROR(_xlfn.XLOOKUP($A61,'Full Plan'!$A:$A,'Full Plan'!$J:$J,""),"")</f>
        <v/>
      </c>
      <c r="E61" s="281" t="str">
        <f>IFERROR(_xlfn.XLOOKUP($A61,'Full Plan'!$A:$A,'Full Plan'!$F:$F,""),"")</f>
        <v/>
      </c>
      <c r="F61" s="188" t="str">
        <f>IFERROR(_xlfn.XLOOKUP($A61,'Full Plan'!$A:$A,'Full Plan'!$G:$G,""),"")</f>
        <v/>
      </c>
      <c r="G61" s="188" t="str">
        <f>IFERROR(_xlfn.XLOOKUP($A61,'Full Plan'!$A:$A,'Full Plan'!$I:$I,""),"")</f>
        <v/>
      </c>
      <c r="H61" s="192" t="str">
        <f>IFERROR(_xlfn.XLOOKUP($A61,'Full Plan'!$A:$A,'Full Plan'!$H:$H,""),"")</f>
        <v/>
      </c>
      <c r="I61" s="275" t="str">
        <f>IFERROR(_xlfn.XLOOKUP($A61,'Full Plan'!$A:$A,'Full Plan'!$N:$N,""),"")</f>
        <v/>
      </c>
      <c r="J61" s="212" t="str">
        <f>IFERROR(_xlfn.XLOOKUP($A61,'Full Plan'!$A:$A,'Full Plan'!$T:$T,""),"")</f>
        <v/>
      </c>
      <c r="K61" s="275" t="str">
        <f>IFERROR(_xlfn.XLOOKUP($A61,'Full Plan'!$A:$A,'Full Plan'!$U:$U,""),"")</f>
        <v/>
      </c>
      <c r="L61" s="275" t="str">
        <f>IFERROR(_xlfn.XLOOKUP($A61,'Full Plan'!$A:$A,'Full Plan'!$V:$V,""),"")</f>
        <v/>
      </c>
      <c r="M61" s="277" t="str">
        <f>IFERROR(_xlfn.XLOOKUP($A61,'Full Plan'!$A:$A,'Full Plan'!$O:$O,""),"")</f>
        <v/>
      </c>
      <c r="N61" s="275" t="str">
        <f>IFERROR(_xlfn.XLOOKUP($A61,'Full Plan'!$A:$A,'Full Plan'!$P:$P,""),"")</f>
        <v/>
      </c>
      <c r="O61" s="275" t="str">
        <f>IFERROR(_xlfn.XLOOKUP($A61,'Full Plan'!$A:$A,'Full Plan'!$Q:$Q,""),"")</f>
        <v/>
      </c>
      <c r="P61" s="275" t="str">
        <f>IFERROR(_xlfn.XLOOKUP($A61,'Full Plan'!$A:$A,'Full Plan'!$R:$R,""),"")</f>
        <v/>
      </c>
      <c r="Q61" s="287" t="str">
        <f>IFERROR(_xlfn.XLOOKUP($A61,'MW Removal &amp; Update'!$A:$A,'MW Removal &amp; Update'!$M:$M,""),"")</f>
        <v/>
      </c>
      <c r="R61" s="288" t="str">
        <f>IFERROR(_xlfn.XLOOKUP($A61,'Full Plan'!$A:$A,'Full Plan'!$K:$K,""),"")</f>
        <v/>
      </c>
      <c r="S61" s="207" t="str">
        <f>IF($A61="","",IF(COUNTIF($I61:$P61,"*Pending*")=0,"Ready","Waiting"))</f>
        <v/>
      </c>
      <c r="T61" s="288"/>
      <c r="U61" s="288"/>
    </row>
    <row r="62" spans="1:21">
      <c r="A62" s="211" t="str">
        <f>IFERROR(IF('Full Plan'!A62="","",'Full Plan'!A62),"")</f>
        <v/>
      </c>
      <c r="B62" s="211" t="str">
        <f>IFERROR(_xlfn.XLOOKUP($A62,'Full Plan'!$A:$A,'Full Plan'!$B:$B,""),"")</f>
        <v/>
      </c>
      <c r="C62" s="192" t="str">
        <f>IFERROR(_xlfn.XLOOKUP($A62,'Full Plan'!$A:$A,'Full Plan'!$E:$E,""),"")</f>
        <v/>
      </c>
      <c r="D62" s="279" t="str">
        <f>IFERROR(_xlfn.XLOOKUP($A62,'Full Plan'!$A:$A,'Full Plan'!$J:$J,""),"")</f>
        <v/>
      </c>
      <c r="E62" s="281" t="str">
        <f>IFERROR(_xlfn.XLOOKUP($A62,'Full Plan'!$A:$A,'Full Plan'!$F:$F,""),"")</f>
        <v/>
      </c>
      <c r="F62" s="188" t="str">
        <f>IFERROR(_xlfn.XLOOKUP($A62,'Full Plan'!$A:$A,'Full Plan'!$G:$G,""),"")</f>
        <v/>
      </c>
      <c r="G62" s="188" t="str">
        <f>IFERROR(_xlfn.XLOOKUP($A62,'Full Plan'!$A:$A,'Full Plan'!$I:$I,""),"")</f>
        <v/>
      </c>
      <c r="H62" s="192" t="str">
        <f>IFERROR(_xlfn.XLOOKUP($A62,'Full Plan'!$A:$A,'Full Plan'!$H:$H,""),"")</f>
        <v/>
      </c>
      <c r="I62" s="275" t="str">
        <f>IFERROR(_xlfn.XLOOKUP($A62,'Full Plan'!$A:$A,'Full Plan'!$N:$N,""),"")</f>
        <v/>
      </c>
      <c r="J62" s="212" t="str">
        <f>IFERROR(_xlfn.XLOOKUP($A62,'Full Plan'!$A:$A,'Full Plan'!$T:$T,""),"")</f>
        <v/>
      </c>
      <c r="K62" s="275" t="str">
        <f>IFERROR(_xlfn.XLOOKUP($A62,'Full Plan'!$A:$A,'Full Plan'!$U:$U,""),"")</f>
        <v/>
      </c>
      <c r="L62" s="275" t="str">
        <f>IFERROR(_xlfn.XLOOKUP($A62,'Full Plan'!$A:$A,'Full Plan'!$V:$V,""),"")</f>
        <v/>
      </c>
      <c r="M62" s="277" t="str">
        <f>IFERROR(_xlfn.XLOOKUP($A62,'Full Plan'!$A:$A,'Full Plan'!$O:$O,""),"")</f>
        <v/>
      </c>
      <c r="N62" s="275" t="str">
        <f>IFERROR(_xlfn.XLOOKUP($A62,'Full Plan'!$A:$A,'Full Plan'!$P:$P,""),"")</f>
        <v/>
      </c>
      <c r="O62" s="275" t="str">
        <f>IFERROR(_xlfn.XLOOKUP($A62,'Full Plan'!$A:$A,'Full Plan'!$Q:$Q,""),"")</f>
        <v/>
      </c>
      <c r="P62" s="275" t="str">
        <f>IFERROR(_xlfn.XLOOKUP($A62,'Full Plan'!$A:$A,'Full Plan'!$R:$R,""),"")</f>
        <v/>
      </c>
      <c r="Q62" s="287" t="str">
        <f>IFERROR(_xlfn.XLOOKUP($A62,'MW Removal &amp; Update'!$A:$A,'MW Removal &amp; Update'!$M:$M,""),"")</f>
        <v/>
      </c>
      <c r="R62" s="288" t="str">
        <f>IFERROR(_xlfn.XLOOKUP($A62,'Full Plan'!$A:$A,'Full Plan'!$K:$K,""),"")</f>
        <v/>
      </c>
      <c r="S62" s="207" t="str">
        <f>IF($A62="","",IF(COUNTIF($I62:$P62,"*Pending*")=0,"Ready","Waiting"))</f>
        <v/>
      </c>
      <c r="T62" s="288"/>
      <c r="U62" s="288"/>
    </row>
    <row r="63" spans="1:21">
      <c r="A63" s="211" t="str">
        <f>IFERROR(IF('Full Plan'!A63="","",'Full Plan'!A63),"")</f>
        <v/>
      </c>
      <c r="B63" s="211" t="str">
        <f>IFERROR(_xlfn.XLOOKUP($A63,'Full Plan'!$A:$A,'Full Plan'!$B:$B,""),"")</f>
        <v/>
      </c>
      <c r="C63" s="192" t="str">
        <f>IFERROR(_xlfn.XLOOKUP($A63,'Full Plan'!$A:$A,'Full Plan'!$E:$E,""),"")</f>
        <v/>
      </c>
      <c r="D63" s="279" t="str">
        <f>IFERROR(_xlfn.XLOOKUP($A63,'Full Plan'!$A:$A,'Full Plan'!$J:$J,""),"")</f>
        <v/>
      </c>
      <c r="E63" s="281" t="str">
        <f>IFERROR(_xlfn.XLOOKUP($A63,'Full Plan'!$A:$A,'Full Plan'!$F:$F,""),"")</f>
        <v/>
      </c>
      <c r="F63" s="188" t="str">
        <f>IFERROR(_xlfn.XLOOKUP($A63,'Full Plan'!$A:$A,'Full Plan'!$G:$G,""),"")</f>
        <v/>
      </c>
      <c r="G63" s="188" t="str">
        <f>IFERROR(_xlfn.XLOOKUP($A63,'Full Plan'!$A:$A,'Full Plan'!$I:$I,""),"")</f>
        <v/>
      </c>
      <c r="H63" s="192" t="str">
        <f>IFERROR(_xlfn.XLOOKUP($A63,'Full Plan'!$A:$A,'Full Plan'!$H:$H,""),"")</f>
        <v/>
      </c>
      <c r="I63" s="275" t="str">
        <f>IFERROR(_xlfn.XLOOKUP($A63,'Full Plan'!$A:$A,'Full Plan'!$N:$N,""),"")</f>
        <v/>
      </c>
      <c r="J63" s="212" t="str">
        <f>IFERROR(_xlfn.XLOOKUP($A63,'Full Plan'!$A:$A,'Full Plan'!$T:$T,""),"")</f>
        <v/>
      </c>
      <c r="K63" s="275" t="str">
        <f>IFERROR(_xlfn.XLOOKUP($A63,'Full Plan'!$A:$A,'Full Plan'!$U:$U,""),"")</f>
        <v/>
      </c>
      <c r="L63" s="275" t="str">
        <f>IFERROR(_xlfn.XLOOKUP($A63,'Full Plan'!$A:$A,'Full Plan'!$V:$V,""),"")</f>
        <v/>
      </c>
      <c r="M63" s="277" t="str">
        <f>IFERROR(_xlfn.XLOOKUP($A63,'Full Plan'!$A:$A,'Full Plan'!$O:$O,""),"")</f>
        <v/>
      </c>
      <c r="N63" s="275" t="str">
        <f>IFERROR(_xlfn.XLOOKUP($A63,'Full Plan'!$A:$A,'Full Plan'!$P:$P,""),"")</f>
        <v/>
      </c>
      <c r="O63" s="275" t="str">
        <f>IFERROR(_xlfn.XLOOKUP($A63,'Full Plan'!$A:$A,'Full Plan'!$Q:$Q,""),"")</f>
        <v/>
      </c>
      <c r="P63" s="275" t="str">
        <f>IFERROR(_xlfn.XLOOKUP($A63,'Full Plan'!$A:$A,'Full Plan'!$R:$R,""),"")</f>
        <v/>
      </c>
      <c r="Q63" s="287" t="str">
        <f>IFERROR(_xlfn.XLOOKUP($A63,'MW Removal &amp; Update'!$A:$A,'MW Removal &amp; Update'!$M:$M,""),"")</f>
        <v/>
      </c>
      <c r="R63" s="288" t="str">
        <f>IFERROR(_xlfn.XLOOKUP($A63,'Full Plan'!$A:$A,'Full Plan'!$K:$K,""),"")</f>
        <v/>
      </c>
      <c r="S63" s="207" t="str">
        <f>IF($A63="","",IF(COUNTIF($I63:$P63,"*Pending*")=0,"Ready","Waiting"))</f>
        <v/>
      </c>
      <c r="T63" s="288"/>
      <c r="U63" s="288"/>
    </row>
    <row r="64" spans="1:21">
      <c r="A64" s="211" t="str">
        <f>IFERROR(IF('Full Plan'!A64="","",'Full Plan'!A64),"")</f>
        <v/>
      </c>
      <c r="B64" s="211" t="str">
        <f>IFERROR(_xlfn.XLOOKUP($A64,'Full Plan'!$A:$A,'Full Plan'!$B:$B,""),"")</f>
        <v/>
      </c>
      <c r="C64" s="192" t="str">
        <f>IFERROR(_xlfn.XLOOKUP($A64,'Full Plan'!$A:$A,'Full Plan'!$E:$E,""),"")</f>
        <v/>
      </c>
      <c r="D64" s="279" t="str">
        <f>IFERROR(_xlfn.XLOOKUP($A64,'Full Plan'!$A:$A,'Full Plan'!$J:$J,""),"")</f>
        <v/>
      </c>
      <c r="E64" s="281" t="str">
        <f>IFERROR(_xlfn.XLOOKUP($A64,'Full Plan'!$A:$A,'Full Plan'!$F:$F,""),"")</f>
        <v/>
      </c>
      <c r="F64" s="188" t="str">
        <f>IFERROR(_xlfn.XLOOKUP($A64,'Full Plan'!$A:$A,'Full Plan'!$G:$G,""),"")</f>
        <v/>
      </c>
      <c r="G64" s="188" t="str">
        <f>IFERROR(_xlfn.XLOOKUP($A64,'Full Plan'!$A:$A,'Full Plan'!$I:$I,""),"")</f>
        <v/>
      </c>
      <c r="H64" s="192" t="str">
        <f>IFERROR(_xlfn.XLOOKUP($A64,'Full Plan'!$A:$A,'Full Plan'!$H:$H,""),"")</f>
        <v/>
      </c>
      <c r="I64" s="275" t="str">
        <f>IFERROR(_xlfn.XLOOKUP($A64,'Full Plan'!$A:$A,'Full Plan'!$N:$N,""),"")</f>
        <v/>
      </c>
      <c r="J64" s="212" t="str">
        <f>IFERROR(_xlfn.XLOOKUP($A64,'Full Plan'!$A:$A,'Full Plan'!$T:$T,""),"")</f>
        <v/>
      </c>
      <c r="K64" s="275" t="str">
        <f>IFERROR(_xlfn.XLOOKUP($A64,'Full Plan'!$A:$A,'Full Plan'!$U:$U,""),"")</f>
        <v/>
      </c>
      <c r="L64" s="275" t="str">
        <f>IFERROR(_xlfn.XLOOKUP($A64,'Full Plan'!$A:$A,'Full Plan'!$V:$V,""),"")</f>
        <v/>
      </c>
      <c r="M64" s="277" t="str">
        <f>IFERROR(_xlfn.XLOOKUP($A64,'Full Plan'!$A:$A,'Full Plan'!$O:$O,""),"")</f>
        <v/>
      </c>
      <c r="N64" s="275" t="str">
        <f>IFERROR(_xlfn.XLOOKUP($A64,'Full Plan'!$A:$A,'Full Plan'!$P:$P,""),"")</f>
        <v/>
      </c>
      <c r="O64" s="275" t="str">
        <f>IFERROR(_xlfn.XLOOKUP($A64,'Full Plan'!$A:$A,'Full Plan'!$Q:$Q,""),"")</f>
        <v/>
      </c>
      <c r="P64" s="275" t="str">
        <f>IFERROR(_xlfn.XLOOKUP($A64,'Full Plan'!$A:$A,'Full Plan'!$R:$R,""),"")</f>
        <v/>
      </c>
      <c r="Q64" s="287" t="str">
        <f>IFERROR(_xlfn.XLOOKUP($A64,'MW Removal &amp; Update'!$A:$A,'MW Removal &amp; Update'!$M:$M,""),"")</f>
        <v/>
      </c>
      <c r="R64" s="288" t="str">
        <f>IFERROR(_xlfn.XLOOKUP($A64,'Full Plan'!$A:$A,'Full Plan'!$K:$K,""),"")</f>
        <v/>
      </c>
      <c r="S64" s="207" t="str">
        <f>IF($A64="","",IF(COUNTIF($I64:$P64,"*Pending*")=0,"Ready","Waiting"))</f>
        <v/>
      </c>
      <c r="T64" s="288"/>
      <c r="U64" s="288"/>
    </row>
    <row r="65" spans="1:21">
      <c r="A65" s="211" t="str">
        <f>IFERROR(IF('Full Plan'!A65="","",'Full Plan'!A65),"")</f>
        <v/>
      </c>
      <c r="B65" s="211" t="str">
        <f>IFERROR(_xlfn.XLOOKUP($A65,'Full Plan'!$A:$A,'Full Plan'!$B:$B,""),"")</f>
        <v/>
      </c>
      <c r="C65" s="192" t="str">
        <f>IFERROR(_xlfn.XLOOKUP($A65,'Full Plan'!$A:$A,'Full Plan'!$E:$E,""),"")</f>
        <v/>
      </c>
      <c r="D65" s="279" t="str">
        <f>IFERROR(_xlfn.XLOOKUP($A65,'Full Plan'!$A:$A,'Full Plan'!$J:$J,""),"")</f>
        <v/>
      </c>
      <c r="E65" s="281" t="str">
        <f>IFERROR(_xlfn.XLOOKUP($A65,'Full Plan'!$A:$A,'Full Plan'!$F:$F,""),"")</f>
        <v/>
      </c>
      <c r="F65" s="188" t="str">
        <f>IFERROR(_xlfn.XLOOKUP($A65,'Full Plan'!$A:$A,'Full Plan'!$G:$G,""),"")</f>
        <v/>
      </c>
      <c r="G65" s="188" t="str">
        <f>IFERROR(_xlfn.XLOOKUP($A65,'Full Plan'!$A:$A,'Full Plan'!$I:$I,""),"")</f>
        <v/>
      </c>
      <c r="H65" s="192" t="str">
        <f>IFERROR(_xlfn.XLOOKUP($A65,'Full Plan'!$A:$A,'Full Plan'!$H:$H,""),"")</f>
        <v/>
      </c>
      <c r="I65" s="275" t="str">
        <f>IFERROR(_xlfn.XLOOKUP($A65,'Full Plan'!$A:$A,'Full Plan'!$N:$N,""),"")</f>
        <v/>
      </c>
      <c r="J65" s="212" t="str">
        <f>IFERROR(_xlfn.XLOOKUP($A65,'Full Plan'!$A:$A,'Full Plan'!$T:$T,""),"")</f>
        <v/>
      </c>
      <c r="K65" s="275" t="str">
        <f>IFERROR(_xlfn.XLOOKUP($A65,'Full Plan'!$A:$A,'Full Plan'!$U:$U,""),"")</f>
        <v/>
      </c>
      <c r="L65" s="275" t="str">
        <f>IFERROR(_xlfn.XLOOKUP($A65,'Full Plan'!$A:$A,'Full Plan'!$V:$V,""),"")</f>
        <v/>
      </c>
      <c r="M65" s="277" t="str">
        <f>IFERROR(_xlfn.XLOOKUP($A65,'Full Plan'!$A:$A,'Full Plan'!$O:$O,""),"")</f>
        <v/>
      </c>
      <c r="N65" s="275" t="str">
        <f>IFERROR(_xlfn.XLOOKUP($A65,'Full Plan'!$A:$A,'Full Plan'!$P:$P,""),"")</f>
        <v/>
      </c>
      <c r="O65" s="275" t="str">
        <f>IFERROR(_xlfn.XLOOKUP($A65,'Full Plan'!$A:$A,'Full Plan'!$Q:$Q,""),"")</f>
        <v/>
      </c>
      <c r="P65" s="275" t="str">
        <f>IFERROR(_xlfn.XLOOKUP($A65,'Full Plan'!$A:$A,'Full Plan'!$R:$R,""),"")</f>
        <v/>
      </c>
      <c r="Q65" s="287" t="str">
        <f>IFERROR(_xlfn.XLOOKUP($A65,'MW Removal &amp; Update'!$A:$A,'MW Removal &amp; Update'!$M:$M,""),"")</f>
        <v/>
      </c>
      <c r="R65" s="288" t="str">
        <f>IFERROR(_xlfn.XLOOKUP($A65,'Full Plan'!$A:$A,'Full Plan'!$K:$K,""),"")</f>
        <v/>
      </c>
      <c r="S65" s="207" t="str">
        <f>IF($A65="","",IF(COUNTIF($I65:$P65,"*Pending*")=0,"Ready","Waiting"))</f>
        <v/>
      </c>
      <c r="T65" s="288"/>
      <c r="U65" s="288"/>
    </row>
    <row r="66" spans="1:21">
      <c r="A66" s="211" t="str">
        <f>IFERROR(IF('Full Plan'!A66="","",'Full Plan'!A66),"")</f>
        <v/>
      </c>
      <c r="B66" s="211" t="str">
        <f>IFERROR(_xlfn.XLOOKUP($A66,'Full Plan'!$A:$A,'Full Plan'!$B:$B,""),"")</f>
        <v/>
      </c>
      <c r="C66" s="192" t="str">
        <f>IFERROR(_xlfn.XLOOKUP($A66,'Full Plan'!$A:$A,'Full Plan'!$E:$E,""),"")</f>
        <v/>
      </c>
      <c r="D66" s="279" t="str">
        <f>IFERROR(_xlfn.XLOOKUP($A66,'Full Plan'!$A:$A,'Full Plan'!$J:$J,""),"")</f>
        <v/>
      </c>
      <c r="E66" s="281" t="str">
        <f>IFERROR(_xlfn.XLOOKUP($A66,'Full Plan'!$A:$A,'Full Plan'!$F:$F,""),"")</f>
        <v/>
      </c>
      <c r="F66" s="188" t="str">
        <f>IFERROR(_xlfn.XLOOKUP($A66,'Full Plan'!$A:$A,'Full Plan'!$G:$G,""),"")</f>
        <v/>
      </c>
      <c r="G66" s="188" t="str">
        <f>IFERROR(_xlfn.XLOOKUP($A66,'Full Plan'!$A:$A,'Full Plan'!$I:$I,""),"")</f>
        <v/>
      </c>
      <c r="H66" s="192" t="str">
        <f>IFERROR(_xlfn.XLOOKUP($A66,'Full Plan'!$A:$A,'Full Plan'!$H:$H,""),"")</f>
        <v/>
      </c>
      <c r="I66" s="275" t="str">
        <f>IFERROR(_xlfn.XLOOKUP($A66,'Full Plan'!$A:$A,'Full Plan'!$N:$N,""),"")</f>
        <v/>
      </c>
      <c r="J66" s="212" t="str">
        <f>IFERROR(_xlfn.XLOOKUP($A66,'Full Plan'!$A:$A,'Full Plan'!$T:$T,""),"")</f>
        <v/>
      </c>
      <c r="K66" s="275" t="str">
        <f>IFERROR(_xlfn.XLOOKUP($A66,'Full Plan'!$A:$A,'Full Plan'!$U:$U,""),"")</f>
        <v/>
      </c>
      <c r="L66" s="275" t="str">
        <f>IFERROR(_xlfn.XLOOKUP($A66,'Full Plan'!$A:$A,'Full Plan'!$V:$V,""),"")</f>
        <v/>
      </c>
      <c r="M66" s="277" t="str">
        <f>IFERROR(_xlfn.XLOOKUP($A66,'Full Plan'!$A:$A,'Full Plan'!$O:$O,""),"")</f>
        <v/>
      </c>
      <c r="N66" s="275" t="str">
        <f>IFERROR(_xlfn.XLOOKUP($A66,'Full Plan'!$A:$A,'Full Plan'!$P:$P,""),"")</f>
        <v/>
      </c>
      <c r="O66" s="275" t="str">
        <f>IFERROR(_xlfn.XLOOKUP($A66,'Full Plan'!$A:$A,'Full Plan'!$Q:$Q,""),"")</f>
        <v/>
      </c>
      <c r="P66" s="275" t="str">
        <f>IFERROR(_xlfn.XLOOKUP($A66,'Full Plan'!$A:$A,'Full Plan'!$R:$R,""),"")</f>
        <v/>
      </c>
      <c r="Q66" s="287" t="str">
        <f>IFERROR(_xlfn.XLOOKUP($A66,'MW Removal &amp; Update'!$A:$A,'MW Removal &amp; Update'!$M:$M,""),"")</f>
        <v/>
      </c>
      <c r="R66" s="288" t="str">
        <f>IFERROR(_xlfn.XLOOKUP($A66,'Full Plan'!$A:$A,'Full Plan'!$K:$K,""),"")</f>
        <v/>
      </c>
      <c r="S66" s="207" t="str">
        <f>IF($A66="","",IF(COUNTIF($I66:$P66,"*Pending*")=0,"Ready","Waiting"))</f>
        <v/>
      </c>
      <c r="T66" s="288"/>
      <c r="U66" s="288"/>
    </row>
    <row r="67" spans="1:21">
      <c r="A67" s="211" t="str">
        <f>IFERROR(IF('Full Plan'!A67="","",'Full Plan'!A67),"")</f>
        <v/>
      </c>
      <c r="B67" s="211" t="str">
        <f>IFERROR(_xlfn.XLOOKUP($A67,'Full Plan'!$A:$A,'Full Plan'!$B:$B,""),"")</f>
        <v/>
      </c>
      <c r="C67" s="192" t="str">
        <f>IFERROR(_xlfn.XLOOKUP($A67,'Full Plan'!$A:$A,'Full Plan'!$E:$E,""),"")</f>
        <v/>
      </c>
      <c r="D67" s="279" t="str">
        <f>IFERROR(_xlfn.XLOOKUP($A67,'Full Plan'!$A:$A,'Full Plan'!$J:$J,""),"")</f>
        <v/>
      </c>
      <c r="E67" s="281" t="str">
        <f>IFERROR(_xlfn.XLOOKUP($A67,'Full Plan'!$A:$A,'Full Plan'!$F:$F,""),"")</f>
        <v/>
      </c>
      <c r="F67" s="188" t="str">
        <f>IFERROR(_xlfn.XLOOKUP($A67,'Full Plan'!$A:$A,'Full Plan'!$G:$G,""),"")</f>
        <v/>
      </c>
      <c r="G67" s="188" t="str">
        <f>IFERROR(_xlfn.XLOOKUP($A67,'Full Plan'!$A:$A,'Full Plan'!$I:$I,""),"")</f>
        <v/>
      </c>
      <c r="H67" s="192" t="str">
        <f>IFERROR(_xlfn.XLOOKUP($A67,'Full Plan'!$A:$A,'Full Plan'!$H:$H,""),"")</f>
        <v/>
      </c>
      <c r="I67" s="275" t="str">
        <f>IFERROR(_xlfn.XLOOKUP($A67,'Full Plan'!$A:$A,'Full Plan'!$N:$N,""),"")</f>
        <v/>
      </c>
      <c r="J67" s="212" t="str">
        <f>IFERROR(_xlfn.XLOOKUP($A67,'Full Plan'!$A:$A,'Full Plan'!$T:$T,""),"")</f>
        <v/>
      </c>
      <c r="K67" s="275" t="str">
        <f>IFERROR(_xlfn.XLOOKUP($A67,'Full Plan'!$A:$A,'Full Plan'!$U:$U,""),"")</f>
        <v/>
      </c>
      <c r="L67" s="275" t="str">
        <f>IFERROR(_xlfn.XLOOKUP($A67,'Full Plan'!$A:$A,'Full Plan'!$V:$V,""),"")</f>
        <v/>
      </c>
      <c r="M67" s="277" t="str">
        <f>IFERROR(_xlfn.XLOOKUP($A67,'Full Plan'!$A:$A,'Full Plan'!$O:$O,""),"")</f>
        <v/>
      </c>
      <c r="N67" s="275" t="str">
        <f>IFERROR(_xlfn.XLOOKUP($A67,'Full Plan'!$A:$A,'Full Plan'!$P:$P,""),"")</f>
        <v/>
      </c>
      <c r="O67" s="275" t="str">
        <f>IFERROR(_xlfn.XLOOKUP($A67,'Full Plan'!$A:$A,'Full Plan'!$Q:$Q,""),"")</f>
        <v/>
      </c>
      <c r="P67" s="275" t="str">
        <f>IFERROR(_xlfn.XLOOKUP($A67,'Full Plan'!$A:$A,'Full Plan'!$R:$R,""),"")</f>
        <v/>
      </c>
      <c r="Q67" s="287" t="str">
        <f>IFERROR(_xlfn.XLOOKUP($A67,'MW Removal &amp; Update'!$A:$A,'MW Removal &amp; Update'!$M:$M,""),"")</f>
        <v/>
      </c>
      <c r="R67" s="288" t="str">
        <f>IFERROR(_xlfn.XLOOKUP($A67,'Full Plan'!$A:$A,'Full Plan'!$K:$K,""),"")</f>
        <v/>
      </c>
      <c r="S67" s="207" t="str">
        <f>IF($A67="","",IF(COUNTIF($I67:$P67,"*Pending*")=0,"Ready","Waiting"))</f>
        <v/>
      </c>
      <c r="T67" s="288"/>
      <c r="U67" s="288"/>
    </row>
    <row r="68" spans="1:21">
      <c r="A68" s="211" t="str">
        <f>IFERROR(IF('Full Plan'!A68="","",'Full Plan'!A68),"")</f>
        <v/>
      </c>
      <c r="B68" s="211" t="str">
        <f>IFERROR(_xlfn.XLOOKUP($A68,'Full Plan'!$A:$A,'Full Plan'!$B:$B,""),"")</f>
        <v/>
      </c>
      <c r="C68" s="192" t="str">
        <f>IFERROR(_xlfn.XLOOKUP($A68,'Full Plan'!$A:$A,'Full Plan'!$E:$E,""),"")</f>
        <v/>
      </c>
      <c r="D68" s="279" t="str">
        <f>IFERROR(_xlfn.XLOOKUP($A68,'Full Plan'!$A:$A,'Full Plan'!$J:$J,""),"")</f>
        <v/>
      </c>
      <c r="E68" s="281" t="str">
        <f>IFERROR(_xlfn.XLOOKUP($A68,'Full Plan'!$A:$A,'Full Plan'!$F:$F,""),"")</f>
        <v/>
      </c>
      <c r="F68" s="188" t="str">
        <f>IFERROR(_xlfn.XLOOKUP($A68,'Full Plan'!$A:$A,'Full Plan'!$G:$G,""),"")</f>
        <v/>
      </c>
      <c r="G68" s="188" t="str">
        <f>IFERROR(_xlfn.XLOOKUP($A68,'Full Plan'!$A:$A,'Full Plan'!$I:$I,""),"")</f>
        <v/>
      </c>
      <c r="H68" s="192" t="str">
        <f>IFERROR(_xlfn.XLOOKUP($A68,'Full Plan'!$A:$A,'Full Plan'!$H:$H,""),"")</f>
        <v/>
      </c>
      <c r="I68" s="275" t="str">
        <f>IFERROR(_xlfn.XLOOKUP($A68,'Full Plan'!$A:$A,'Full Plan'!$N:$N,""),"")</f>
        <v/>
      </c>
      <c r="J68" s="212" t="str">
        <f>IFERROR(_xlfn.XLOOKUP($A68,'Full Plan'!$A:$A,'Full Plan'!$T:$T,""),"")</f>
        <v/>
      </c>
      <c r="K68" s="275" t="str">
        <f>IFERROR(_xlfn.XLOOKUP($A68,'Full Plan'!$A:$A,'Full Plan'!$U:$U,""),"")</f>
        <v/>
      </c>
      <c r="L68" s="275" t="str">
        <f>IFERROR(_xlfn.XLOOKUP($A68,'Full Plan'!$A:$A,'Full Plan'!$V:$V,""),"")</f>
        <v/>
      </c>
      <c r="M68" s="277" t="str">
        <f>IFERROR(_xlfn.XLOOKUP($A68,'Full Plan'!$A:$A,'Full Plan'!$O:$O,""),"")</f>
        <v/>
      </c>
      <c r="N68" s="275" t="str">
        <f>IFERROR(_xlfn.XLOOKUP($A68,'Full Plan'!$A:$A,'Full Plan'!$P:$P,""),"")</f>
        <v/>
      </c>
      <c r="O68" s="275" t="str">
        <f>IFERROR(_xlfn.XLOOKUP($A68,'Full Plan'!$A:$A,'Full Plan'!$Q:$Q,""),"")</f>
        <v/>
      </c>
      <c r="P68" s="275" t="str">
        <f>IFERROR(_xlfn.XLOOKUP($A68,'Full Plan'!$A:$A,'Full Plan'!$R:$R,""),"")</f>
        <v/>
      </c>
      <c r="Q68" s="287" t="str">
        <f>IFERROR(_xlfn.XLOOKUP($A68,'MW Removal &amp; Update'!$A:$A,'MW Removal &amp; Update'!$M:$M,""),"")</f>
        <v/>
      </c>
      <c r="R68" s="288" t="str">
        <f>IFERROR(_xlfn.XLOOKUP($A68,'Full Plan'!$A:$A,'Full Plan'!$K:$K,""),"")</f>
        <v/>
      </c>
      <c r="S68" s="207" t="str">
        <f>IF($A68="","",IF(COUNTIF($I68:$P68,"*Pending*")=0,"Ready","Waiting"))</f>
        <v/>
      </c>
      <c r="T68" s="288"/>
      <c r="U68" s="288"/>
    </row>
    <row r="69" spans="1:21">
      <c r="A69" s="211" t="str">
        <f>IFERROR(IF('Full Plan'!A69="","",'Full Plan'!A69),"")</f>
        <v/>
      </c>
      <c r="B69" s="211" t="str">
        <f>IFERROR(_xlfn.XLOOKUP($A69,'Full Plan'!$A:$A,'Full Plan'!$B:$B,""),"")</f>
        <v/>
      </c>
      <c r="C69" s="192" t="str">
        <f>IFERROR(_xlfn.XLOOKUP($A69,'Full Plan'!$A:$A,'Full Plan'!$E:$E,""),"")</f>
        <v/>
      </c>
      <c r="D69" s="279" t="str">
        <f>IFERROR(_xlfn.XLOOKUP($A69,'Full Plan'!$A:$A,'Full Plan'!$J:$J,""),"")</f>
        <v/>
      </c>
      <c r="E69" s="281" t="str">
        <f>IFERROR(_xlfn.XLOOKUP($A69,'Full Plan'!$A:$A,'Full Plan'!$F:$F,""),"")</f>
        <v/>
      </c>
      <c r="F69" s="188" t="str">
        <f>IFERROR(_xlfn.XLOOKUP($A69,'Full Plan'!$A:$A,'Full Plan'!$G:$G,""),"")</f>
        <v/>
      </c>
      <c r="G69" s="188" t="str">
        <f>IFERROR(_xlfn.XLOOKUP($A69,'Full Plan'!$A:$A,'Full Plan'!$I:$I,""),"")</f>
        <v/>
      </c>
      <c r="H69" s="192" t="str">
        <f>IFERROR(_xlfn.XLOOKUP($A69,'Full Plan'!$A:$A,'Full Plan'!$H:$H,""),"")</f>
        <v/>
      </c>
      <c r="I69" s="275" t="str">
        <f>IFERROR(_xlfn.XLOOKUP($A69,'Full Plan'!$A:$A,'Full Plan'!$N:$N,""),"")</f>
        <v/>
      </c>
      <c r="J69" s="212" t="str">
        <f>IFERROR(_xlfn.XLOOKUP($A69,'Full Plan'!$A:$A,'Full Plan'!$T:$T,""),"")</f>
        <v/>
      </c>
      <c r="K69" s="275" t="str">
        <f>IFERROR(_xlfn.XLOOKUP($A69,'Full Plan'!$A:$A,'Full Plan'!$U:$U,""),"")</f>
        <v/>
      </c>
      <c r="L69" s="275" t="str">
        <f>IFERROR(_xlfn.XLOOKUP($A69,'Full Plan'!$A:$A,'Full Plan'!$V:$V,""),"")</f>
        <v/>
      </c>
      <c r="M69" s="277" t="str">
        <f>IFERROR(_xlfn.XLOOKUP($A69,'Full Plan'!$A:$A,'Full Plan'!$O:$O,""),"")</f>
        <v/>
      </c>
      <c r="N69" s="275" t="str">
        <f>IFERROR(_xlfn.XLOOKUP($A69,'Full Plan'!$A:$A,'Full Plan'!$P:$P,""),"")</f>
        <v/>
      </c>
      <c r="O69" s="275" t="str">
        <f>IFERROR(_xlfn.XLOOKUP($A69,'Full Plan'!$A:$A,'Full Plan'!$Q:$Q,""),"")</f>
        <v/>
      </c>
      <c r="P69" s="275" t="str">
        <f>IFERROR(_xlfn.XLOOKUP($A69,'Full Plan'!$A:$A,'Full Plan'!$R:$R,""),"")</f>
        <v/>
      </c>
      <c r="Q69" s="287" t="str">
        <f>IFERROR(_xlfn.XLOOKUP($A69,'MW Removal &amp; Update'!$A:$A,'MW Removal &amp; Update'!$M:$M,""),"")</f>
        <v/>
      </c>
      <c r="R69" s="288" t="str">
        <f>IFERROR(_xlfn.XLOOKUP($A69,'Full Plan'!$A:$A,'Full Plan'!$K:$K,""),"")</f>
        <v/>
      </c>
      <c r="S69" s="207" t="str">
        <f>IF($A69="","",IF(COUNTIF($I69:$P69,"*Pending*")=0,"Ready","Waiting"))</f>
        <v/>
      </c>
      <c r="T69" s="288"/>
      <c r="U69" s="288"/>
    </row>
    <row r="70" spans="1:21">
      <c r="A70" s="211" t="str">
        <f>IFERROR(IF('Full Plan'!A70="","",'Full Plan'!A70),"")</f>
        <v/>
      </c>
      <c r="B70" s="211" t="str">
        <f>IFERROR(_xlfn.XLOOKUP($A70,'Full Plan'!$A:$A,'Full Plan'!$B:$B,""),"")</f>
        <v/>
      </c>
      <c r="C70" s="192" t="str">
        <f>IFERROR(_xlfn.XLOOKUP($A70,'Full Plan'!$A:$A,'Full Plan'!$E:$E,""),"")</f>
        <v/>
      </c>
      <c r="D70" s="279" t="str">
        <f>IFERROR(_xlfn.XLOOKUP($A70,'Full Plan'!$A:$A,'Full Plan'!$J:$J,""),"")</f>
        <v/>
      </c>
      <c r="E70" s="281" t="str">
        <f>IFERROR(_xlfn.XLOOKUP($A70,'Full Plan'!$A:$A,'Full Plan'!$F:$F,""),"")</f>
        <v/>
      </c>
      <c r="F70" s="188" t="str">
        <f>IFERROR(_xlfn.XLOOKUP($A70,'Full Plan'!$A:$A,'Full Plan'!$G:$G,""),"")</f>
        <v/>
      </c>
      <c r="G70" s="188" t="str">
        <f>IFERROR(_xlfn.XLOOKUP($A70,'Full Plan'!$A:$A,'Full Plan'!$I:$I,""),"")</f>
        <v/>
      </c>
      <c r="H70" s="192" t="str">
        <f>IFERROR(_xlfn.XLOOKUP($A70,'Full Plan'!$A:$A,'Full Plan'!$H:$H,""),"")</f>
        <v/>
      </c>
      <c r="I70" s="275" t="str">
        <f>IFERROR(_xlfn.XLOOKUP($A70,'Full Plan'!$A:$A,'Full Plan'!$N:$N,""),"")</f>
        <v/>
      </c>
      <c r="J70" s="212" t="str">
        <f>IFERROR(_xlfn.XLOOKUP($A70,'Full Plan'!$A:$A,'Full Plan'!$T:$T,""),"")</f>
        <v/>
      </c>
      <c r="K70" s="275" t="str">
        <f>IFERROR(_xlfn.XLOOKUP($A70,'Full Plan'!$A:$A,'Full Plan'!$U:$U,""),"")</f>
        <v/>
      </c>
      <c r="L70" s="275" t="str">
        <f>IFERROR(_xlfn.XLOOKUP($A70,'Full Plan'!$A:$A,'Full Plan'!$V:$V,""),"")</f>
        <v/>
      </c>
      <c r="M70" s="277" t="str">
        <f>IFERROR(_xlfn.XLOOKUP($A70,'Full Plan'!$A:$A,'Full Plan'!$O:$O,""),"")</f>
        <v/>
      </c>
      <c r="N70" s="275" t="str">
        <f>IFERROR(_xlfn.XLOOKUP($A70,'Full Plan'!$A:$A,'Full Plan'!$P:$P,""),"")</f>
        <v/>
      </c>
      <c r="O70" s="275" t="str">
        <f>IFERROR(_xlfn.XLOOKUP($A70,'Full Plan'!$A:$A,'Full Plan'!$Q:$Q,""),"")</f>
        <v/>
      </c>
      <c r="P70" s="275" t="str">
        <f>IFERROR(_xlfn.XLOOKUP($A70,'Full Plan'!$A:$A,'Full Plan'!$R:$R,""),"")</f>
        <v/>
      </c>
      <c r="Q70" s="287" t="str">
        <f>IFERROR(_xlfn.XLOOKUP($A70,'MW Removal &amp; Update'!$A:$A,'MW Removal &amp; Update'!$M:$M,""),"")</f>
        <v/>
      </c>
      <c r="R70" s="288" t="str">
        <f>IFERROR(_xlfn.XLOOKUP($A70,'Full Plan'!$A:$A,'Full Plan'!$K:$K,""),"")</f>
        <v/>
      </c>
      <c r="S70" s="207" t="str">
        <f>IF($A70="","",IF(COUNTIF($I70:$P70,"*Pending*")=0,"Ready","Waiting"))</f>
        <v/>
      </c>
      <c r="T70" s="288"/>
      <c r="U70" s="288"/>
    </row>
    <row r="71" spans="1:21">
      <c r="A71" s="211" t="str">
        <f>IFERROR(IF('Full Plan'!A71="","",'Full Plan'!A71),"")</f>
        <v/>
      </c>
      <c r="B71" s="211" t="str">
        <f>IFERROR(_xlfn.XLOOKUP($A71,'Full Plan'!$A:$A,'Full Plan'!$B:$B,""),"")</f>
        <v/>
      </c>
      <c r="C71" s="192" t="str">
        <f>IFERROR(_xlfn.XLOOKUP($A71,'Full Plan'!$A:$A,'Full Plan'!$E:$E,""),"")</f>
        <v/>
      </c>
      <c r="D71" s="279" t="str">
        <f>IFERROR(_xlfn.XLOOKUP($A71,'Full Plan'!$A:$A,'Full Plan'!$J:$J,""),"")</f>
        <v/>
      </c>
      <c r="E71" s="281" t="str">
        <f>IFERROR(_xlfn.XLOOKUP($A71,'Full Plan'!$A:$A,'Full Plan'!$F:$F,""),"")</f>
        <v/>
      </c>
      <c r="F71" s="188" t="str">
        <f>IFERROR(_xlfn.XLOOKUP($A71,'Full Plan'!$A:$A,'Full Plan'!$G:$G,""),"")</f>
        <v/>
      </c>
      <c r="G71" s="188" t="str">
        <f>IFERROR(_xlfn.XLOOKUP($A71,'Full Plan'!$A:$A,'Full Plan'!$I:$I,""),"")</f>
        <v/>
      </c>
      <c r="H71" s="192" t="str">
        <f>IFERROR(_xlfn.XLOOKUP($A71,'Full Plan'!$A:$A,'Full Plan'!$H:$H,""),"")</f>
        <v/>
      </c>
      <c r="I71" s="275" t="str">
        <f>IFERROR(_xlfn.XLOOKUP($A71,'Full Plan'!$A:$A,'Full Plan'!$N:$N,""),"")</f>
        <v/>
      </c>
      <c r="J71" s="212" t="str">
        <f>IFERROR(_xlfn.XLOOKUP($A71,'Full Plan'!$A:$A,'Full Plan'!$T:$T,""),"")</f>
        <v/>
      </c>
      <c r="K71" s="275" t="str">
        <f>IFERROR(_xlfn.XLOOKUP($A71,'Full Plan'!$A:$A,'Full Plan'!$U:$U,""),"")</f>
        <v/>
      </c>
      <c r="L71" s="275" t="str">
        <f>IFERROR(_xlfn.XLOOKUP($A71,'Full Plan'!$A:$A,'Full Plan'!$V:$V,""),"")</f>
        <v/>
      </c>
      <c r="M71" s="277" t="str">
        <f>IFERROR(_xlfn.XLOOKUP($A71,'Full Plan'!$A:$A,'Full Plan'!$O:$O,""),"")</f>
        <v/>
      </c>
      <c r="N71" s="275" t="str">
        <f>IFERROR(_xlfn.XLOOKUP($A71,'Full Plan'!$A:$A,'Full Plan'!$P:$P,""),"")</f>
        <v/>
      </c>
      <c r="O71" s="275" t="str">
        <f>IFERROR(_xlfn.XLOOKUP($A71,'Full Plan'!$A:$A,'Full Plan'!$Q:$Q,""),"")</f>
        <v/>
      </c>
      <c r="P71" s="275" t="str">
        <f>IFERROR(_xlfn.XLOOKUP($A71,'Full Plan'!$A:$A,'Full Plan'!$R:$R,""),"")</f>
        <v/>
      </c>
      <c r="Q71" s="287" t="str">
        <f>IFERROR(_xlfn.XLOOKUP($A71,'MW Removal &amp; Update'!$A:$A,'MW Removal &amp; Update'!$M:$M,""),"")</f>
        <v/>
      </c>
      <c r="R71" s="288" t="str">
        <f>IFERROR(_xlfn.XLOOKUP($A71,'Full Plan'!$A:$A,'Full Plan'!$K:$K,""),"")</f>
        <v/>
      </c>
      <c r="S71" s="207" t="str">
        <f>IF($A71="","",IF(COUNTIF($I71:$P71,"*Pending*")=0,"Ready","Waiting"))</f>
        <v/>
      </c>
      <c r="T71" s="288"/>
      <c r="U71" s="288"/>
    </row>
    <row r="72" spans="1:21">
      <c r="A72" s="211" t="str">
        <f>IFERROR(IF('Full Plan'!A72="","",'Full Plan'!A72),"")</f>
        <v/>
      </c>
      <c r="B72" s="211" t="str">
        <f>IFERROR(_xlfn.XLOOKUP($A72,'Full Plan'!$A:$A,'Full Plan'!$B:$B,""),"")</f>
        <v/>
      </c>
      <c r="C72" s="192" t="str">
        <f>IFERROR(_xlfn.XLOOKUP($A72,'Full Plan'!$A:$A,'Full Plan'!$E:$E,""),"")</f>
        <v/>
      </c>
      <c r="D72" s="279" t="str">
        <f>IFERROR(_xlfn.XLOOKUP($A72,'Full Plan'!$A:$A,'Full Plan'!$J:$J,""),"")</f>
        <v/>
      </c>
      <c r="E72" s="281" t="str">
        <f>IFERROR(_xlfn.XLOOKUP($A72,'Full Plan'!$A:$A,'Full Plan'!$F:$F,""),"")</f>
        <v/>
      </c>
      <c r="F72" s="188" t="str">
        <f>IFERROR(_xlfn.XLOOKUP($A72,'Full Plan'!$A:$A,'Full Plan'!$G:$G,""),"")</f>
        <v/>
      </c>
      <c r="G72" s="188" t="str">
        <f>IFERROR(_xlfn.XLOOKUP($A72,'Full Plan'!$A:$A,'Full Plan'!$I:$I,""),"")</f>
        <v/>
      </c>
      <c r="H72" s="192" t="str">
        <f>IFERROR(_xlfn.XLOOKUP($A72,'Full Plan'!$A:$A,'Full Plan'!$H:$H,""),"")</f>
        <v/>
      </c>
      <c r="I72" s="275" t="str">
        <f>IFERROR(_xlfn.XLOOKUP($A72,'Full Plan'!$A:$A,'Full Plan'!$N:$N,""),"")</f>
        <v/>
      </c>
      <c r="J72" s="212" t="str">
        <f>IFERROR(_xlfn.XLOOKUP($A72,'Full Plan'!$A:$A,'Full Plan'!$T:$T,""),"")</f>
        <v/>
      </c>
      <c r="K72" s="275" t="str">
        <f>IFERROR(_xlfn.XLOOKUP($A72,'Full Plan'!$A:$A,'Full Plan'!$U:$U,""),"")</f>
        <v/>
      </c>
      <c r="L72" s="275" t="str">
        <f>IFERROR(_xlfn.XLOOKUP($A72,'Full Plan'!$A:$A,'Full Plan'!$V:$V,""),"")</f>
        <v/>
      </c>
      <c r="M72" s="277" t="str">
        <f>IFERROR(_xlfn.XLOOKUP($A72,'Full Plan'!$A:$A,'Full Plan'!$O:$O,""),"")</f>
        <v/>
      </c>
      <c r="N72" s="275" t="str">
        <f>IFERROR(_xlfn.XLOOKUP($A72,'Full Plan'!$A:$A,'Full Plan'!$P:$P,""),"")</f>
        <v/>
      </c>
      <c r="O72" s="275" t="str">
        <f>IFERROR(_xlfn.XLOOKUP($A72,'Full Plan'!$A:$A,'Full Plan'!$Q:$Q,""),"")</f>
        <v/>
      </c>
      <c r="P72" s="275" t="str">
        <f>IFERROR(_xlfn.XLOOKUP($A72,'Full Plan'!$A:$A,'Full Plan'!$R:$R,""),"")</f>
        <v/>
      </c>
      <c r="Q72" s="287" t="str">
        <f>IFERROR(_xlfn.XLOOKUP($A72,'MW Removal &amp; Update'!$A:$A,'MW Removal &amp; Update'!$M:$M,""),"")</f>
        <v/>
      </c>
      <c r="R72" s="288" t="str">
        <f>IFERROR(_xlfn.XLOOKUP($A72,'Full Plan'!$A:$A,'Full Plan'!$K:$K,""),"")</f>
        <v/>
      </c>
      <c r="S72" s="207" t="str">
        <f>IF($A72="","",IF(COUNTIF($I72:$P72,"*Pending*")=0,"Ready","Waiting"))</f>
        <v/>
      </c>
      <c r="T72" s="288"/>
      <c r="U72" s="288"/>
    </row>
    <row r="73" spans="1:21">
      <c r="A73" s="211" t="str">
        <f>IFERROR(IF('Full Plan'!A73="","",'Full Plan'!A73),"")</f>
        <v/>
      </c>
      <c r="B73" s="211" t="str">
        <f>IFERROR(_xlfn.XLOOKUP($A73,'Full Plan'!$A:$A,'Full Plan'!$B:$B,""),"")</f>
        <v/>
      </c>
      <c r="C73" s="192" t="str">
        <f>IFERROR(_xlfn.XLOOKUP($A73,'Full Plan'!$A:$A,'Full Plan'!$E:$E,""),"")</f>
        <v/>
      </c>
      <c r="D73" s="279" t="str">
        <f>IFERROR(_xlfn.XLOOKUP($A73,'Full Plan'!$A:$A,'Full Plan'!$J:$J,""),"")</f>
        <v/>
      </c>
      <c r="E73" s="281" t="str">
        <f>IFERROR(_xlfn.XLOOKUP($A73,'Full Plan'!$A:$A,'Full Plan'!$F:$F,""),"")</f>
        <v/>
      </c>
      <c r="F73" s="188" t="str">
        <f>IFERROR(_xlfn.XLOOKUP($A73,'Full Plan'!$A:$A,'Full Plan'!$G:$G,""),"")</f>
        <v/>
      </c>
      <c r="G73" s="188" t="str">
        <f>IFERROR(_xlfn.XLOOKUP($A73,'Full Plan'!$A:$A,'Full Plan'!$I:$I,""),"")</f>
        <v/>
      </c>
      <c r="H73" s="192" t="str">
        <f>IFERROR(_xlfn.XLOOKUP($A73,'Full Plan'!$A:$A,'Full Plan'!$H:$H,""),"")</f>
        <v/>
      </c>
      <c r="I73" s="275" t="str">
        <f>IFERROR(_xlfn.XLOOKUP($A73,'Full Plan'!$A:$A,'Full Plan'!$N:$N,""),"")</f>
        <v/>
      </c>
      <c r="J73" s="212" t="str">
        <f>IFERROR(_xlfn.XLOOKUP($A73,'Full Plan'!$A:$A,'Full Plan'!$T:$T,""),"")</f>
        <v/>
      </c>
      <c r="K73" s="275" t="str">
        <f>IFERROR(_xlfn.XLOOKUP($A73,'Full Plan'!$A:$A,'Full Plan'!$U:$U,""),"")</f>
        <v/>
      </c>
      <c r="L73" s="275" t="str">
        <f>IFERROR(_xlfn.XLOOKUP($A73,'Full Plan'!$A:$A,'Full Plan'!$V:$V,""),"")</f>
        <v/>
      </c>
      <c r="M73" s="277" t="str">
        <f>IFERROR(_xlfn.XLOOKUP($A73,'Full Plan'!$A:$A,'Full Plan'!$O:$O,""),"")</f>
        <v/>
      </c>
      <c r="N73" s="275" t="str">
        <f>IFERROR(_xlfn.XLOOKUP($A73,'Full Plan'!$A:$A,'Full Plan'!$P:$P,""),"")</f>
        <v/>
      </c>
      <c r="O73" s="275" t="str">
        <f>IFERROR(_xlfn.XLOOKUP($A73,'Full Plan'!$A:$A,'Full Plan'!$Q:$Q,""),"")</f>
        <v/>
      </c>
      <c r="P73" s="275" t="str">
        <f>IFERROR(_xlfn.XLOOKUP($A73,'Full Plan'!$A:$A,'Full Plan'!$R:$R,""),"")</f>
        <v/>
      </c>
      <c r="Q73" s="287" t="str">
        <f>IFERROR(_xlfn.XLOOKUP($A73,'MW Removal &amp; Update'!$A:$A,'MW Removal &amp; Update'!$M:$M,""),"")</f>
        <v/>
      </c>
      <c r="R73" s="288" t="str">
        <f>IFERROR(_xlfn.XLOOKUP($A73,'Full Plan'!$A:$A,'Full Plan'!$K:$K,""),"")</f>
        <v/>
      </c>
      <c r="S73" s="207" t="str">
        <f>IF($A73="","",IF(COUNTIF($I73:$P73,"*Pending*")=0,"Ready","Waiting"))</f>
        <v/>
      </c>
      <c r="T73" s="288"/>
      <c r="U73" s="288"/>
    </row>
    <row r="74" spans="1:21">
      <c r="A74" s="211" t="str">
        <f>IFERROR(IF('Full Plan'!A74="","",'Full Plan'!A74),"")</f>
        <v/>
      </c>
      <c r="B74" s="211" t="str">
        <f>IFERROR(_xlfn.XLOOKUP($A74,'Full Plan'!$A:$A,'Full Plan'!$B:$B,""),"")</f>
        <v/>
      </c>
      <c r="C74" s="192" t="str">
        <f>IFERROR(_xlfn.XLOOKUP($A74,'Full Plan'!$A:$A,'Full Plan'!$E:$E,""),"")</f>
        <v/>
      </c>
      <c r="D74" s="279" t="str">
        <f>IFERROR(_xlfn.XLOOKUP($A74,'Full Plan'!$A:$A,'Full Plan'!$J:$J,""),"")</f>
        <v/>
      </c>
      <c r="E74" s="281" t="str">
        <f>IFERROR(_xlfn.XLOOKUP($A74,'Full Plan'!$A:$A,'Full Plan'!$F:$F,""),"")</f>
        <v/>
      </c>
      <c r="F74" s="188" t="str">
        <f>IFERROR(_xlfn.XLOOKUP($A74,'Full Plan'!$A:$A,'Full Plan'!$G:$G,""),"")</f>
        <v/>
      </c>
      <c r="G74" s="188" t="str">
        <f>IFERROR(_xlfn.XLOOKUP($A74,'Full Plan'!$A:$A,'Full Plan'!$I:$I,""),"")</f>
        <v/>
      </c>
      <c r="H74" s="192" t="str">
        <f>IFERROR(_xlfn.XLOOKUP($A74,'Full Plan'!$A:$A,'Full Plan'!$H:$H,""),"")</f>
        <v/>
      </c>
      <c r="I74" s="275" t="str">
        <f>IFERROR(_xlfn.XLOOKUP($A74,'Full Plan'!$A:$A,'Full Plan'!$N:$N,""),"")</f>
        <v/>
      </c>
      <c r="J74" s="212" t="str">
        <f>IFERROR(_xlfn.XLOOKUP($A74,'Full Plan'!$A:$A,'Full Plan'!$T:$T,""),"")</f>
        <v/>
      </c>
      <c r="K74" s="275" t="str">
        <f>IFERROR(_xlfn.XLOOKUP($A74,'Full Plan'!$A:$A,'Full Plan'!$U:$U,""),"")</f>
        <v/>
      </c>
      <c r="L74" s="275" t="str">
        <f>IFERROR(_xlfn.XLOOKUP($A74,'Full Plan'!$A:$A,'Full Plan'!$V:$V,""),"")</f>
        <v/>
      </c>
      <c r="M74" s="277" t="str">
        <f>IFERROR(_xlfn.XLOOKUP($A74,'Full Plan'!$A:$A,'Full Plan'!$O:$O,""),"")</f>
        <v/>
      </c>
      <c r="N74" s="275" t="str">
        <f>IFERROR(_xlfn.XLOOKUP($A74,'Full Plan'!$A:$A,'Full Plan'!$P:$P,""),"")</f>
        <v/>
      </c>
      <c r="O74" s="275" t="str">
        <f>IFERROR(_xlfn.XLOOKUP($A74,'Full Plan'!$A:$A,'Full Plan'!$Q:$Q,""),"")</f>
        <v/>
      </c>
      <c r="P74" s="275" t="str">
        <f>IFERROR(_xlfn.XLOOKUP($A74,'Full Plan'!$A:$A,'Full Plan'!$R:$R,""),"")</f>
        <v/>
      </c>
      <c r="Q74" s="287" t="str">
        <f>IFERROR(_xlfn.XLOOKUP($A74,'MW Removal &amp; Update'!$A:$A,'MW Removal &amp; Update'!$M:$M,""),"")</f>
        <v/>
      </c>
      <c r="R74" s="288" t="str">
        <f>IFERROR(_xlfn.XLOOKUP($A74,'Full Plan'!$A:$A,'Full Plan'!$K:$K,""),"")</f>
        <v/>
      </c>
      <c r="S74" s="207" t="str">
        <f>IF($A74="","",IF(COUNTIF($I74:$P74,"*Pending*")=0,"Ready","Waiting"))</f>
        <v/>
      </c>
      <c r="T74" s="288"/>
      <c r="U74" s="288"/>
    </row>
    <row r="75" spans="1:21">
      <c r="A75" s="211" t="str">
        <f>IFERROR(IF('Full Plan'!A75="","",'Full Plan'!A75),"")</f>
        <v/>
      </c>
      <c r="B75" s="211" t="str">
        <f>IFERROR(_xlfn.XLOOKUP($A75,'Full Plan'!$A:$A,'Full Plan'!$B:$B,""),"")</f>
        <v/>
      </c>
      <c r="C75" s="192" t="str">
        <f>IFERROR(_xlfn.XLOOKUP($A75,'Full Plan'!$A:$A,'Full Plan'!$E:$E,""),"")</f>
        <v/>
      </c>
      <c r="D75" s="279" t="str">
        <f>IFERROR(_xlfn.XLOOKUP($A75,'Full Plan'!$A:$A,'Full Plan'!$J:$J,""),"")</f>
        <v/>
      </c>
      <c r="E75" s="281" t="str">
        <f>IFERROR(_xlfn.XLOOKUP($A75,'Full Plan'!$A:$A,'Full Plan'!$F:$F,""),"")</f>
        <v/>
      </c>
      <c r="F75" s="188" t="str">
        <f>IFERROR(_xlfn.XLOOKUP($A75,'Full Plan'!$A:$A,'Full Plan'!$G:$G,""),"")</f>
        <v/>
      </c>
      <c r="G75" s="188" t="str">
        <f>IFERROR(_xlfn.XLOOKUP($A75,'Full Plan'!$A:$A,'Full Plan'!$I:$I,""),"")</f>
        <v/>
      </c>
      <c r="H75" s="192" t="str">
        <f>IFERROR(_xlfn.XLOOKUP($A75,'Full Plan'!$A:$A,'Full Plan'!$H:$H,""),"")</f>
        <v/>
      </c>
      <c r="I75" s="275" t="str">
        <f>IFERROR(_xlfn.XLOOKUP($A75,'Full Plan'!$A:$A,'Full Plan'!$N:$N,""),"")</f>
        <v/>
      </c>
      <c r="J75" s="212" t="str">
        <f>IFERROR(_xlfn.XLOOKUP($A75,'Full Plan'!$A:$A,'Full Plan'!$T:$T,""),"")</f>
        <v/>
      </c>
      <c r="K75" s="275" t="str">
        <f>IFERROR(_xlfn.XLOOKUP($A75,'Full Plan'!$A:$A,'Full Plan'!$U:$U,""),"")</f>
        <v/>
      </c>
      <c r="L75" s="275" t="str">
        <f>IFERROR(_xlfn.XLOOKUP($A75,'Full Plan'!$A:$A,'Full Plan'!$V:$V,""),"")</f>
        <v/>
      </c>
      <c r="M75" s="277" t="str">
        <f>IFERROR(_xlfn.XLOOKUP($A75,'Full Plan'!$A:$A,'Full Plan'!$O:$O,""),"")</f>
        <v/>
      </c>
      <c r="N75" s="275" t="str">
        <f>IFERROR(_xlfn.XLOOKUP($A75,'Full Plan'!$A:$A,'Full Plan'!$P:$P,""),"")</f>
        <v/>
      </c>
      <c r="O75" s="275" t="str">
        <f>IFERROR(_xlfn.XLOOKUP($A75,'Full Plan'!$A:$A,'Full Plan'!$Q:$Q,""),"")</f>
        <v/>
      </c>
      <c r="P75" s="275" t="str">
        <f>IFERROR(_xlfn.XLOOKUP($A75,'Full Plan'!$A:$A,'Full Plan'!$R:$R,""),"")</f>
        <v/>
      </c>
      <c r="Q75" s="287" t="str">
        <f>IFERROR(_xlfn.XLOOKUP($A75,'MW Removal &amp; Update'!$A:$A,'MW Removal &amp; Update'!$M:$M,""),"")</f>
        <v/>
      </c>
      <c r="R75" s="288" t="str">
        <f>IFERROR(_xlfn.XLOOKUP($A75,'Full Plan'!$A:$A,'Full Plan'!$K:$K,""),"")</f>
        <v/>
      </c>
      <c r="S75" s="207" t="str">
        <f>IF($A75="","",IF(COUNTIF($I75:$P75,"*Pending*")=0,"Ready","Waiting"))</f>
        <v/>
      </c>
      <c r="T75" s="288"/>
      <c r="U75" s="288"/>
    </row>
    <row r="76" spans="1:21">
      <c r="A76" s="211" t="str">
        <f>IFERROR(IF('Full Plan'!A76="","",'Full Plan'!A76),"")</f>
        <v/>
      </c>
      <c r="B76" s="211" t="str">
        <f>IFERROR(_xlfn.XLOOKUP($A76,'Full Plan'!$A:$A,'Full Plan'!$B:$B,""),"")</f>
        <v/>
      </c>
      <c r="C76" s="192" t="str">
        <f>IFERROR(_xlfn.XLOOKUP($A76,'Full Plan'!$A:$A,'Full Plan'!$E:$E,""),"")</f>
        <v/>
      </c>
      <c r="D76" s="279" t="str">
        <f>IFERROR(_xlfn.XLOOKUP($A76,'Full Plan'!$A:$A,'Full Plan'!$J:$J,""),"")</f>
        <v/>
      </c>
      <c r="E76" s="281" t="str">
        <f>IFERROR(_xlfn.XLOOKUP($A76,'Full Plan'!$A:$A,'Full Plan'!$F:$F,""),"")</f>
        <v/>
      </c>
      <c r="F76" s="188" t="str">
        <f>IFERROR(_xlfn.XLOOKUP($A76,'Full Plan'!$A:$A,'Full Plan'!$G:$G,""),"")</f>
        <v/>
      </c>
      <c r="G76" s="188" t="str">
        <f>IFERROR(_xlfn.XLOOKUP($A76,'Full Plan'!$A:$A,'Full Plan'!$I:$I,""),"")</f>
        <v/>
      </c>
      <c r="H76" s="192" t="str">
        <f>IFERROR(_xlfn.XLOOKUP($A76,'Full Plan'!$A:$A,'Full Plan'!$H:$H,""),"")</f>
        <v/>
      </c>
      <c r="I76" s="275" t="str">
        <f>IFERROR(_xlfn.XLOOKUP($A76,'Full Plan'!$A:$A,'Full Plan'!$N:$N,""),"")</f>
        <v/>
      </c>
      <c r="J76" s="212" t="str">
        <f>IFERROR(_xlfn.XLOOKUP($A76,'Full Plan'!$A:$A,'Full Plan'!$T:$T,""),"")</f>
        <v/>
      </c>
      <c r="K76" s="275" t="str">
        <f>IFERROR(_xlfn.XLOOKUP($A76,'Full Plan'!$A:$A,'Full Plan'!$U:$U,""),"")</f>
        <v/>
      </c>
      <c r="L76" s="275" t="str">
        <f>IFERROR(_xlfn.XLOOKUP($A76,'Full Plan'!$A:$A,'Full Plan'!$V:$V,""),"")</f>
        <v/>
      </c>
      <c r="M76" s="277" t="str">
        <f>IFERROR(_xlfn.XLOOKUP($A76,'Full Plan'!$A:$A,'Full Plan'!$O:$O,""),"")</f>
        <v/>
      </c>
      <c r="N76" s="275" t="str">
        <f>IFERROR(_xlfn.XLOOKUP($A76,'Full Plan'!$A:$A,'Full Plan'!$P:$P,""),"")</f>
        <v/>
      </c>
      <c r="O76" s="275" t="str">
        <f>IFERROR(_xlfn.XLOOKUP($A76,'Full Plan'!$A:$A,'Full Plan'!$Q:$Q,""),"")</f>
        <v/>
      </c>
      <c r="P76" s="275" t="str">
        <f>IFERROR(_xlfn.XLOOKUP($A76,'Full Plan'!$A:$A,'Full Plan'!$R:$R,""),"")</f>
        <v/>
      </c>
      <c r="Q76" s="287" t="str">
        <f>IFERROR(_xlfn.XLOOKUP($A76,'MW Removal &amp; Update'!$A:$A,'MW Removal &amp; Update'!$M:$M,""),"")</f>
        <v/>
      </c>
      <c r="R76" s="288" t="str">
        <f>IFERROR(_xlfn.XLOOKUP($A76,'Full Plan'!$A:$A,'Full Plan'!$K:$K,""),"")</f>
        <v/>
      </c>
      <c r="S76" s="207" t="str">
        <f>IF($A76="","",IF(COUNTIF($I76:$P76,"*Pending*")=0,"Ready","Waiting"))</f>
        <v/>
      </c>
      <c r="T76" s="288"/>
      <c r="U76" s="288"/>
    </row>
    <row r="77" spans="1:21">
      <c r="A77" s="211" t="str">
        <f>IFERROR(IF('Full Plan'!A77="","",'Full Plan'!A77),"")</f>
        <v/>
      </c>
      <c r="B77" s="211" t="str">
        <f>IFERROR(_xlfn.XLOOKUP($A77,'Full Plan'!$A:$A,'Full Plan'!$B:$B,""),"")</f>
        <v/>
      </c>
      <c r="C77" s="192" t="str">
        <f>IFERROR(_xlfn.XLOOKUP($A77,'Full Plan'!$A:$A,'Full Plan'!$E:$E,""),"")</f>
        <v/>
      </c>
      <c r="D77" s="279" t="str">
        <f>IFERROR(_xlfn.XLOOKUP($A77,'Full Plan'!$A:$A,'Full Plan'!$J:$J,""),"")</f>
        <v/>
      </c>
      <c r="E77" s="281" t="str">
        <f>IFERROR(_xlfn.XLOOKUP($A77,'Full Plan'!$A:$A,'Full Plan'!$F:$F,""),"")</f>
        <v/>
      </c>
      <c r="F77" s="188" t="str">
        <f>IFERROR(_xlfn.XLOOKUP($A77,'Full Plan'!$A:$A,'Full Plan'!$G:$G,""),"")</f>
        <v/>
      </c>
      <c r="G77" s="188" t="str">
        <f>IFERROR(_xlfn.XLOOKUP($A77,'Full Plan'!$A:$A,'Full Plan'!$I:$I,""),"")</f>
        <v/>
      </c>
      <c r="H77" s="192" t="str">
        <f>IFERROR(_xlfn.XLOOKUP($A77,'Full Plan'!$A:$A,'Full Plan'!$H:$H,""),"")</f>
        <v/>
      </c>
      <c r="I77" s="275" t="str">
        <f>IFERROR(_xlfn.XLOOKUP($A77,'Full Plan'!$A:$A,'Full Plan'!$N:$N,""),"")</f>
        <v/>
      </c>
      <c r="J77" s="212" t="str">
        <f>IFERROR(_xlfn.XLOOKUP($A77,'Full Plan'!$A:$A,'Full Plan'!$T:$T,""),"")</f>
        <v/>
      </c>
      <c r="K77" s="275" t="str">
        <f>IFERROR(_xlfn.XLOOKUP($A77,'Full Plan'!$A:$A,'Full Plan'!$U:$U,""),"")</f>
        <v/>
      </c>
      <c r="L77" s="275" t="str">
        <f>IFERROR(_xlfn.XLOOKUP($A77,'Full Plan'!$A:$A,'Full Plan'!$V:$V,""),"")</f>
        <v/>
      </c>
      <c r="M77" s="277" t="str">
        <f>IFERROR(_xlfn.XLOOKUP($A77,'Full Plan'!$A:$A,'Full Plan'!$O:$O,""),"")</f>
        <v/>
      </c>
      <c r="N77" s="275" t="str">
        <f>IFERROR(_xlfn.XLOOKUP($A77,'Full Plan'!$A:$A,'Full Plan'!$P:$P,""),"")</f>
        <v/>
      </c>
      <c r="O77" s="275" t="str">
        <f>IFERROR(_xlfn.XLOOKUP($A77,'Full Plan'!$A:$A,'Full Plan'!$Q:$Q,""),"")</f>
        <v/>
      </c>
      <c r="P77" s="275" t="str">
        <f>IFERROR(_xlfn.XLOOKUP($A77,'Full Plan'!$A:$A,'Full Plan'!$R:$R,""),"")</f>
        <v/>
      </c>
      <c r="Q77" s="287" t="str">
        <f>IFERROR(_xlfn.XLOOKUP($A77,'MW Removal &amp; Update'!$A:$A,'MW Removal &amp; Update'!$M:$M,""),"")</f>
        <v/>
      </c>
      <c r="R77" s="288" t="str">
        <f>IFERROR(_xlfn.XLOOKUP($A77,'Full Plan'!$A:$A,'Full Plan'!$K:$K,""),"")</f>
        <v/>
      </c>
      <c r="S77" s="207" t="str">
        <f>IF($A77="","",IF(COUNTIF($I77:$P77,"*Pending*")=0,"Ready","Waiting"))</f>
        <v/>
      </c>
      <c r="T77" s="288"/>
      <c r="U77" s="288"/>
    </row>
    <row r="78" spans="1:21">
      <c r="A78" s="211" t="str">
        <f>IFERROR(IF('Full Plan'!A78="","",'Full Plan'!A78),"")</f>
        <v/>
      </c>
      <c r="B78" s="211" t="str">
        <f>IFERROR(_xlfn.XLOOKUP($A78,'Full Plan'!$A:$A,'Full Plan'!$B:$B,""),"")</f>
        <v/>
      </c>
      <c r="C78" s="192" t="str">
        <f>IFERROR(_xlfn.XLOOKUP($A78,'Full Plan'!$A:$A,'Full Plan'!$E:$E,""),"")</f>
        <v/>
      </c>
      <c r="D78" s="279" t="str">
        <f>IFERROR(_xlfn.XLOOKUP($A78,'Full Plan'!$A:$A,'Full Plan'!$J:$J,""),"")</f>
        <v/>
      </c>
      <c r="E78" s="281" t="str">
        <f>IFERROR(_xlfn.XLOOKUP($A78,'Full Plan'!$A:$A,'Full Plan'!$F:$F,""),"")</f>
        <v/>
      </c>
      <c r="F78" s="188" t="str">
        <f>IFERROR(_xlfn.XLOOKUP($A78,'Full Plan'!$A:$A,'Full Plan'!$G:$G,""),"")</f>
        <v/>
      </c>
      <c r="G78" s="188" t="str">
        <f>IFERROR(_xlfn.XLOOKUP($A78,'Full Plan'!$A:$A,'Full Plan'!$I:$I,""),"")</f>
        <v/>
      </c>
      <c r="H78" s="192" t="str">
        <f>IFERROR(_xlfn.XLOOKUP($A78,'Full Plan'!$A:$A,'Full Plan'!$H:$H,""),"")</f>
        <v/>
      </c>
      <c r="I78" s="275" t="str">
        <f>IFERROR(_xlfn.XLOOKUP($A78,'Full Plan'!$A:$A,'Full Plan'!$N:$N,""),"")</f>
        <v/>
      </c>
      <c r="J78" s="212" t="str">
        <f>IFERROR(_xlfn.XLOOKUP($A78,'Full Plan'!$A:$A,'Full Plan'!$T:$T,""),"")</f>
        <v/>
      </c>
      <c r="K78" s="275" t="str">
        <f>IFERROR(_xlfn.XLOOKUP($A78,'Full Plan'!$A:$A,'Full Plan'!$U:$U,""),"")</f>
        <v/>
      </c>
      <c r="L78" s="275" t="str">
        <f>IFERROR(_xlfn.XLOOKUP($A78,'Full Plan'!$A:$A,'Full Plan'!$V:$V,""),"")</f>
        <v/>
      </c>
      <c r="M78" s="277" t="str">
        <f>IFERROR(_xlfn.XLOOKUP($A78,'Full Plan'!$A:$A,'Full Plan'!$O:$O,""),"")</f>
        <v/>
      </c>
      <c r="N78" s="275" t="str">
        <f>IFERROR(_xlfn.XLOOKUP($A78,'Full Plan'!$A:$A,'Full Plan'!$P:$P,""),"")</f>
        <v/>
      </c>
      <c r="O78" s="275" t="str">
        <f>IFERROR(_xlfn.XLOOKUP($A78,'Full Plan'!$A:$A,'Full Plan'!$Q:$Q,""),"")</f>
        <v/>
      </c>
      <c r="P78" s="275" t="str">
        <f>IFERROR(_xlfn.XLOOKUP($A78,'Full Plan'!$A:$A,'Full Plan'!$R:$R,""),"")</f>
        <v/>
      </c>
      <c r="Q78" s="287" t="str">
        <f>IFERROR(_xlfn.XLOOKUP($A78,'MW Removal &amp; Update'!$A:$A,'MW Removal &amp; Update'!$M:$M,""),"")</f>
        <v/>
      </c>
      <c r="R78" s="288" t="str">
        <f>IFERROR(_xlfn.XLOOKUP($A78,'Full Plan'!$A:$A,'Full Plan'!$K:$K,""),"")</f>
        <v/>
      </c>
      <c r="S78" s="207" t="str">
        <f>IF($A78="","",IF(COUNTIF($I78:$P78,"*Pending*")=0,"Ready","Waiting"))</f>
        <v/>
      </c>
      <c r="T78" s="288"/>
      <c r="U78" s="288"/>
    </row>
    <row r="79" spans="1:21">
      <c r="A79" s="211" t="str">
        <f>IFERROR(IF('Full Plan'!A79="","",'Full Plan'!A79),"")</f>
        <v/>
      </c>
      <c r="B79" s="211" t="str">
        <f>IFERROR(_xlfn.XLOOKUP($A79,'Full Plan'!$A:$A,'Full Plan'!$B:$B,""),"")</f>
        <v/>
      </c>
      <c r="C79" s="192" t="str">
        <f>IFERROR(_xlfn.XLOOKUP($A79,'Full Plan'!$A:$A,'Full Plan'!$E:$E,""),"")</f>
        <v/>
      </c>
      <c r="D79" s="279" t="str">
        <f>IFERROR(_xlfn.XLOOKUP($A79,'Full Plan'!$A:$A,'Full Plan'!$J:$J,""),"")</f>
        <v/>
      </c>
      <c r="E79" s="281" t="str">
        <f>IFERROR(_xlfn.XLOOKUP($A79,'Full Plan'!$A:$A,'Full Plan'!$F:$F,""),"")</f>
        <v/>
      </c>
      <c r="F79" s="188" t="str">
        <f>IFERROR(_xlfn.XLOOKUP($A79,'Full Plan'!$A:$A,'Full Plan'!$G:$G,""),"")</f>
        <v/>
      </c>
      <c r="G79" s="188" t="str">
        <f>IFERROR(_xlfn.XLOOKUP($A79,'Full Plan'!$A:$A,'Full Plan'!$I:$I,""),"")</f>
        <v/>
      </c>
      <c r="H79" s="192" t="str">
        <f>IFERROR(_xlfn.XLOOKUP($A79,'Full Plan'!$A:$A,'Full Plan'!$H:$H,""),"")</f>
        <v/>
      </c>
      <c r="I79" s="275" t="str">
        <f>IFERROR(_xlfn.XLOOKUP($A79,'Full Plan'!$A:$A,'Full Plan'!$N:$N,""),"")</f>
        <v/>
      </c>
      <c r="J79" s="212" t="str">
        <f>IFERROR(_xlfn.XLOOKUP($A79,'Full Plan'!$A:$A,'Full Plan'!$T:$T,""),"")</f>
        <v/>
      </c>
      <c r="K79" s="275" t="str">
        <f>IFERROR(_xlfn.XLOOKUP($A79,'Full Plan'!$A:$A,'Full Plan'!$U:$U,""),"")</f>
        <v/>
      </c>
      <c r="L79" s="275" t="str">
        <f>IFERROR(_xlfn.XLOOKUP($A79,'Full Plan'!$A:$A,'Full Plan'!$V:$V,""),"")</f>
        <v/>
      </c>
      <c r="M79" s="277" t="str">
        <f>IFERROR(_xlfn.XLOOKUP($A79,'Full Plan'!$A:$A,'Full Plan'!$O:$O,""),"")</f>
        <v/>
      </c>
      <c r="N79" s="275" t="str">
        <f>IFERROR(_xlfn.XLOOKUP($A79,'Full Plan'!$A:$A,'Full Plan'!$P:$P,""),"")</f>
        <v/>
      </c>
      <c r="O79" s="275" t="str">
        <f>IFERROR(_xlfn.XLOOKUP($A79,'Full Plan'!$A:$A,'Full Plan'!$Q:$Q,""),"")</f>
        <v/>
      </c>
      <c r="P79" s="275" t="str">
        <f>IFERROR(_xlfn.XLOOKUP($A79,'Full Plan'!$A:$A,'Full Plan'!$R:$R,""),"")</f>
        <v/>
      </c>
      <c r="Q79" s="287" t="str">
        <f>IFERROR(_xlfn.XLOOKUP($A79,'MW Removal &amp; Update'!$A:$A,'MW Removal &amp; Update'!$M:$M,""),"")</f>
        <v/>
      </c>
      <c r="R79" s="288" t="str">
        <f>IFERROR(_xlfn.XLOOKUP($A79,'Full Plan'!$A:$A,'Full Plan'!$K:$K,""),"")</f>
        <v/>
      </c>
      <c r="S79" s="207" t="str">
        <f>IF($A79="","",IF(COUNTIF($I79:$P79,"*Pending*")=0,"Ready","Waiting"))</f>
        <v/>
      </c>
      <c r="T79" s="288"/>
      <c r="U79" s="288"/>
    </row>
    <row r="80" spans="1:21">
      <c r="A80" s="211" t="str">
        <f>IFERROR(IF('Full Plan'!A80="","",'Full Plan'!A80),"")</f>
        <v/>
      </c>
      <c r="B80" s="211" t="str">
        <f>IFERROR(_xlfn.XLOOKUP($A80,'Full Plan'!$A:$A,'Full Plan'!$B:$B,""),"")</f>
        <v/>
      </c>
      <c r="C80" s="192" t="str">
        <f>IFERROR(_xlfn.XLOOKUP($A80,'Full Plan'!$A:$A,'Full Plan'!$E:$E,""),"")</f>
        <v/>
      </c>
      <c r="D80" s="279" t="str">
        <f>IFERROR(_xlfn.XLOOKUP($A80,'Full Plan'!$A:$A,'Full Plan'!$J:$J,""),"")</f>
        <v/>
      </c>
      <c r="E80" s="281" t="str">
        <f>IFERROR(_xlfn.XLOOKUP($A80,'Full Plan'!$A:$A,'Full Plan'!$F:$F,""),"")</f>
        <v/>
      </c>
      <c r="F80" s="188" t="str">
        <f>IFERROR(_xlfn.XLOOKUP($A80,'Full Plan'!$A:$A,'Full Plan'!$G:$G,""),"")</f>
        <v/>
      </c>
      <c r="G80" s="188" t="str">
        <f>IFERROR(_xlfn.XLOOKUP($A80,'Full Plan'!$A:$A,'Full Plan'!$I:$I,""),"")</f>
        <v/>
      </c>
      <c r="H80" s="192" t="str">
        <f>IFERROR(_xlfn.XLOOKUP($A80,'Full Plan'!$A:$A,'Full Plan'!$H:$H,""),"")</f>
        <v/>
      </c>
      <c r="I80" s="275" t="str">
        <f>IFERROR(_xlfn.XLOOKUP($A80,'Full Plan'!$A:$A,'Full Plan'!$N:$N,""),"")</f>
        <v/>
      </c>
      <c r="J80" s="212" t="str">
        <f>IFERROR(_xlfn.XLOOKUP($A80,'Full Plan'!$A:$A,'Full Plan'!$T:$T,""),"")</f>
        <v/>
      </c>
      <c r="K80" s="275" t="str">
        <f>IFERROR(_xlfn.XLOOKUP($A80,'Full Plan'!$A:$A,'Full Plan'!$U:$U,""),"")</f>
        <v/>
      </c>
      <c r="L80" s="275" t="str">
        <f>IFERROR(_xlfn.XLOOKUP($A80,'Full Plan'!$A:$A,'Full Plan'!$V:$V,""),"")</f>
        <v/>
      </c>
      <c r="M80" s="277" t="str">
        <f>IFERROR(_xlfn.XLOOKUP($A80,'Full Plan'!$A:$A,'Full Plan'!$O:$O,""),"")</f>
        <v/>
      </c>
      <c r="N80" s="275" t="str">
        <f>IFERROR(_xlfn.XLOOKUP($A80,'Full Plan'!$A:$A,'Full Plan'!$P:$P,""),"")</f>
        <v/>
      </c>
      <c r="O80" s="275" t="str">
        <f>IFERROR(_xlfn.XLOOKUP($A80,'Full Plan'!$A:$A,'Full Plan'!$Q:$Q,""),"")</f>
        <v/>
      </c>
      <c r="P80" s="275" t="str">
        <f>IFERROR(_xlfn.XLOOKUP($A80,'Full Plan'!$A:$A,'Full Plan'!$R:$R,""),"")</f>
        <v/>
      </c>
      <c r="Q80" s="287" t="str">
        <f>IFERROR(_xlfn.XLOOKUP($A80,'MW Removal &amp; Update'!$A:$A,'MW Removal &amp; Update'!$M:$M,""),"")</f>
        <v/>
      </c>
      <c r="R80" s="288" t="str">
        <f>IFERROR(_xlfn.XLOOKUP($A80,'Full Plan'!$A:$A,'Full Plan'!$K:$K,""),"")</f>
        <v/>
      </c>
      <c r="S80" s="207" t="str">
        <f>IF($A80="","",IF(COUNTIF($I80:$P80,"*Pending*")=0,"Ready","Waiting"))</f>
        <v/>
      </c>
      <c r="T80" s="288"/>
      <c r="U80" s="288"/>
    </row>
    <row r="81" spans="1:21">
      <c r="A81" s="211" t="str">
        <f>IFERROR(IF('Full Plan'!A81="","",'Full Plan'!A81),"")</f>
        <v/>
      </c>
      <c r="B81" s="211" t="str">
        <f>IFERROR(_xlfn.XLOOKUP($A81,'Full Plan'!$A:$A,'Full Plan'!$B:$B,""),"")</f>
        <v/>
      </c>
      <c r="C81" s="192" t="str">
        <f>IFERROR(_xlfn.XLOOKUP($A81,'Full Plan'!$A:$A,'Full Plan'!$E:$E,""),"")</f>
        <v/>
      </c>
      <c r="D81" s="279" t="str">
        <f>IFERROR(_xlfn.XLOOKUP($A81,'Full Plan'!$A:$A,'Full Plan'!$J:$J,""),"")</f>
        <v/>
      </c>
      <c r="E81" s="281" t="str">
        <f>IFERROR(_xlfn.XLOOKUP($A81,'Full Plan'!$A:$A,'Full Plan'!$F:$F,""),"")</f>
        <v/>
      </c>
      <c r="F81" s="188" t="str">
        <f>IFERROR(_xlfn.XLOOKUP($A81,'Full Plan'!$A:$A,'Full Plan'!$G:$G,""),"")</f>
        <v/>
      </c>
      <c r="G81" s="188" t="str">
        <f>IFERROR(_xlfn.XLOOKUP($A81,'Full Plan'!$A:$A,'Full Plan'!$I:$I,""),"")</f>
        <v/>
      </c>
      <c r="H81" s="192" t="str">
        <f>IFERROR(_xlfn.XLOOKUP($A81,'Full Plan'!$A:$A,'Full Plan'!$H:$H,""),"")</f>
        <v/>
      </c>
      <c r="I81" s="275" t="str">
        <f>IFERROR(_xlfn.XLOOKUP($A81,'Full Plan'!$A:$A,'Full Plan'!$N:$N,""),"")</f>
        <v/>
      </c>
      <c r="J81" s="212" t="str">
        <f>IFERROR(_xlfn.XLOOKUP($A81,'Full Plan'!$A:$A,'Full Plan'!$T:$T,""),"")</f>
        <v/>
      </c>
      <c r="K81" s="275" t="str">
        <f>IFERROR(_xlfn.XLOOKUP($A81,'Full Plan'!$A:$A,'Full Plan'!$U:$U,""),"")</f>
        <v/>
      </c>
      <c r="L81" s="275" t="str">
        <f>IFERROR(_xlfn.XLOOKUP($A81,'Full Plan'!$A:$A,'Full Plan'!$V:$V,""),"")</f>
        <v/>
      </c>
      <c r="M81" s="277" t="str">
        <f>IFERROR(_xlfn.XLOOKUP($A81,'Full Plan'!$A:$A,'Full Plan'!$O:$O,""),"")</f>
        <v/>
      </c>
      <c r="N81" s="275" t="str">
        <f>IFERROR(_xlfn.XLOOKUP($A81,'Full Plan'!$A:$A,'Full Plan'!$P:$P,""),"")</f>
        <v/>
      </c>
      <c r="O81" s="275" t="str">
        <f>IFERROR(_xlfn.XLOOKUP($A81,'Full Plan'!$A:$A,'Full Plan'!$Q:$Q,""),"")</f>
        <v/>
      </c>
      <c r="P81" s="275" t="str">
        <f>IFERROR(_xlfn.XLOOKUP($A81,'Full Plan'!$A:$A,'Full Plan'!$R:$R,""),"")</f>
        <v/>
      </c>
      <c r="Q81" s="287" t="str">
        <f>IFERROR(_xlfn.XLOOKUP($A81,'MW Removal &amp; Update'!$A:$A,'MW Removal &amp; Update'!$M:$M,""),"")</f>
        <v/>
      </c>
      <c r="R81" s="288" t="str">
        <f>IFERROR(_xlfn.XLOOKUP($A81,'Full Plan'!$A:$A,'Full Plan'!$K:$K,""),"")</f>
        <v/>
      </c>
      <c r="S81" s="207" t="str">
        <f>IF($A81="","",IF(COUNTIF($I81:$P81,"*Pending*")=0,"Ready","Waiting"))</f>
        <v/>
      </c>
      <c r="T81" s="288"/>
      <c r="U81" s="288"/>
    </row>
    <row r="82" spans="1:21">
      <c r="A82" s="211" t="str">
        <f>IFERROR(IF('Full Plan'!A82="","",'Full Plan'!A82),"")</f>
        <v/>
      </c>
      <c r="B82" s="211" t="str">
        <f>IFERROR(_xlfn.XLOOKUP($A82,'Full Plan'!$A:$A,'Full Plan'!$B:$B,""),"")</f>
        <v/>
      </c>
      <c r="C82" s="192" t="str">
        <f>IFERROR(_xlfn.XLOOKUP($A82,'Full Plan'!$A:$A,'Full Plan'!$E:$E,""),"")</f>
        <v/>
      </c>
      <c r="D82" s="279" t="str">
        <f>IFERROR(_xlfn.XLOOKUP($A82,'Full Plan'!$A:$A,'Full Plan'!$J:$J,""),"")</f>
        <v/>
      </c>
      <c r="E82" s="281" t="str">
        <f>IFERROR(_xlfn.XLOOKUP($A82,'Full Plan'!$A:$A,'Full Plan'!$F:$F,""),"")</f>
        <v/>
      </c>
      <c r="F82" s="188" t="str">
        <f>IFERROR(_xlfn.XLOOKUP($A82,'Full Plan'!$A:$A,'Full Plan'!$G:$G,""),"")</f>
        <v/>
      </c>
      <c r="G82" s="188" t="str">
        <f>IFERROR(_xlfn.XLOOKUP($A82,'Full Plan'!$A:$A,'Full Plan'!$I:$I,""),"")</f>
        <v/>
      </c>
      <c r="H82" s="192" t="str">
        <f>IFERROR(_xlfn.XLOOKUP($A82,'Full Plan'!$A:$A,'Full Plan'!$H:$H,""),"")</f>
        <v/>
      </c>
      <c r="I82" s="275" t="str">
        <f>IFERROR(_xlfn.XLOOKUP($A82,'Full Plan'!$A:$A,'Full Plan'!$N:$N,""),"")</f>
        <v/>
      </c>
      <c r="J82" s="212" t="str">
        <f>IFERROR(_xlfn.XLOOKUP($A82,'Full Plan'!$A:$A,'Full Plan'!$T:$T,""),"")</f>
        <v/>
      </c>
      <c r="K82" s="275" t="str">
        <f>IFERROR(_xlfn.XLOOKUP($A82,'Full Plan'!$A:$A,'Full Plan'!$U:$U,""),"")</f>
        <v/>
      </c>
      <c r="L82" s="275" t="str">
        <f>IFERROR(_xlfn.XLOOKUP($A82,'Full Plan'!$A:$A,'Full Plan'!$V:$V,""),"")</f>
        <v/>
      </c>
      <c r="M82" s="277" t="str">
        <f>IFERROR(_xlfn.XLOOKUP($A82,'Full Plan'!$A:$A,'Full Plan'!$O:$O,""),"")</f>
        <v/>
      </c>
      <c r="N82" s="275" t="str">
        <f>IFERROR(_xlfn.XLOOKUP($A82,'Full Plan'!$A:$A,'Full Plan'!$P:$P,""),"")</f>
        <v/>
      </c>
      <c r="O82" s="275" t="str">
        <f>IFERROR(_xlfn.XLOOKUP($A82,'Full Plan'!$A:$A,'Full Plan'!$Q:$Q,""),"")</f>
        <v/>
      </c>
      <c r="P82" s="275" t="str">
        <f>IFERROR(_xlfn.XLOOKUP($A82,'Full Plan'!$A:$A,'Full Plan'!$R:$R,""),"")</f>
        <v/>
      </c>
      <c r="Q82" s="287" t="str">
        <f>IFERROR(_xlfn.XLOOKUP($A82,'MW Removal &amp; Update'!$A:$A,'MW Removal &amp; Update'!$M:$M,""),"")</f>
        <v/>
      </c>
      <c r="R82" s="288" t="str">
        <f>IFERROR(_xlfn.XLOOKUP($A82,'Full Plan'!$A:$A,'Full Plan'!$K:$K,""),"")</f>
        <v/>
      </c>
      <c r="S82" s="207" t="str">
        <f>IF($A82="","",IF(COUNTIF($I82:$P82,"*Pending*")=0,"Ready","Waiting"))</f>
        <v/>
      </c>
      <c r="T82" s="288"/>
      <c r="U82" s="288"/>
    </row>
    <row r="83" spans="1:21">
      <c r="A83" s="211" t="str">
        <f>IFERROR(IF('Full Plan'!A83="","",'Full Plan'!A83),"")</f>
        <v/>
      </c>
      <c r="B83" s="211" t="str">
        <f>IFERROR(_xlfn.XLOOKUP($A83,'Full Plan'!$A:$A,'Full Plan'!$B:$B,""),"")</f>
        <v/>
      </c>
      <c r="C83" s="192" t="str">
        <f>IFERROR(_xlfn.XLOOKUP($A83,'Full Plan'!$A:$A,'Full Plan'!$E:$E,""),"")</f>
        <v/>
      </c>
      <c r="D83" s="279" t="str">
        <f>IFERROR(_xlfn.XLOOKUP($A83,'Full Plan'!$A:$A,'Full Plan'!$J:$J,""),"")</f>
        <v/>
      </c>
      <c r="E83" s="281" t="str">
        <f>IFERROR(_xlfn.XLOOKUP($A83,'Full Plan'!$A:$A,'Full Plan'!$F:$F,""),"")</f>
        <v/>
      </c>
      <c r="F83" s="188" t="str">
        <f>IFERROR(_xlfn.XLOOKUP($A83,'Full Plan'!$A:$A,'Full Plan'!$G:$G,""),"")</f>
        <v/>
      </c>
      <c r="G83" s="188" t="str">
        <f>IFERROR(_xlfn.XLOOKUP($A83,'Full Plan'!$A:$A,'Full Plan'!$I:$I,""),"")</f>
        <v/>
      </c>
      <c r="H83" s="192" t="str">
        <f>IFERROR(_xlfn.XLOOKUP($A83,'Full Plan'!$A:$A,'Full Plan'!$H:$H,""),"")</f>
        <v/>
      </c>
      <c r="I83" s="275" t="str">
        <f>IFERROR(_xlfn.XLOOKUP($A83,'Full Plan'!$A:$A,'Full Plan'!$N:$N,""),"")</f>
        <v/>
      </c>
      <c r="J83" s="212" t="str">
        <f>IFERROR(_xlfn.XLOOKUP($A83,'Full Plan'!$A:$A,'Full Plan'!$T:$T,""),"")</f>
        <v/>
      </c>
      <c r="K83" s="275" t="str">
        <f>IFERROR(_xlfn.XLOOKUP($A83,'Full Plan'!$A:$A,'Full Plan'!$U:$U,""),"")</f>
        <v/>
      </c>
      <c r="L83" s="275" t="str">
        <f>IFERROR(_xlfn.XLOOKUP($A83,'Full Plan'!$A:$A,'Full Plan'!$V:$V,""),"")</f>
        <v/>
      </c>
      <c r="M83" s="277" t="str">
        <f>IFERROR(_xlfn.XLOOKUP($A83,'Full Plan'!$A:$A,'Full Plan'!$O:$O,""),"")</f>
        <v/>
      </c>
      <c r="N83" s="275" t="str">
        <f>IFERROR(_xlfn.XLOOKUP($A83,'Full Plan'!$A:$A,'Full Plan'!$P:$P,""),"")</f>
        <v/>
      </c>
      <c r="O83" s="275" t="str">
        <f>IFERROR(_xlfn.XLOOKUP($A83,'Full Plan'!$A:$A,'Full Plan'!$Q:$Q,""),"")</f>
        <v/>
      </c>
      <c r="P83" s="275" t="str">
        <f>IFERROR(_xlfn.XLOOKUP($A83,'Full Plan'!$A:$A,'Full Plan'!$R:$R,""),"")</f>
        <v/>
      </c>
      <c r="Q83" s="287" t="str">
        <f>IFERROR(_xlfn.XLOOKUP($A83,'MW Removal &amp; Update'!$A:$A,'MW Removal &amp; Update'!$M:$M,""),"")</f>
        <v/>
      </c>
      <c r="R83" s="288" t="str">
        <f>IFERROR(_xlfn.XLOOKUP($A83,'Full Plan'!$A:$A,'Full Plan'!$K:$K,""),"")</f>
        <v/>
      </c>
      <c r="S83" s="207" t="str">
        <f>IF($A83="","",IF(COUNTIF($I83:$P83,"*Pending*")=0,"Ready","Waiting"))</f>
        <v/>
      </c>
      <c r="T83" s="288"/>
      <c r="U83" s="288"/>
    </row>
    <row r="84" spans="1:21">
      <c r="A84" s="211" t="str">
        <f>IFERROR(IF('Full Plan'!A84="","",'Full Plan'!A84),"")</f>
        <v/>
      </c>
      <c r="B84" s="211" t="str">
        <f>IFERROR(_xlfn.XLOOKUP($A84,'Full Plan'!$A:$A,'Full Plan'!$B:$B,""),"")</f>
        <v/>
      </c>
      <c r="C84" s="192" t="str">
        <f>IFERROR(_xlfn.XLOOKUP($A84,'Full Plan'!$A:$A,'Full Plan'!$E:$E,""),"")</f>
        <v/>
      </c>
      <c r="D84" s="279" t="str">
        <f>IFERROR(_xlfn.XLOOKUP($A84,'Full Plan'!$A:$A,'Full Plan'!$J:$J,""),"")</f>
        <v/>
      </c>
      <c r="E84" s="281" t="str">
        <f>IFERROR(_xlfn.XLOOKUP($A84,'Full Plan'!$A:$A,'Full Plan'!$F:$F,""),"")</f>
        <v/>
      </c>
      <c r="F84" s="188" t="str">
        <f>IFERROR(_xlfn.XLOOKUP($A84,'Full Plan'!$A:$A,'Full Plan'!$G:$G,""),"")</f>
        <v/>
      </c>
      <c r="G84" s="188" t="str">
        <f>IFERROR(_xlfn.XLOOKUP($A84,'Full Plan'!$A:$A,'Full Plan'!$I:$I,""),"")</f>
        <v/>
      </c>
      <c r="H84" s="192" t="str">
        <f>IFERROR(_xlfn.XLOOKUP($A84,'Full Plan'!$A:$A,'Full Plan'!$H:$H,""),"")</f>
        <v/>
      </c>
      <c r="I84" s="275" t="str">
        <f>IFERROR(_xlfn.XLOOKUP($A84,'Full Plan'!$A:$A,'Full Plan'!$N:$N,""),"")</f>
        <v/>
      </c>
      <c r="J84" s="212" t="str">
        <f>IFERROR(_xlfn.XLOOKUP($A84,'Full Plan'!$A:$A,'Full Plan'!$T:$T,""),"")</f>
        <v/>
      </c>
      <c r="K84" s="275" t="str">
        <f>IFERROR(_xlfn.XLOOKUP($A84,'Full Plan'!$A:$A,'Full Plan'!$U:$U,""),"")</f>
        <v/>
      </c>
      <c r="L84" s="275" t="str">
        <f>IFERROR(_xlfn.XLOOKUP($A84,'Full Plan'!$A:$A,'Full Plan'!$V:$V,""),"")</f>
        <v/>
      </c>
      <c r="M84" s="277" t="str">
        <f>IFERROR(_xlfn.XLOOKUP($A84,'Full Plan'!$A:$A,'Full Plan'!$O:$O,""),"")</f>
        <v/>
      </c>
      <c r="N84" s="275" t="str">
        <f>IFERROR(_xlfn.XLOOKUP($A84,'Full Plan'!$A:$A,'Full Plan'!$P:$P,""),"")</f>
        <v/>
      </c>
      <c r="O84" s="275" t="str">
        <f>IFERROR(_xlfn.XLOOKUP($A84,'Full Plan'!$A:$A,'Full Plan'!$Q:$Q,""),"")</f>
        <v/>
      </c>
      <c r="P84" s="275" t="str">
        <f>IFERROR(_xlfn.XLOOKUP($A84,'Full Plan'!$A:$A,'Full Plan'!$R:$R,""),"")</f>
        <v/>
      </c>
      <c r="Q84" s="287" t="str">
        <f>IFERROR(_xlfn.XLOOKUP($A84,'MW Removal &amp; Update'!$A:$A,'MW Removal &amp; Update'!$M:$M,""),"")</f>
        <v/>
      </c>
      <c r="R84" s="288" t="str">
        <f>IFERROR(_xlfn.XLOOKUP($A84,'Full Plan'!$A:$A,'Full Plan'!$K:$K,""),"")</f>
        <v/>
      </c>
      <c r="S84" s="207" t="str">
        <f>IF($A84="","",IF(COUNTIF($I84:$P84,"*Pending*")=0,"Ready","Waiting"))</f>
        <v/>
      </c>
      <c r="T84" s="288"/>
      <c r="U84" s="288"/>
    </row>
    <row r="85" spans="1:21">
      <c r="A85" s="211"/>
      <c r="B85" s="211"/>
      <c r="C85" s="192"/>
      <c r="D85" s="279"/>
      <c r="E85" s="281"/>
      <c r="F85" s="192"/>
      <c r="G85" s="192"/>
      <c r="H85" s="192"/>
      <c r="I85" s="275"/>
      <c r="J85" s="287"/>
      <c r="K85" s="275"/>
      <c r="L85" s="275"/>
      <c r="M85" s="277"/>
      <c r="N85" s="275"/>
      <c r="O85" s="275"/>
      <c r="P85" s="275"/>
      <c r="Q85" s="287"/>
      <c r="R85" s="288"/>
      <c r="S85" s="288"/>
      <c r="T85" s="288"/>
      <c r="U85" s="288"/>
    </row>
    <row r="86" spans="1:21">
      <c r="D86" s="280"/>
      <c r="E86" s="282"/>
      <c r="I86" s="276"/>
      <c r="K86" s="276"/>
      <c r="L86" s="276"/>
      <c r="M86" s="278"/>
      <c r="N86" s="276"/>
      <c r="O86" s="276"/>
      <c r="P86" s="276"/>
    </row>
    <row r="87" spans="1:21">
      <c r="D87" s="280"/>
      <c r="E87" s="282"/>
      <c r="I87" s="276"/>
      <c r="K87" s="276"/>
      <c r="L87" s="276"/>
      <c r="M87" s="278"/>
      <c r="N87" s="276"/>
      <c r="O87" s="276"/>
      <c r="P87" s="276"/>
    </row>
  </sheetData>
  <autoFilter ref="A2:U84" xr:uid="{3D04BD00-CB40-47CF-AC83-B16DA1DB9722}"/>
  <conditionalFormatting sqref="I3:I87">
    <cfRule type="containsText" dxfId="129" priority="10" operator="containsText" text="Partially">
      <formula>NOT(ISERROR(SEARCH("Partially",I3)))</formula>
    </cfRule>
  </conditionalFormatting>
  <conditionalFormatting sqref="I3:I87">
    <cfRule type="containsText" dxfId="128" priority="11" operator="containsText" text="Received">
      <formula>NOT(ISERROR(SEARCH("Received",I3)))</formula>
    </cfRule>
  </conditionalFormatting>
  <conditionalFormatting sqref="I3:I87">
    <cfRule type="containsText" dxfId="127" priority="12" operator="containsText" text="Pending">
      <formula>NOT(ISERROR(SEARCH("Pending",I3)))</formula>
    </cfRule>
  </conditionalFormatting>
  <conditionalFormatting sqref="K3:K87">
    <cfRule type="containsText" dxfId="126" priority="13" operator="containsText" text="MW Link OK">
      <formula>NOT(ISERROR(SEARCH("MW Link OK",K3)))</formula>
    </cfRule>
  </conditionalFormatting>
  <conditionalFormatting sqref="K3:K87">
    <cfRule type="containsText" dxfId="125" priority="14" operator="containsText" text="MW Link Pending">
      <formula>NOT(ISERROR(SEARCH("MW Link Pending",K3)))</formula>
    </cfRule>
  </conditionalFormatting>
  <conditionalFormatting sqref="K3:K87">
    <cfRule type="containsText" dxfId="124" priority="15" operator="containsText" text="Tx Pending">
      <formula>NOT(ISERROR(SEARCH("Tx Pending",K3)))</formula>
    </cfRule>
  </conditionalFormatting>
  <conditionalFormatting sqref="L3:L87">
    <cfRule type="containsText" dxfId="123" priority="16" operator="containsText" text="Received">
      <formula>NOT(ISERROR(SEARCH("Received",L3)))</formula>
    </cfRule>
  </conditionalFormatting>
  <conditionalFormatting sqref="L3:L87">
    <cfRule type="containsText" dxfId="122" priority="17" operator="containsText" text="Pending">
      <formula>NOT(ISERROR(SEARCH("Pending",L3)))</formula>
    </cfRule>
  </conditionalFormatting>
  <conditionalFormatting sqref="L3:L87">
    <cfRule type="containsText" dxfId="121" priority="18" operator="containsText" text="OFN">
      <formula>NOT(ISERROR(SEARCH("OFN",L3)))</formula>
    </cfRule>
  </conditionalFormatting>
  <conditionalFormatting sqref="M3:M87">
    <cfRule type="containsText" dxfId="120" priority="19" operator="containsText" text="Extention Brackets OK">
      <formula>NOT(ISERROR(SEARCH("Extention Brackets OK",M3)))</formula>
    </cfRule>
  </conditionalFormatting>
  <conditionalFormatting sqref="M3:M87">
    <cfRule type="containsText" dxfId="119" priority="20" operator="containsText" text="Received">
      <formula>NOT(ISERROR(SEARCH("Received",M3)))</formula>
    </cfRule>
  </conditionalFormatting>
  <conditionalFormatting sqref="M3:M87">
    <cfRule type="containsText" dxfId="118" priority="21" operator="containsText" text="Pending">
      <formula>NOT(ISERROR(SEARCH("Pending",M3)))</formula>
    </cfRule>
  </conditionalFormatting>
  <conditionalFormatting sqref="M3:M87">
    <cfRule type="containsText" dxfId="117" priority="22" operator="containsText" text="N/A">
      <formula>NOT(ISERROR(SEARCH("N/A",M3)))</formula>
    </cfRule>
  </conditionalFormatting>
  <conditionalFormatting sqref="N3:N87">
    <cfRule type="containsText" dxfId="116" priority="23" operator="containsText" text="Extention Brackets OK">
      <formula>NOT(ISERROR(SEARCH("Extention Brackets OK",N3)))</formula>
    </cfRule>
  </conditionalFormatting>
  <conditionalFormatting sqref="N3:N87">
    <cfRule type="containsText" dxfId="115" priority="24" operator="containsText" text="Received">
      <formula>NOT(ISERROR(SEARCH("Received",N3)))</formula>
    </cfRule>
  </conditionalFormatting>
  <conditionalFormatting sqref="N3:N87">
    <cfRule type="containsText" dxfId="114" priority="25" operator="containsText" text="Pending">
      <formula>NOT(ISERROR(SEARCH("Pending",N3)))</formula>
    </cfRule>
  </conditionalFormatting>
  <conditionalFormatting sqref="N3:N87">
    <cfRule type="containsText" dxfId="113" priority="26" operator="containsText" text="N/A">
      <formula>NOT(ISERROR(SEARCH("N/A",N3)))</formula>
    </cfRule>
  </conditionalFormatting>
  <conditionalFormatting sqref="O3:O87">
    <cfRule type="containsText" dxfId="112" priority="27" operator="containsText" text="Extention Brackets OK">
      <formula>NOT(ISERROR(SEARCH("Extention Brackets OK",O3)))</formula>
    </cfRule>
  </conditionalFormatting>
  <conditionalFormatting sqref="O3:O87">
    <cfRule type="containsText" dxfId="111" priority="28" operator="containsText" text="Received">
      <formula>NOT(ISERROR(SEARCH("Received",O3)))</formula>
    </cfRule>
  </conditionalFormatting>
  <conditionalFormatting sqref="O3:O87">
    <cfRule type="containsText" dxfId="110" priority="29" operator="containsText" text="Pending">
      <formula>NOT(ISERROR(SEARCH("Pending",O3)))</formula>
    </cfRule>
  </conditionalFormatting>
  <conditionalFormatting sqref="O3:O87">
    <cfRule type="containsText" dxfId="109" priority="30" operator="containsText" text="N/A">
      <formula>NOT(ISERROR(SEARCH("N/A",O3)))</formula>
    </cfRule>
  </conditionalFormatting>
  <conditionalFormatting sqref="P3:P87">
    <cfRule type="containsText" dxfId="108" priority="31" operator="containsText" text="Extention Brackets OK">
      <formula>NOT(ISERROR(SEARCH("Extention Brackets OK",P3)))</formula>
    </cfRule>
  </conditionalFormatting>
  <conditionalFormatting sqref="P3:P87">
    <cfRule type="containsText" dxfId="107" priority="32" operator="containsText" text="Received">
      <formula>NOT(ISERROR(SEARCH("Received",P3)))</formula>
    </cfRule>
  </conditionalFormatting>
  <conditionalFormatting sqref="P3:P87">
    <cfRule type="containsText" dxfId="106" priority="33" operator="containsText" text="Pending">
      <formula>NOT(ISERROR(SEARCH("Pending",P3)))</formula>
    </cfRule>
  </conditionalFormatting>
  <conditionalFormatting sqref="P3:P87">
    <cfRule type="containsText" dxfId="105" priority="34" operator="containsText" text="N/A">
      <formula>NOT(ISERROR(SEARCH("N/A",P3)))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AA94B-C4BC-4E1D-9AF1-A221E670E616}">
  <sheetPr codeName="Sheet3"/>
  <dimension ref="A1:T134"/>
  <sheetViews>
    <sheetView zoomScale="70" zoomScaleNormal="70" workbookViewId="0">
      <pane xSplit="6" ySplit="2" topLeftCell="M8" activePane="bottomRight" state="frozen"/>
      <selection activeCell="RR41" sqref="RR41"/>
      <selection pane="topRight" activeCell="RR41" sqref="RR41"/>
      <selection pane="bottomLeft" activeCell="RR41" sqref="RR41"/>
      <selection pane="bottomRight" activeCell="A22" sqref="A22:B22"/>
    </sheetView>
  </sheetViews>
  <sheetFormatPr defaultColWidth="8.88671875" defaultRowHeight="13.8"/>
  <cols>
    <col min="1" max="1" width="7.88671875" style="115" bestFit="1" customWidth="1"/>
    <col min="2" max="2" width="28.33203125" style="70" bestFit="1" customWidth="1"/>
    <col min="3" max="3" width="35.5546875" style="70" bestFit="1" customWidth="1"/>
    <col min="4" max="4" width="14" style="70" bestFit="1" customWidth="1"/>
    <col min="5" max="5" width="16.21875" style="70" bestFit="1" customWidth="1"/>
    <col min="6" max="6" width="14" style="70" customWidth="1"/>
    <col min="7" max="7" width="50.44140625" style="70" bestFit="1" customWidth="1"/>
    <col min="8" max="10" width="18.44140625" style="24" customWidth="1"/>
    <col min="11" max="12" width="42.33203125" style="71" customWidth="1"/>
    <col min="13" max="13" width="27.5546875" style="69" customWidth="1"/>
    <col min="14" max="14" width="7.88671875" style="70" bestFit="1" customWidth="1"/>
    <col min="15" max="15" width="29.77734375" style="70" bestFit="1" customWidth="1"/>
    <col min="16" max="16" width="12.33203125" style="70" bestFit="1" customWidth="1"/>
    <col min="17" max="17" width="7.88671875" style="70" bestFit="1" customWidth="1"/>
    <col min="18" max="18" width="26.33203125" style="70" bestFit="1" customWidth="1"/>
    <col min="19" max="19" width="14.44140625" style="70" bestFit="1" customWidth="1"/>
    <col min="20" max="20" width="8.88671875" style="69"/>
    <col min="21" max="16384" width="8.88671875" style="70"/>
  </cols>
  <sheetData>
    <row r="1" spans="1:20" s="60" customFormat="1" ht="30" customHeight="1">
      <c r="A1" s="46" t="s">
        <v>0</v>
      </c>
      <c r="B1" s="46" t="s">
        <v>18</v>
      </c>
      <c r="C1" s="61" t="s">
        <v>116</v>
      </c>
      <c r="D1" s="47" t="s">
        <v>21</v>
      </c>
      <c r="E1" s="47" t="s">
        <v>146</v>
      </c>
      <c r="F1" s="47" t="s">
        <v>3</v>
      </c>
      <c r="G1" s="48" t="s">
        <v>13</v>
      </c>
      <c r="H1" s="48" t="s">
        <v>93</v>
      </c>
      <c r="I1" s="48" t="s">
        <v>79</v>
      </c>
      <c r="J1" s="48" t="s">
        <v>75</v>
      </c>
      <c r="K1" s="48" t="s">
        <v>16</v>
      </c>
      <c r="L1" s="48" t="s">
        <v>143</v>
      </c>
      <c r="M1" s="46" t="s">
        <v>22</v>
      </c>
      <c r="N1" s="241" t="s">
        <v>23</v>
      </c>
      <c r="O1" s="241"/>
      <c r="P1" s="46" t="s">
        <v>72</v>
      </c>
      <c r="Q1" s="241" t="s">
        <v>24</v>
      </c>
      <c r="R1" s="241"/>
      <c r="S1" s="46" t="s">
        <v>72</v>
      </c>
      <c r="T1" s="68"/>
    </row>
    <row r="2" spans="1:20" s="60" customFormat="1" ht="19.95" customHeight="1">
      <c r="A2" s="127">
        <f>SUBTOTAL(103, A3:A139)</f>
        <v>25</v>
      </c>
      <c r="B2" s="127">
        <f>SUBTOTAL(103, B3:B139)</f>
        <v>25</v>
      </c>
      <c r="C2" s="127">
        <f>SUBTOTAL(103, C3:C139)</f>
        <v>25</v>
      </c>
      <c r="D2" s="127">
        <f>SUBTOTAL(103, D3:D139)</f>
        <v>25</v>
      </c>
      <c r="E2" s="127">
        <f>SUBTOTAL(103, E3:E139)</f>
        <v>25</v>
      </c>
      <c r="F2" s="127">
        <f>SUBTOTAL(103, F3:F139)</f>
        <v>11</v>
      </c>
      <c r="G2" s="127">
        <f>SUBTOTAL(103, G3:G139)</f>
        <v>12</v>
      </c>
      <c r="H2" s="127">
        <f>SUBTOTAL(103, H3:H139)</f>
        <v>7</v>
      </c>
      <c r="I2" s="127">
        <f>SUBTOTAL(103, I3:I139)</f>
        <v>0</v>
      </c>
      <c r="J2" s="127">
        <f>SUBTOTAL(103, J3:J139)</f>
        <v>5</v>
      </c>
      <c r="K2" s="127">
        <f>SUBTOTAL(103, K3:K139)</f>
        <v>0</v>
      </c>
      <c r="L2" s="127"/>
      <c r="M2" s="127">
        <f>SUBTOTAL(103, M3:M139)</f>
        <v>21</v>
      </c>
      <c r="N2" s="127">
        <f>SUBTOTAL(103, N3:N139)</f>
        <v>16</v>
      </c>
      <c r="O2" s="127">
        <f>SUBTOTAL(103, O3:O139)</f>
        <v>16</v>
      </c>
      <c r="P2" s="127">
        <f>SUBTOTAL(103, P3:P139)</f>
        <v>8</v>
      </c>
      <c r="Q2" s="127">
        <f>SUBTOTAL(103, Q3:Q139)</f>
        <v>16</v>
      </c>
      <c r="R2" s="127">
        <f>SUBTOTAL(103, R3:R139)</f>
        <v>16</v>
      </c>
      <c r="S2" s="127">
        <f>SUBTOTAL(103, S3:S139)</f>
        <v>8</v>
      </c>
      <c r="T2" s="68"/>
    </row>
    <row r="3" spans="1:20" ht="19.95" customHeight="1">
      <c r="A3" s="52" t="s">
        <v>152</v>
      </c>
      <c r="B3" s="52" t="s">
        <v>153</v>
      </c>
      <c r="C3" s="52" t="s">
        <v>174</v>
      </c>
      <c r="D3" s="98" t="s">
        <v>8</v>
      </c>
      <c r="E3" s="98" t="str">
        <f>VLOOKUP(A3,'[2]Tx Design'!A:E, 5,)</f>
        <v>MW_2026_1995</v>
      </c>
      <c r="F3" s="75" t="s">
        <v>460</v>
      </c>
      <c r="G3" s="31" t="s">
        <v>461</v>
      </c>
      <c r="H3" s="49"/>
      <c r="I3" s="30"/>
      <c r="J3" s="30"/>
      <c r="K3" s="62"/>
      <c r="L3" s="62"/>
      <c r="M3" s="31" t="s">
        <v>307</v>
      </c>
      <c r="N3" s="125"/>
      <c r="O3" s="125"/>
      <c r="P3" s="126"/>
      <c r="Q3" s="125"/>
      <c r="R3" s="125"/>
      <c r="S3" s="126"/>
    </row>
    <row r="4" spans="1:20" ht="19.95" customHeight="1">
      <c r="A4" s="111" t="s">
        <v>154</v>
      </c>
      <c r="B4" s="53" t="s">
        <v>155</v>
      </c>
      <c r="C4" s="53" t="s">
        <v>174</v>
      </c>
      <c r="D4" s="93" t="s">
        <v>8</v>
      </c>
      <c r="E4" s="93" t="str">
        <f>VLOOKUP(A4,'[2]Tx Design'!A:E, 5,)</f>
        <v>MW_2026_1994</v>
      </c>
      <c r="F4" s="74"/>
      <c r="G4" s="50" t="s">
        <v>256</v>
      </c>
      <c r="H4" s="28"/>
      <c r="I4" s="28"/>
      <c r="J4" s="28"/>
      <c r="K4" s="63"/>
      <c r="L4" s="63"/>
      <c r="M4" s="29" t="s">
        <v>307</v>
      </c>
      <c r="N4" s="29" t="s">
        <v>162</v>
      </c>
      <c r="O4" s="29" t="s">
        <v>257</v>
      </c>
      <c r="P4" s="28"/>
      <c r="Q4" s="29" t="s">
        <v>163</v>
      </c>
      <c r="R4" s="29" t="s">
        <v>258</v>
      </c>
      <c r="S4" s="28"/>
    </row>
    <row r="5" spans="1:20" ht="19.95" customHeight="1">
      <c r="A5" s="132" t="s">
        <v>154</v>
      </c>
      <c r="B5" s="52" t="s">
        <v>155</v>
      </c>
      <c r="C5" s="52" t="s">
        <v>174</v>
      </c>
      <c r="D5" s="98" t="s">
        <v>8</v>
      </c>
      <c r="E5" s="98" t="str">
        <f>VLOOKUP(A5,'[2]Tx Design'!A:E, 5,)</f>
        <v>MW_2026_1994</v>
      </c>
      <c r="F5" s="75" t="s">
        <v>460</v>
      </c>
      <c r="G5" s="31" t="s">
        <v>461</v>
      </c>
      <c r="H5" s="30"/>
      <c r="I5" s="30"/>
      <c r="J5" s="30"/>
      <c r="K5" s="62"/>
      <c r="L5" s="62"/>
      <c r="M5" s="31" t="s">
        <v>307</v>
      </c>
      <c r="N5" s="125"/>
      <c r="O5" s="125"/>
      <c r="P5" s="126"/>
      <c r="Q5" s="125"/>
      <c r="R5" s="125"/>
      <c r="S5" s="126"/>
    </row>
    <row r="6" spans="1:20" ht="19.95" customHeight="1">
      <c r="A6" s="132" t="s">
        <v>156</v>
      </c>
      <c r="B6" s="52" t="s">
        <v>157</v>
      </c>
      <c r="C6" s="52" t="s">
        <v>174</v>
      </c>
      <c r="D6" s="98" t="s">
        <v>8</v>
      </c>
      <c r="E6" s="98" t="str">
        <f>VLOOKUP(A6,'[2]Tx Design'!A:E, 5,)</f>
        <v>MW_2026_1966</v>
      </c>
      <c r="F6" s="75" t="s">
        <v>221</v>
      </c>
      <c r="G6" s="31" t="s">
        <v>14</v>
      </c>
      <c r="H6" s="49">
        <v>46219</v>
      </c>
      <c r="I6" s="30"/>
      <c r="J6" s="30" t="s">
        <v>61</v>
      </c>
      <c r="K6" s="62"/>
      <c r="L6" s="62"/>
      <c r="M6" s="31" t="s">
        <v>158</v>
      </c>
      <c r="N6" s="31" t="s">
        <v>164</v>
      </c>
      <c r="O6" s="31" t="s">
        <v>231</v>
      </c>
      <c r="P6" s="30" t="s">
        <v>89</v>
      </c>
      <c r="Q6" s="31" t="s">
        <v>165</v>
      </c>
      <c r="R6" s="31" t="s">
        <v>232</v>
      </c>
      <c r="S6" s="30" t="s">
        <v>73</v>
      </c>
    </row>
    <row r="7" spans="1:20" ht="19.95" customHeight="1">
      <c r="A7" s="132" t="s">
        <v>171</v>
      </c>
      <c r="B7" s="52" t="s">
        <v>179</v>
      </c>
      <c r="C7" s="52" t="s">
        <v>176</v>
      </c>
      <c r="D7" s="98" t="s">
        <v>8</v>
      </c>
      <c r="E7" s="98" t="str">
        <f>VLOOKUP(A7,'[2]Tx Design'!A:E, 5,)</f>
        <v>MW_2026_1992</v>
      </c>
      <c r="F7" s="75" t="s">
        <v>9</v>
      </c>
      <c r="G7" s="31" t="s">
        <v>14</v>
      </c>
      <c r="H7" s="49">
        <v>46223</v>
      </c>
      <c r="I7" s="30"/>
      <c r="J7" s="30" t="s">
        <v>61</v>
      </c>
      <c r="K7" s="62"/>
      <c r="L7" s="62" t="s">
        <v>314</v>
      </c>
      <c r="M7" s="31" t="s">
        <v>264</v>
      </c>
      <c r="N7" s="31" t="s">
        <v>265</v>
      </c>
      <c r="O7" s="31" t="s">
        <v>272</v>
      </c>
      <c r="P7" s="30" t="s">
        <v>73</v>
      </c>
      <c r="Q7" s="31" t="s">
        <v>266</v>
      </c>
      <c r="R7" s="31" t="s">
        <v>273</v>
      </c>
      <c r="S7" s="30" t="s">
        <v>73</v>
      </c>
    </row>
    <row r="8" spans="1:20" ht="19.95" customHeight="1">
      <c r="A8" s="132" t="s">
        <v>159</v>
      </c>
      <c r="B8" s="52" t="s">
        <v>160</v>
      </c>
      <c r="C8" s="52" t="s">
        <v>176</v>
      </c>
      <c r="D8" s="98" t="s">
        <v>10</v>
      </c>
      <c r="E8" s="98" t="str">
        <f>VLOOKUP(A8,'[2]Tx Design'!A:E, 5,)</f>
        <v>WIBAS_2026_1678</v>
      </c>
      <c r="F8" s="75" t="s">
        <v>9</v>
      </c>
      <c r="G8" s="31" t="s">
        <v>14</v>
      </c>
      <c r="H8" s="49">
        <v>46224</v>
      </c>
      <c r="I8" s="30"/>
      <c r="J8" s="30" t="s">
        <v>421</v>
      </c>
      <c r="K8" s="62"/>
      <c r="L8" s="62"/>
      <c r="M8" s="31" t="s">
        <v>274</v>
      </c>
      <c r="N8" s="31" t="s">
        <v>275</v>
      </c>
      <c r="O8" s="31" t="s">
        <v>277</v>
      </c>
      <c r="P8" s="30" t="s">
        <v>88</v>
      </c>
      <c r="Q8" s="31" t="s">
        <v>276</v>
      </c>
      <c r="R8" s="31" t="s">
        <v>278</v>
      </c>
      <c r="S8" s="30" t="s">
        <v>73</v>
      </c>
    </row>
    <row r="9" spans="1:20" ht="19.95" customHeight="1">
      <c r="A9" s="132" t="s">
        <v>169</v>
      </c>
      <c r="B9" s="52" t="s">
        <v>177</v>
      </c>
      <c r="C9" s="52" t="s">
        <v>176</v>
      </c>
      <c r="D9" s="98" t="s">
        <v>8</v>
      </c>
      <c r="E9" s="98" t="str">
        <f>VLOOKUP(A9,'[2]Tx Design'!A:E, 5,)</f>
        <v>MW_2026_2030</v>
      </c>
      <c r="F9" s="75" t="s">
        <v>460</v>
      </c>
      <c r="G9" s="31" t="s">
        <v>462</v>
      </c>
      <c r="H9" s="49"/>
      <c r="I9" s="30"/>
      <c r="J9" s="30"/>
      <c r="K9" s="62"/>
      <c r="L9" s="62"/>
      <c r="M9" s="31" t="s">
        <v>459</v>
      </c>
      <c r="N9" s="130"/>
      <c r="O9" s="130"/>
      <c r="P9" s="131"/>
      <c r="Q9" s="130"/>
      <c r="R9" s="130"/>
      <c r="S9" s="131"/>
    </row>
    <row r="10" spans="1:20" ht="19.95" customHeight="1">
      <c r="A10" s="53" t="s">
        <v>200</v>
      </c>
      <c r="B10" s="53" t="s">
        <v>201</v>
      </c>
      <c r="C10" s="53" t="s">
        <v>218</v>
      </c>
      <c r="D10" s="74" t="s">
        <v>8</v>
      </c>
      <c r="E10" s="93" t="str">
        <f>VLOOKUP(A10,'[2]Tx Design'!A:E, 5,)</f>
        <v>MW_2026_2135</v>
      </c>
      <c r="F10" s="74"/>
      <c r="G10" s="29"/>
      <c r="H10" s="28"/>
      <c r="I10" s="28"/>
      <c r="J10" s="28"/>
      <c r="K10" s="63"/>
      <c r="L10" s="63"/>
      <c r="M10" s="29" t="s">
        <v>493</v>
      </c>
      <c r="N10" s="29" t="s">
        <v>494</v>
      </c>
      <c r="O10" s="29" t="s">
        <v>506</v>
      </c>
      <c r="P10" s="28"/>
      <c r="Q10" s="29" t="s">
        <v>495</v>
      </c>
      <c r="R10" s="29" t="s">
        <v>507</v>
      </c>
      <c r="S10" s="28"/>
    </row>
    <row r="11" spans="1:20" ht="19.95" customHeight="1">
      <c r="A11" s="53" t="s">
        <v>202</v>
      </c>
      <c r="B11" s="53" t="s">
        <v>203</v>
      </c>
      <c r="C11" s="53" t="s">
        <v>218</v>
      </c>
      <c r="D11" s="74" t="s">
        <v>8</v>
      </c>
      <c r="E11" s="93">
        <f>VLOOKUP(A11,'[2]Tx Design'!A:E, 5,)</f>
        <v>0</v>
      </c>
      <c r="F11" s="74"/>
      <c r="G11" s="29"/>
      <c r="H11" s="28"/>
      <c r="I11" s="28"/>
      <c r="J11" s="28"/>
      <c r="K11" s="63"/>
      <c r="L11" s="63"/>
      <c r="M11" s="29" t="s">
        <v>408</v>
      </c>
      <c r="N11" s="29" t="s">
        <v>508</v>
      </c>
      <c r="O11" s="29" t="s">
        <v>509</v>
      </c>
      <c r="P11" s="28"/>
      <c r="Q11" s="29" t="s">
        <v>511</v>
      </c>
      <c r="R11" s="29" t="s">
        <v>510</v>
      </c>
      <c r="S11" s="28"/>
    </row>
    <row r="12" spans="1:20" s="392" customFormat="1" ht="19.95" customHeight="1">
      <c r="A12" s="345" t="s">
        <v>200</v>
      </c>
      <c r="B12" s="345" t="s">
        <v>201</v>
      </c>
      <c r="C12" s="345" t="s">
        <v>218</v>
      </c>
      <c r="D12" s="386" t="s">
        <v>8</v>
      </c>
      <c r="E12" s="387" t="str">
        <f>VLOOKUP(A12,'[2]Tx Design'!A:E, 5,)</f>
        <v>MW_2026_2135</v>
      </c>
      <c r="F12" s="386"/>
      <c r="G12" s="388"/>
      <c r="H12" s="389"/>
      <c r="I12" s="389"/>
      <c r="J12" s="389"/>
      <c r="K12" s="390"/>
      <c r="L12" s="390"/>
      <c r="M12" s="388"/>
      <c r="N12" s="388"/>
      <c r="O12" s="388"/>
      <c r="P12" s="389"/>
      <c r="Q12" s="388"/>
      <c r="R12" s="388"/>
      <c r="S12" s="389"/>
      <c r="T12" s="391"/>
    </row>
    <row r="13" spans="1:20" s="392" customFormat="1" ht="19.95" customHeight="1">
      <c r="A13" s="345" t="s">
        <v>202</v>
      </c>
      <c r="B13" s="345" t="s">
        <v>203</v>
      </c>
      <c r="C13" s="345" t="s">
        <v>218</v>
      </c>
      <c r="D13" s="386" t="s">
        <v>8</v>
      </c>
      <c r="E13" s="387">
        <f>VLOOKUP(A13,'[2]Tx Design'!A:E, 5,)</f>
        <v>0</v>
      </c>
      <c r="F13" s="386"/>
      <c r="G13" s="388"/>
      <c r="H13" s="389"/>
      <c r="I13" s="389"/>
      <c r="J13" s="389"/>
      <c r="K13" s="390"/>
      <c r="L13" s="390"/>
      <c r="M13" s="388"/>
      <c r="N13" s="388"/>
      <c r="O13" s="388"/>
      <c r="P13" s="389"/>
      <c r="Q13" s="388"/>
      <c r="R13" s="388"/>
      <c r="S13" s="389"/>
      <c r="T13" s="391"/>
    </row>
    <row r="14" spans="1:20" ht="19.95" customHeight="1">
      <c r="A14" s="21" t="s">
        <v>204</v>
      </c>
      <c r="B14" s="21" t="s">
        <v>205</v>
      </c>
      <c r="C14" s="21" t="s">
        <v>218</v>
      </c>
      <c r="D14" s="72" t="s">
        <v>8</v>
      </c>
      <c r="E14" s="37">
        <f>VLOOKUP(A14,'[2]Tx Design'!A:E, 5,)</f>
        <v>0</v>
      </c>
      <c r="F14" s="72"/>
      <c r="G14" s="23"/>
      <c r="H14" s="34"/>
      <c r="I14" s="34"/>
      <c r="J14" s="34"/>
      <c r="K14" s="73"/>
      <c r="L14" s="73"/>
      <c r="M14" s="23"/>
      <c r="N14" s="23"/>
      <c r="O14" s="23"/>
      <c r="P14" s="34"/>
      <c r="Q14" s="23"/>
      <c r="R14" s="23"/>
      <c r="S14" s="34"/>
    </row>
    <row r="15" spans="1:20" ht="19.95" customHeight="1">
      <c r="A15" s="52" t="s">
        <v>194</v>
      </c>
      <c r="B15" s="52" t="s">
        <v>195</v>
      </c>
      <c r="C15" s="52" t="s">
        <v>176</v>
      </c>
      <c r="D15" s="75" t="s">
        <v>10</v>
      </c>
      <c r="E15" s="98" t="str">
        <f>VLOOKUP(A15,'[2]Tx Design'!A:E, 5,)</f>
        <v>WIBAS_2026_1651</v>
      </c>
      <c r="F15" s="75" t="s">
        <v>99</v>
      </c>
      <c r="G15" s="31" t="s">
        <v>14</v>
      </c>
      <c r="H15" s="49">
        <v>46225</v>
      </c>
      <c r="I15" s="30"/>
      <c r="J15" s="30" t="s">
        <v>421</v>
      </c>
      <c r="K15" s="62"/>
      <c r="L15" s="62" t="s">
        <v>422</v>
      </c>
      <c r="M15" s="31" t="s">
        <v>328</v>
      </c>
      <c r="N15" s="31" t="s">
        <v>329</v>
      </c>
      <c r="O15" s="31" t="s">
        <v>361</v>
      </c>
      <c r="P15" s="30" t="s">
        <v>88</v>
      </c>
      <c r="Q15" s="31" t="s">
        <v>124</v>
      </c>
      <c r="R15" s="31" t="s">
        <v>125</v>
      </c>
      <c r="S15" s="30" t="s">
        <v>73</v>
      </c>
    </row>
    <row r="16" spans="1:20" ht="19.95" customHeight="1">
      <c r="A16" s="52" t="s">
        <v>192</v>
      </c>
      <c r="B16" s="52" t="s">
        <v>193</v>
      </c>
      <c r="C16" s="52" t="s">
        <v>176</v>
      </c>
      <c r="D16" s="75" t="s">
        <v>8</v>
      </c>
      <c r="E16" s="98" t="str">
        <f>VLOOKUP(A16,'[2]Tx Design'!A:E, 5,)</f>
        <v>MW_2026_2123</v>
      </c>
      <c r="F16" s="75" t="s">
        <v>460</v>
      </c>
      <c r="G16" s="31" t="s">
        <v>463</v>
      </c>
      <c r="H16" s="30"/>
      <c r="I16" s="30"/>
      <c r="J16" s="30"/>
      <c r="K16" s="62"/>
      <c r="L16" s="62"/>
      <c r="M16" s="31" t="s">
        <v>459</v>
      </c>
      <c r="N16" s="130"/>
      <c r="O16" s="130"/>
      <c r="P16" s="131"/>
      <c r="Q16" s="130"/>
      <c r="R16" s="130"/>
      <c r="S16" s="131"/>
    </row>
    <row r="17" spans="1:19" ht="19.95" customHeight="1">
      <c r="A17" s="9" t="s">
        <v>212</v>
      </c>
      <c r="B17" s="9" t="s">
        <v>213</v>
      </c>
      <c r="C17" s="58" t="s">
        <v>218</v>
      </c>
      <c r="D17" s="72" t="s">
        <v>8</v>
      </c>
      <c r="E17" s="37">
        <f>VLOOKUP(A17,'[2]Tx Design'!A:E, 5,)</f>
        <v>0</v>
      </c>
      <c r="F17" s="72"/>
      <c r="G17" s="23"/>
      <c r="H17" s="34"/>
      <c r="I17" s="34"/>
      <c r="J17" s="34"/>
      <c r="K17" s="73"/>
      <c r="L17" s="73"/>
      <c r="M17" s="23" t="s">
        <v>406</v>
      </c>
      <c r="N17" s="23"/>
      <c r="O17" s="23"/>
      <c r="P17" s="34"/>
      <c r="Q17" s="23"/>
      <c r="R17" s="23"/>
      <c r="S17" s="34"/>
    </row>
    <row r="18" spans="1:19" ht="19.95" customHeight="1">
      <c r="A18" s="117" t="s">
        <v>214</v>
      </c>
      <c r="B18" s="117" t="s">
        <v>215</v>
      </c>
      <c r="C18" s="118" t="s">
        <v>218</v>
      </c>
      <c r="D18" s="75" t="s">
        <v>8</v>
      </c>
      <c r="E18" s="98">
        <f>VLOOKUP(A18,'[2]Tx Design'!A:E, 5,)</f>
        <v>0</v>
      </c>
      <c r="F18" s="75" t="s">
        <v>99</v>
      </c>
      <c r="G18" s="31" t="s">
        <v>14</v>
      </c>
      <c r="H18" s="49">
        <v>46231</v>
      </c>
      <c r="I18" s="30"/>
      <c r="J18" s="30"/>
      <c r="K18" s="62"/>
      <c r="L18" s="62" t="s">
        <v>633</v>
      </c>
      <c r="M18" s="31" t="s">
        <v>407</v>
      </c>
      <c r="N18" s="31" t="s">
        <v>413</v>
      </c>
      <c r="O18" s="31" t="s">
        <v>437</v>
      </c>
      <c r="P18" s="30" t="s">
        <v>73</v>
      </c>
      <c r="Q18" s="31" t="s">
        <v>414</v>
      </c>
      <c r="R18" s="31" t="s">
        <v>438</v>
      </c>
      <c r="S18" s="30" t="s">
        <v>73</v>
      </c>
    </row>
    <row r="19" spans="1:19" ht="19.95" customHeight="1">
      <c r="A19" s="117" t="s">
        <v>216</v>
      </c>
      <c r="B19" s="117" t="s">
        <v>217</v>
      </c>
      <c r="C19" s="118" t="s">
        <v>218</v>
      </c>
      <c r="D19" s="75" t="s">
        <v>8</v>
      </c>
      <c r="E19" s="98">
        <f>VLOOKUP(A19,'[2]Tx Design'!A:E, 5,)</f>
        <v>0</v>
      </c>
      <c r="F19" s="75" t="s">
        <v>99</v>
      </c>
      <c r="G19" s="31" t="s">
        <v>14</v>
      </c>
      <c r="H19" s="49">
        <v>46224</v>
      </c>
      <c r="I19" s="30"/>
      <c r="J19" s="30" t="s">
        <v>61</v>
      </c>
      <c r="K19" s="62"/>
      <c r="L19" s="62" t="s">
        <v>436</v>
      </c>
      <c r="M19" s="31" t="s">
        <v>317</v>
      </c>
      <c r="N19" s="31" t="s">
        <v>315</v>
      </c>
      <c r="O19" s="31" t="s">
        <v>324</v>
      </c>
      <c r="P19" s="30" t="s">
        <v>73</v>
      </c>
      <c r="Q19" s="31" t="s">
        <v>316</v>
      </c>
      <c r="R19" s="31" t="s">
        <v>323</v>
      </c>
      <c r="S19" s="30" t="s">
        <v>73</v>
      </c>
    </row>
    <row r="20" spans="1:19" ht="19.95" customHeight="1">
      <c r="A20" s="53" t="s">
        <v>190</v>
      </c>
      <c r="B20" s="53" t="s">
        <v>191</v>
      </c>
      <c r="C20" s="53" t="s">
        <v>176</v>
      </c>
      <c r="D20" s="74" t="s">
        <v>8</v>
      </c>
      <c r="E20" s="93">
        <f>VLOOKUP(A20,'[2]Tx Design'!A:E, 5,)</f>
        <v>0</v>
      </c>
      <c r="F20" s="74"/>
      <c r="G20" s="29"/>
      <c r="H20" s="28"/>
      <c r="I20" s="28"/>
      <c r="J20" s="28"/>
      <c r="K20" s="63"/>
      <c r="L20" s="63"/>
      <c r="M20" s="29" t="s">
        <v>402</v>
      </c>
      <c r="N20" s="29" t="s">
        <v>411</v>
      </c>
      <c r="O20" s="29" t="s">
        <v>441</v>
      </c>
      <c r="P20" s="28"/>
      <c r="Q20" s="29" t="s">
        <v>412</v>
      </c>
      <c r="R20" s="29" t="s">
        <v>442</v>
      </c>
      <c r="S20" s="28"/>
    </row>
    <row r="21" spans="1:19" ht="19.95" customHeight="1">
      <c r="A21" s="21" t="s">
        <v>190</v>
      </c>
      <c r="B21" s="21" t="s">
        <v>191</v>
      </c>
      <c r="C21" s="21" t="s">
        <v>176</v>
      </c>
      <c r="D21" s="72" t="s">
        <v>8</v>
      </c>
      <c r="E21" s="37">
        <f>VLOOKUP(A21,'[2]Tx Design'!A:E, 5,)</f>
        <v>0</v>
      </c>
      <c r="F21" s="72"/>
      <c r="G21" s="23"/>
      <c r="H21" s="34"/>
      <c r="I21" s="34"/>
      <c r="J21" s="34"/>
      <c r="K21" s="73"/>
      <c r="L21" s="73" t="s">
        <v>610</v>
      </c>
      <c r="M21" s="23" t="s">
        <v>605</v>
      </c>
      <c r="N21" s="23" t="s">
        <v>606</v>
      </c>
      <c r="O21" s="23" t="s">
        <v>608</v>
      </c>
      <c r="P21" s="34"/>
      <c r="Q21" s="23" t="s">
        <v>607</v>
      </c>
      <c r="R21" s="23" t="s">
        <v>609</v>
      </c>
      <c r="S21" s="34"/>
    </row>
    <row r="22" spans="1:19" ht="19.95" customHeight="1">
      <c r="A22" s="158" t="s">
        <v>286</v>
      </c>
      <c r="B22" s="159" t="s">
        <v>287</v>
      </c>
      <c r="C22" s="31" t="s">
        <v>176</v>
      </c>
      <c r="D22" s="98" t="s">
        <v>8</v>
      </c>
      <c r="E22" s="98" t="str">
        <f>VLOOKUP(A22,'[2]Tx Design'!A:E, 5,)</f>
        <v>MW_2026_2011</v>
      </c>
      <c r="F22" s="75"/>
      <c r="G22" s="31"/>
      <c r="H22" s="30"/>
      <c r="I22" s="30"/>
      <c r="J22" s="30"/>
      <c r="K22" s="62"/>
      <c r="L22" s="62" t="s">
        <v>538</v>
      </c>
      <c r="M22" s="31" t="s">
        <v>405</v>
      </c>
      <c r="N22" s="31" t="s">
        <v>409</v>
      </c>
      <c r="O22" s="31" t="s">
        <v>443</v>
      </c>
      <c r="P22" s="30" t="s">
        <v>73</v>
      </c>
      <c r="Q22" s="31" t="s">
        <v>410</v>
      </c>
      <c r="R22" s="31" t="s">
        <v>444</v>
      </c>
      <c r="S22" s="30" t="s">
        <v>73</v>
      </c>
    </row>
    <row r="23" spans="1:19" ht="19.95" customHeight="1">
      <c r="A23" s="158" t="s">
        <v>290</v>
      </c>
      <c r="B23" s="159" t="s">
        <v>291</v>
      </c>
      <c r="C23" s="29" t="s">
        <v>176</v>
      </c>
      <c r="D23" s="93" t="s">
        <v>10</v>
      </c>
      <c r="E23" s="93">
        <f>VLOOKUP(A23,'[2]Tx Design'!A:E, 5,)</f>
        <v>0</v>
      </c>
      <c r="F23" s="74"/>
      <c r="G23" s="29"/>
      <c r="H23" s="28"/>
      <c r="I23" s="28"/>
      <c r="J23" s="28"/>
      <c r="K23" s="63"/>
      <c r="L23" s="63"/>
      <c r="M23" s="29" t="s">
        <v>525</v>
      </c>
      <c r="N23" s="29" t="s">
        <v>521</v>
      </c>
      <c r="O23" s="29" t="s">
        <v>523</v>
      </c>
      <c r="P23" s="28"/>
      <c r="Q23" s="29" t="s">
        <v>522</v>
      </c>
      <c r="R23" s="29" t="s">
        <v>524</v>
      </c>
      <c r="S23" s="28"/>
    </row>
    <row r="24" spans="1:19" ht="19.95" customHeight="1">
      <c r="A24" s="158" t="s">
        <v>292</v>
      </c>
      <c r="B24" s="159" t="s">
        <v>293</v>
      </c>
      <c r="C24" s="23" t="s">
        <v>176</v>
      </c>
      <c r="D24" s="37" t="s">
        <v>8</v>
      </c>
      <c r="E24" s="37" t="str">
        <f>VLOOKUP(A24,'[2]Tx Design'!A:E, 5,)</f>
        <v>MW_2026_1877</v>
      </c>
      <c r="F24" s="72"/>
      <c r="G24" s="23"/>
      <c r="H24" s="34"/>
      <c r="I24" s="34"/>
      <c r="J24" s="34"/>
      <c r="K24" s="73"/>
      <c r="L24" s="73"/>
      <c r="M24" s="23" t="s">
        <v>353</v>
      </c>
      <c r="N24" s="23" t="s">
        <v>354</v>
      </c>
      <c r="O24" s="23" t="s">
        <v>362</v>
      </c>
      <c r="P24" s="34"/>
      <c r="Q24" s="23" t="s">
        <v>355</v>
      </c>
      <c r="R24" s="23" t="s">
        <v>363</v>
      </c>
      <c r="S24" s="34"/>
    </row>
    <row r="25" spans="1:19" ht="19.95" customHeight="1">
      <c r="A25" s="158" t="s">
        <v>299</v>
      </c>
      <c r="B25" s="159" t="s">
        <v>300</v>
      </c>
      <c r="C25" s="23" t="s">
        <v>176</v>
      </c>
      <c r="D25" s="37" t="s">
        <v>10</v>
      </c>
      <c r="E25" s="37">
        <f>VLOOKUP(A25,'[2]Tx Design'!A:E, 5,)</f>
        <v>0</v>
      </c>
      <c r="F25" s="72"/>
      <c r="G25" s="23"/>
      <c r="H25" s="34"/>
      <c r="I25" s="34"/>
      <c r="J25" s="34"/>
      <c r="K25" s="73"/>
      <c r="L25" s="73"/>
      <c r="M25" s="23"/>
      <c r="N25" s="23"/>
      <c r="O25" s="23"/>
      <c r="P25" s="34"/>
      <c r="Q25" s="23"/>
      <c r="R25" s="23"/>
      <c r="S25" s="34"/>
    </row>
    <row r="26" spans="1:19" ht="19.95" customHeight="1">
      <c r="A26" s="156" t="s">
        <v>168</v>
      </c>
      <c r="B26" s="156" t="s">
        <v>175</v>
      </c>
      <c r="C26" s="21" t="s">
        <v>176</v>
      </c>
      <c r="D26" s="37" t="s">
        <v>8</v>
      </c>
      <c r="E26" s="37" t="str">
        <f>VLOOKUP(A26,'[2]Tx Design'!A:E, 5,)</f>
        <v>Pending</v>
      </c>
      <c r="F26" s="72"/>
      <c r="G26" s="23"/>
      <c r="H26" s="34"/>
      <c r="I26" s="34"/>
      <c r="J26" s="34"/>
      <c r="K26" s="73"/>
      <c r="L26" s="73"/>
      <c r="M26" s="23" t="s">
        <v>318</v>
      </c>
      <c r="N26" s="23" t="s">
        <v>319</v>
      </c>
      <c r="O26" s="23" t="s">
        <v>322</v>
      </c>
      <c r="P26" s="34"/>
      <c r="Q26" s="23" t="s">
        <v>320</v>
      </c>
      <c r="R26" s="23" t="s">
        <v>321</v>
      </c>
      <c r="S26" s="34"/>
    </row>
    <row r="27" spans="1:19" ht="19.95" customHeight="1">
      <c r="A27" s="154" t="s">
        <v>294</v>
      </c>
      <c r="B27" s="155" t="s">
        <v>295</v>
      </c>
      <c r="C27" s="31" t="s">
        <v>176</v>
      </c>
      <c r="D27" s="98" t="s">
        <v>8</v>
      </c>
      <c r="E27" s="98" t="str">
        <f>VLOOKUP(A27,'[2]Tx Design'!A:E, 5,)</f>
        <v>MW_2026_1991</v>
      </c>
      <c r="F27" s="75" t="s">
        <v>99</v>
      </c>
      <c r="G27" s="31" t="s">
        <v>14</v>
      </c>
      <c r="H27" s="49">
        <v>46231</v>
      </c>
      <c r="I27" s="30"/>
      <c r="J27" s="30"/>
      <c r="K27" s="62"/>
      <c r="L27" s="62" t="s">
        <v>527</v>
      </c>
      <c r="M27" s="31" t="s">
        <v>334</v>
      </c>
      <c r="N27" s="31" t="s">
        <v>335</v>
      </c>
      <c r="O27" s="31" t="s">
        <v>364</v>
      </c>
      <c r="P27" s="30" t="s">
        <v>88</v>
      </c>
      <c r="Q27" s="31" t="s">
        <v>336</v>
      </c>
      <c r="R27" s="31" t="s">
        <v>365</v>
      </c>
      <c r="S27" s="30" t="s">
        <v>88</v>
      </c>
    </row>
    <row r="28" spans="1:19" ht="19.95" customHeight="1">
      <c r="A28" s="21"/>
      <c r="B28" s="21"/>
      <c r="C28" s="23"/>
      <c r="D28" s="72"/>
      <c r="E28" s="72"/>
      <c r="F28" s="72"/>
      <c r="G28" s="23"/>
      <c r="H28" s="34"/>
      <c r="I28" s="34"/>
      <c r="J28" s="34"/>
      <c r="K28" s="73"/>
      <c r="L28" s="73"/>
      <c r="M28" s="23"/>
      <c r="N28" s="23"/>
      <c r="O28" s="23"/>
      <c r="P28" s="34"/>
      <c r="Q28" s="23"/>
      <c r="R28" s="23"/>
      <c r="S28" s="34"/>
    </row>
    <row r="29" spans="1:19" ht="19.95" customHeight="1">
      <c r="A29" s="21"/>
      <c r="B29" s="21"/>
      <c r="C29" s="23"/>
      <c r="D29" s="72"/>
      <c r="E29" s="72"/>
      <c r="F29" s="72"/>
      <c r="G29" s="23"/>
      <c r="H29" s="34"/>
      <c r="I29" s="34"/>
      <c r="J29" s="34"/>
      <c r="K29" s="73"/>
      <c r="L29" s="73"/>
      <c r="M29" s="23"/>
      <c r="N29" s="23"/>
      <c r="O29" s="23"/>
      <c r="P29" s="34"/>
      <c r="Q29" s="23"/>
      <c r="R29" s="23"/>
      <c r="S29" s="34"/>
    </row>
    <row r="30" spans="1:19" ht="19.95" customHeight="1">
      <c r="A30" s="21"/>
      <c r="B30" s="21"/>
      <c r="C30" s="23"/>
      <c r="D30" s="72"/>
      <c r="E30" s="72"/>
      <c r="F30" s="72"/>
      <c r="G30" s="23"/>
      <c r="H30" s="34"/>
      <c r="I30" s="34"/>
      <c r="J30" s="34"/>
      <c r="K30" s="73"/>
      <c r="L30" s="73"/>
      <c r="M30" s="23"/>
      <c r="N30" s="23"/>
      <c r="O30" s="23"/>
      <c r="P30" s="34"/>
      <c r="Q30" s="23"/>
      <c r="R30" s="23"/>
      <c r="S30" s="34"/>
    </row>
    <row r="31" spans="1:19" ht="19.95" customHeight="1">
      <c r="A31" s="21"/>
      <c r="B31" s="21"/>
      <c r="C31" s="23"/>
      <c r="D31" s="72"/>
      <c r="E31" s="72"/>
      <c r="F31" s="72"/>
      <c r="G31" s="23"/>
      <c r="H31" s="34"/>
      <c r="I31" s="34"/>
      <c r="J31" s="34"/>
      <c r="K31" s="73"/>
      <c r="L31" s="73"/>
      <c r="M31" s="23"/>
      <c r="N31" s="23"/>
      <c r="O31" s="23"/>
      <c r="P31" s="34"/>
      <c r="Q31" s="23"/>
      <c r="R31" s="23"/>
      <c r="S31" s="34"/>
    </row>
    <row r="32" spans="1:19" ht="19.95" customHeight="1">
      <c r="A32" s="21"/>
      <c r="B32" s="21"/>
      <c r="C32" s="23"/>
      <c r="D32" s="72"/>
      <c r="E32" s="72"/>
      <c r="F32" s="72"/>
      <c r="G32" s="23"/>
      <c r="H32" s="34"/>
      <c r="I32" s="34"/>
      <c r="J32" s="34"/>
      <c r="K32" s="73"/>
      <c r="L32" s="73"/>
      <c r="M32" s="23"/>
      <c r="N32" s="23"/>
      <c r="O32" s="23"/>
      <c r="P32" s="34"/>
      <c r="Q32" s="23"/>
      <c r="R32" s="23"/>
      <c r="S32" s="34"/>
    </row>
    <row r="33" spans="1:19" ht="19.95" customHeight="1">
      <c r="A33" s="21"/>
      <c r="B33" s="21"/>
      <c r="C33" s="23"/>
      <c r="D33" s="72"/>
      <c r="E33" s="72"/>
      <c r="F33" s="72"/>
      <c r="G33" s="23"/>
      <c r="H33" s="34"/>
      <c r="I33" s="34"/>
      <c r="J33" s="34"/>
      <c r="K33" s="73"/>
      <c r="L33" s="73"/>
      <c r="M33" s="23"/>
      <c r="N33" s="23"/>
      <c r="O33" s="23"/>
      <c r="P33" s="34"/>
      <c r="Q33" s="23"/>
      <c r="R33" s="23"/>
      <c r="S33" s="34"/>
    </row>
    <row r="34" spans="1:19" ht="19.95" customHeight="1">
      <c r="A34" s="21"/>
      <c r="B34" s="21"/>
      <c r="C34" s="23"/>
      <c r="D34" s="72"/>
      <c r="E34" s="72"/>
      <c r="F34" s="72"/>
      <c r="G34" s="23"/>
      <c r="H34" s="34"/>
      <c r="I34" s="34"/>
      <c r="J34" s="34"/>
      <c r="K34" s="73"/>
      <c r="L34" s="73"/>
      <c r="M34" s="23"/>
      <c r="N34" s="23"/>
      <c r="O34" s="23"/>
      <c r="P34" s="34"/>
      <c r="Q34" s="23"/>
      <c r="R34" s="23"/>
      <c r="S34" s="34"/>
    </row>
    <row r="35" spans="1:19" ht="19.95" customHeight="1">
      <c r="A35" s="21"/>
      <c r="B35" s="21"/>
      <c r="C35" s="23"/>
      <c r="D35" s="72"/>
      <c r="E35" s="72"/>
      <c r="F35" s="72"/>
      <c r="G35" s="23"/>
      <c r="H35" s="34"/>
      <c r="I35" s="34"/>
      <c r="J35" s="34"/>
      <c r="K35" s="73"/>
      <c r="L35" s="73"/>
      <c r="M35" s="23"/>
      <c r="N35" s="23"/>
      <c r="O35" s="23"/>
      <c r="P35" s="34"/>
      <c r="Q35" s="23"/>
      <c r="R35" s="23"/>
      <c r="S35" s="34"/>
    </row>
    <row r="36" spans="1:19" ht="19.95" customHeight="1">
      <c r="A36" s="21"/>
      <c r="B36" s="21"/>
      <c r="C36" s="23"/>
      <c r="D36" s="72"/>
      <c r="E36" s="72"/>
      <c r="F36" s="72"/>
      <c r="G36" s="23"/>
      <c r="H36" s="34"/>
      <c r="I36" s="34"/>
      <c r="J36" s="34"/>
      <c r="K36" s="73"/>
      <c r="L36" s="73"/>
      <c r="M36" s="23"/>
      <c r="N36" s="23"/>
      <c r="O36" s="23"/>
      <c r="P36" s="34"/>
      <c r="Q36" s="23"/>
      <c r="R36" s="23"/>
      <c r="S36" s="34"/>
    </row>
    <row r="37" spans="1:19" ht="19.95" customHeight="1">
      <c r="A37" s="21"/>
      <c r="B37" s="21"/>
      <c r="C37" s="23"/>
      <c r="D37" s="72"/>
      <c r="E37" s="72"/>
      <c r="F37" s="72"/>
      <c r="G37" s="23"/>
      <c r="H37" s="34"/>
      <c r="I37" s="34"/>
      <c r="J37" s="34"/>
      <c r="K37" s="73"/>
      <c r="L37" s="73"/>
      <c r="M37" s="23"/>
      <c r="N37" s="23"/>
      <c r="O37" s="23"/>
      <c r="P37" s="34"/>
      <c r="Q37" s="23"/>
      <c r="R37" s="23"/>
      <c r="S37" s="34"/>
    </row>
    <row r="38" spans="1:19" ht="19.95" customHeight="1">
      <c r="A38" s="21"/>
      <c r="B38" s="21"/>
      <c r="C38" s="23"/>
      <c r="D38" s="72"/>
      <c r="E38" s="72"/>
      <c r="F38" s="72"/>
      <c r="G38" s="23"/>
      <c r="H38" s="34"/>
      <c r="I38" s="34"/>
      <c r="J38" s="34"/>
      <c r="K38" s="73"/>
      <c r="L38" s="73"/>
      <c r="M38" s="23"/>
      <c r="N38" s="23"/>
      <c r="O38" s="23"/>
      <c r="P38" s="34"/>
      <c r="Q38" s="23"/>
      <c r="R38" s="23"/>
      <c r="S38" s="34"/>
    </row>
    <row r="39" spans="1:19" ht="19.95" customHeight="1">
      <c r="A39" s="21"/>
      <c r="B39" s="21"/>
      <c r="C39" s="23"/>
      <c r="D39" s="72"/>
      <c r="E39" s="72"/>
      <c r="F39" s="72"/>
      <c r="G39" s="23"/>
      <c r="H39" s="34"/>
      <c r="I39" s="34"/>
      <c r="J39" s="34"/>
      <c r="K39" s="73"/>
      <c r="L39" s="73"/>
      <c r="M39" s="23"/>
      <c r="N39" s="23"/>
      <c r="O39" s="23"/>
      <c r="P39" s="34"/>
      <c r="Q39" s="23"/>
      <c r="R39" s="23"/>
      <c r="S39" s="34"/>
    </row>
    <row r="40" spans="1:19" ht="19.95" customHeight="1">
      <c r="A40" s="21"/>
      <c r="B40" s="21"/>
      <c r="C40" s="23"/>
      <c r="D40" s="72"/>
      <c r="E40" s="72"/>
      <c r="F40" s="72"/>
      <c r="G40" s="23"/>
      <c r="H40" s="34"/>
      <c r="I40" s="34"/>
      <c r="J40" s="34"/>
      <c r="K40" s="73"/>
      <c r="L40" s="73"/>
      <c r="M40" s="23"/>
      <c r="N40" s="23"/>
      <c r="O40" s="23"/>
      <c r="P40" s="34"/>
      <c r="Q40" s="23"/>
      <c r="R40" s="23"/>
      <c r="S40" s="34"/>
    </row>
    <row r="41" spans="1:19" ht="19.95" customHeight="1">
      <c r="A41" s="21"/>
      <c r="B41" s="21"/>
      <c r="C41" s="23"/>
      <c r="D41" s="72"/>
      <c r="E41" s="72"/>
      <c r="F41" s="72"/>
      <c r="G41" s="23"/>
      <c r="H41" s="34"/>
      <c r="I41" s="34"/>
      <c r="J41" s="34"/>
      <c r="K41" s="73"/>
      <c r="L41" s="73"/>
      <c r="M41" s="23"/>
      <c r="N41" s="23"/>
      <c r="O41" s="23"/>
      <c r="P41" s="34"/>
      <c r="Q41" s="23"/>
      <c r="R41" s="23"/>
      <c r="S41" s="34"/>
    </row>
    <row r="42" spans="1:19" ht="19.95" customHeight="1">
      <c r="A42" s="21"/>
      <c r="B42" s="21"/>
      <c r="C42" s="23"/>
      <c r="D42" s="72"/>
      <c r="E42" s="72"/>
      <c r="F42" s="72"/>
      <c r="G42" s="23"/>
      <c r="H42" s="34"/>
      <c r="I42" s="34"/>
      <c r="J42" s="34"/>
      <c r="K42" s="73"/>
      <c r="L42" s="73"/>
      <c r="M42" s="23"/>
      <c r="N42" s="23"/>
      <c r="O42" s="23"/>
      <c r="P42" s="34"/>
      <c r="Q42" s="23"/>
      <c r="R42" s="23"/>
      <c r="S42" s="34"/>
    </row>
    <row r="43" spans="1:19" ht="19.95" customHeight="1">
      <c r="A43" s="21"/>
      <c r="B43" s="21"/>
      <c r="C43" s="23"/>
      <c r="D43" s="72"/>
      <c r="E43" s="72"/>
      <c r="F43" s="72"/>
      <c r="G43" s="23"/>
      <c r="H43" s="34"/>
      <c r="I43" s="34"/>
      <c r="J43" s="34"/>
      <c r="K43" s="73"/>
      <c r="L43" s="73"/>
      <c r="M43" s="23"/>
      <c r="N43" s="23"/>
      <c r="O43" s="23"/>
      <c r="P43" s="34"/>
      <c r="Q43" s="23"/>
      <c r="R43" s="23"/>
      <c r="S43" s="34"/>
    </row>
    <row r="44" spans="1:19" ht="19.95" customHeight="1">
      <c r="A44" s="21"/>
      <c r="B44" s="21"/>
      <c r="C44" s="23"/>
      <c r="D44" s="72"/>
      <c r="E44" s="72"/>
      <c r="F44" s="72"/>
      <c r="G44" s="23"/>
      <c r="H44" s="34"/>
      <c r="I44" s="34"/>
      <c r="J44" s="34"/>
      <c r="K44" s="73"/>
      <c r="L44" s="73"/>
      <c r="M44" s="23"/>
      <c r="N44" s="23"/>
      <c r="O44" s="23"/>
      <c r="P44" s="34"/>
      <c r="Q44" s="23"/>
      <c r="R44" s="23"/>
      <c r="S44" s="34"/>
    </row>
    <row r="45" spans="1:19" ht="19.95" customHeight="1">
      <c r="A45" s="21"/>
      <c r="B45" s="21"/>
      <c r="C45" s="23"/>
      <c r="D45" s="72"/>
      <c r="E45" s="72"/>
      <c r="F45" s="72"/>
      <c r="G45" s="23"/>
      <c r="H45" s="34"/>
      <c r="I45" s="34"/>
      <c r="J45" s="34"/>
      <c r="K45" s="73"/>
      <c r="L45" s="73"/>
      <c r="M45" s="23"/>
      <c r="N45" s="23"/>
      <c r="O45" s="23"/>
      <c r="P45" s="34"/>
      <c r="Q45" s="23"/>
      <c r="R45" s="23"/>
      <c r="S45" s="34"/>
    </row>
    <row r="46" spans="1:19" ht="19.95" customHeight="1">
      <c r="A46" s="21"/>
      <c r="B46" s="21"/>
      <c r="C46" s="23"/>
      <c r="D46" s="72"/>
      <c r="E46" s="72"/>
      <c r="F46" s="72"/>
      <c r="G46" s="23"/>
      <c r="H46" s="34"/>
      <c r="I46" s="34"/>
      <c r="J46" s="34"/>
      <c r="K46" s="73"/>
      <c r="L46" s="73"/>
      <c r="M46" s="23"/>
      <c r="N46" s="23"/>
      <c r="O46" s="23"/>
      <c r="P46" s="34"/>
      <c r="Q46" s="23"/>
      <c r="R46" s="23"/>
      <c r="S46" s="34"/>
    </row>
    <row r="47" spans="1:19" ht="19.95" customHeight="1">
      <c r="A47" s="21"/>
      <c r="B47" s="21"/>
      <c r="C47" s="23"/>
      <c r="D47" s="72"/>
      <c r="E47" s="72"/>
      <c r="F47" s="72"/>
      <c r="G47" s="23"/>
      <c r="H47" s="34"/>
      <c r="I47" s="34"/>
      <c r="J47" s="34"/>
      <c r="K47" s="73"/>
      <c r="L47" s="73"/>
      <c r="M47" s="23"/>
      <c r="N47" s="23"/>
      <c r="O47" s="23"/>
      <c r="P47" s="34"/>
      <c r="Q47" s="23"/>
      <c r="R47" s="23"/>
      <c r="S47" s="34"/>
    </row>
    <row r="48" spans="1:19" ht="19.95" customHeight="1">
      <c r="A48" s="21"/>
      <c r="B48" s="21"/>
      <c r="C48" s="23"/>
      <c r="D48" s="72"/>
      <c r="E48" s="72"/>
      <c r="F48" s="72"/>
      <c r="G48" s="23"/>
      <c r="H48" s="34"/>
      <c r="I48" s="34"/>
      <c r="J48" s="34"/>
      <c r="K48" s="73"/>
      <c r="L48" s="73"/>
      <c r="M48" s="23"/>
      <c r="N48" s="23"/>
      <c r="O48" s="23"/>
      <c r="P48" s="34"/>
      <c r="Q48" s="23"/>
      <c r="R48" s="23"/>
      <c r="S48" s="34"/>
    </row>
    <row r="49" spans="1:19" ht="19.95" customHeight="1">
      <c r="A49" s="21"/>
      <c r="B49" s="21"/>
      <c r="C49" s="23"/>
      <c r="D49" s="72"/>
      <c r="E49" s="72"/>
      <c r="F49" s="72"/>
      <c r="G49" s="23"/>
      <c r="H49" s="34"/>
      <c r="I49" s="34"/>
      <c r="J49" s="34"/>
      <c r="K49" s="73"/>
      <c r="L49" s="73"/>
      <c r="M49" s="23"/>
      <c r="N49" s="23"/>
      <c r="O49" s="23"/>
      <c r="P49" s="34"/>
      <c r="Q49" s="23"/>
      <c r="R49" s="23"/>
      <c r="S49" s="34"/>
    </row>
    <row r="50" spans="1:19" ht="19.95" customHeight="1">
      <c r="A50" s="21"/>
      <c r="B50" s="21"/>
      <c r="C50" s="23"/>
      <c r="D50" s="72"/>
      <c r="E50" s="72"/>
      <c r="F50" s="72"/>
      <c r="G50" s="23"/>
      <c r="H50" s="34"/>
      <c r="I50" s="34"/>
      <c r="J50" s="34"/>
      <c r="K50" s="73"/>
      <c r="L50" s="73"/>
      <c r="M50" s="23"/>
      <c r="N50" s="23"/>
      <c r="O50" s="23"/>
      <c r="P50" s="34"/>
      <c r="Q50" s="23"/>
      <c r="R50" s="23"/>
      <c r="S50" s="34"/>
    </row>
    <row r="51" spans="1:19" ht="19.95" customHeight="1">
      <c r="A51" s="21"/>
      <c r="B51" s="21"/>
      <c r="C51" s="23"/>
      <c r="D51" s="72"/>
      <c r="E51" s="72"/>
      <c r="F51" s="72"/>
      <c r="G51" s="23"/>
      <c r="H51" s="34"/>
      <c r="I51" s="34"/>
      <c r="J51" s="34"/>
      <c r="K51" s="73"/>
      <c r="L51" s="73"/>
      <c r="M51" s="23"/>
      <c r="N51" s="23"/>
      <c r="O51" s="23"/>
      <c r="P51" s="34"/>
      <c r="Q51" s="23"/>
      <c r="R51" s="23"/>
      <c r="S51" s="34"/>
    </row>
    <row r="52" spans="1:19" ht="19.95" customHeight="1">
      <c r="A52" s="21"/>
      <c r="B52" s="21"/>
      <c r="C52" s="23"/>
      <c r="D52" s="72"/>
      <c r="E52" s="72"/>
      <c r="F52" s="72"/>
      <c r="G52" s="23"/>
      <c r="H52" s="34"/>
      <c r="I52" s="34"/>
      <c r="J52" s="34"/>
      <c r="K52" s="73"/>
      <c r="L52" s="73"/>
      <c r="M52" s="23"/>
      <c r="N52" s="23"/>
      <c r="O52" s="23"/>
      <c r="P52" s="34"/>
      <c r="Q52" s="23"/>
      <c r="R52" s="23"/>
      <c r="S52" s="34"/>
    </row>
    <row r="53" spans="1:19" ht="19.95" customHeight="1">
      <c r="A53" s="21"/>
      <c r="B53" s="21"/>
      <c r="C53" s="23"/>
      <c r="D53" s="72"/>
      <c r="E53" s="72"/>
      <c r="F53" s="72"/>
      <c r="G53" s="23"/>
      <c r="H53" s="34"/>
      <c r="I53" s="34"/>
      <c r="J53" s="34"/>
      <c r="K53" s="73"/>
      <c r="L53" s="73"/>
      <c r="M53" s="23"/>
      <c r="N53" s="23"/>
      <c r="O53" s="23"/>
      <c r="P53" s="34"/>
      <c r="Q53" s="23"/>
      <c r="R53" s="23"/>
      <c r="S53" s="34"/>
    </row>
    <row r="54" spans="1:19" ht="19.95" customHeight="1">
      <c r="A54" s="69"/>
      <c r="B54" s="69"/>
      <c r="C54" s="69"/>
    </row>
    <row r="55" spans="1:19" ht="19.95" customHeight="1">
      <c r="A55" s="69"/>
      <c r="B55" s="69"/>
      <c r="C55" s="69"/>
    </row>
    <row r="56" spans="1:19" ht="19.95" customHeight="1">
      <c r="A56" s="69"/>
      <c r="B56" s="69"/>
      <c r="C56" s="69"/>
    </row>
    <row r="57" spans="1:19" ht="19.95" customHeight="1">
      <c r="A57" s="69"/>
      <c r="B57" s="69"/>
      <c r="C57" s="69"/>
    </row>
    <row r="58" spans="1:19" ht="19.95" customHeight="1">
      <c r="A58" s="69"/>
      <c r="B58" s="69"/>
      <c r="C58" s="69"/>
    </row>
    <row r="59" spans="1:19" ht="19.95" customHeight="1">
      <c r="A59" s="69"/>
      <c r="B59" s="69"/>
      <c r="C59" s="69"/>
    </row>
    <row r="60" spans="1:19" ht="19.95" customHeight="1">
      <c r="A60" s="69"/>
      <c r="B60" s="69"/>
      <c r="C60" s="69"/>
    </row>
    <row r="61" spans="1:19" ht="19.95" customHeight="1">
      <c r="A61" s="69"/>
      <c r="B61" s="69"/>
      <c r="C61" s="69"/>
    </row>
    <row r="62" spans="1:19" ht="19.95" customHeight="1">
      <c r="A62" s="69"/>
      <c r="B62" s="69"/>
      <c r="C62" s="69"/>
    </row>
    <row r="63" spans="1:19" ht="19.95" customHeight="1">
      <c r="A63" s="69"/>
      <c r="B63" s="69"/>
      <c r="C63" s="69"/>
    </row>
    <row r="64" spans="1:19" ht="19.95" customHeight="1">
      <c r="A64" s="69"/>
      <c r="B64" s="69"/>
      <c r="C64" s="69"/>
    </row>
    <row r="65" spans="1:3" ht="19.95" customHeight="1">
      <c r="A65" s="69"/>
      <c r="B65" s="69"/>
      <c r="C65" s="69"/>
    </row>
    <row r="66" spans="1:3" ht="19.95" customHeight="1"/>
    <row r="67" spans="1:3" ht="19.95" customHeight="1"/>
    <row r="68" spans="1:3" ht="19.95" customHeight="1"/>
    <row r="69" spans="1:3" ht="19.95" customHeight="1"/>
    <row r="70" spans="1:3" ht="19.95" customHeight="1"/>
    <row r="71" spans="1:3" ht="19.95" customHeight="1"/>
    <row r="72" spans="1:3" ht="19.95" customHeight="1"/>
    <row r="73" spans="1:3" ht="19.95" customHeight="1"/>
    <row r="74" spans="1:3" ht="19.95" customHeight="1"/>
    <row r="75" spans="1:3" ht="19.95" customHeight="1"/>
    <row r="76" spans="1:3" ht="19.95" customHeight="1"/>
    <row r="77" spans="1:3" ht="19.95" customHeight="1"/>
    <row r="78" spans="1:3" ht="19.95" customHeight="1"/>
    <row r="79" spans="1:3" ht="19.95" customHeight="1"/>
    <row r="80" spans="1:3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  <row r="101" ht="19.95" customHeight="1"/>
    <row r="102" ht="19.95" customHeight="1"/>
    <row r="103" ht="19.95" customHeight="1"/>
    <row r="104" ht="19.95" customHeight="1"/>
    <row r="105" ht="19.95" customHeight="1"/>
    <row r="106" ht="19.95" customHeight="1"/>
    <row r="107" ht="19.95" customHeight="1"/>
    <row r="108" ht="19.95" customHeight="1"/>
    <row r="109" ht="19.95" customHeight="1"/>
    <row r="110" ht="19.95" customHeight="1"/>
    <row r="111" ht="19.95" customHeight="1"/>
    <row r="112" ht="19.95" customHeight="1"/>
    <row r="113" ht="19.95" customHeight="1"/>
    <row r="114" ht="19.95" customHeight="1"/>
    <row r="115" ht="19.95" customHeight="1"/>
    <row r="116" ht="19.95" customHeight="1"/>
    <row r="117" ht="19.95" customHeight="1"/>
    <row r="118" ht="19.95" customHeight="1"/>
    <row r="119" ht="19.95" customHeight="1"/>
    <row r="120" ht="19.95" customHeight="1"/>
    <row r="121" ht="19.95" customHeight="1"/>
    <row r="122" ht="19.95" customHeight="1"/>
    <row r="123" ht="19.95" customHeight="1"/>
    <row r="124" ht="19.95" customHeight="1"/>
    <row r="125" ht="19.95" customHeight="1"/>
    <row r="126" ht="19.95" customHeight="1"/>
    <row r="127" ht="19.95" customHeight="1"/>
    <row r="128" ht="19.95" customHeight="1"/>
    <row r="129" ht="19.95" customHeight="1"/>
    <row r="130" ht="19.95" customHeight="1"/>
    <row r="131" ht="19.95" customHeight="1"/>
    <row r="132" ht="19.95" customHeight="1"/>
    <row r="133" ht="19.95" customHeight="1"/>
    <row r="134" ht="19.95" customHeight="1"/>
  </sheetData>
  <autoFilter ref="A2:S27" xr:uid="{D63AA94B-C4BC-4E1D-9AF1-A221E670E616}"/>
  <mergeCells count="2">
    <mergeCell ref="N1:O1"/>
    <mergeCell ref="Q1:R1"/>
  </mergeCells>
  <phoneticPr fontId="20" type="noConversion"/>
  <conditionalFormatting sqref="A3">
    <cfRule type="duplicateValues" dxfId="104" priority="65"/>
    <cfRule type="duplicateValues" dxfId="103" priority="66"/>
  </conditionalFormatting>
  <conditionalFormatting sqref="A3">
    <cfRule type="duplicateValues" dxfId="102" priority="67"/>
  </conditionalFormatting>
  <conditionalFormatting sqref="A3">
    <cfRule type="duplicateValues" dxfId="101" priority="68"/>
  </conditionalFormatting>
  <conditionalFormatting sqref="A3">
    <cfRule type="duplicateValues" dxfId="100" priority="69"/>
  </conditionalFormatting>
  <conditionalFormatting sqref="A3">
    <cfRule type="duplicateValues" dxfId="99" priority="62"/>
    <cfRule type="duplicateValues" dxfId="98" priority="63"/>
    <cfRule type="duplicateValues" dxfId="97" priority="64"/>
  </conditionalFormatting>
  <conditionalFormatting sqref="A3 A6:A9">
    <cfRule type="duplicateValues" dxfId="96" priority="61"/>
  </conditionalFormatting>
  <conditionalFormatting sqref="A3">
    <cfRule type="duplicateValues" dxfId="95" priority="70"/>
  </conditionalFormatting>
  <conditionalFormatting sqref="A15:A16">
    <cfRule type="duplicateValues" dxfId="94" priority="54"/>
    <cfRule type="duplicateValues" dxfId="93" priority="55"/>
  </conditionalFormatting>
  <conditionalFormatting sqref="A15:A16">
    <cfRule type="duplicateValues" dxfId="92" priority="56"/>
  </conditionalFormatting>
  <conditionalFormatting sqref="A15:A16">
    <cfRule type="duplicateValues" dxfId="91" priority="57"/>
  </conditionalFormatting>
  <conditionalFormatting sqref="A15:A16">
    <cfRule type="duplicateValues" dxfId="90" priority="58"/>
  </conditionalFormatting>
  <conditionalFormatting sqref="A15:A16">
    <cfRule type="duplicateValues" dxfId="89" priority="59"/>
  </conditionalFormatting>
  <conditionalFormatting sqref="A14:A15">
    <cfRule type="duplicateValues" dxfId="88" priority="51"/>
    <cfRule type="duplicateValues" dxfId="87" priority="52"/>
    <cfRule type="duplicateValues" dxfId="86" priority="53"/>
  </conditionalFormatting>
  <conditionalFormatting sqref="A14:A16">
    <cfRule type="duplicateValues" dxfId="85" priority="60"/>
  </conditionalFormatting>
  <conditionalFormatting sqref="A26 A16:A17">
    <cfRule type="duplicateValues" dxfId="84" priority="50"/>
  </conditionalFormatting>
  <conditionalFormatting sqref="A26 A17">
    <cfRule type="duplicateValues" dxfId="83" priority="42"/>
  </conditionalFormatting>
  <conditionalFormatting sqref="A26 A17">
    <cfRule type="duplicateValues" dxfId="82" priority="43"/>
    <cfRule type="duplicateValues" dxfId="81" priority="44"/>
    <cfRule type="duplicateValues" dxfId="80" priority="45"/>
  </conditionalFormatting>
  <conditionalFormatting sqref="B26 B17">
    <cfRule type="duplicateValues" dxfId="79" priority="41"/>
  </conditionalFormatting>
  <conditionalFormatting sqref="A17:A20">
    <cfRule type="duplicateValues" dxfId="78" priority="460"/>
    <cfRule type="duplicateValues" dxfId="77" priority="461"/>
    <cfRule type="duplicateValues" dxfId="76" priority="462"/>
    <cfRule type="duplicateValues" dxfId="75" priority="463"/>
    <cfRule type="duplicateValues" dxfId="74" priority="464"/>
    <cfRule type="duplicateValues" dxfId="73" priority="465"/>
    <cfRule type="duplicateValues" dxfId="72" priority="466"/>
    <cfRule type="duplicateValues" dxfId="71" priority="467"/>
    <cfRule type="duplicateValues" dxfId="70" priority="468"/>
    <cfRule type="duplicateValues" dxfId="69" priority="469"/>
  </conditionalFormatting>
  <conditionalFormatting sqref="A22:B25 A27:B27">
    <cfRule type="duplicateValues" dxfId="68" priority="28"/>
  </conditionalFormatting>
  <conditionalFormatting sqref="A22:A1048576 A1 A3 A6:A9 A14:A20">
    <cfRule type="duplicateValues" dxfId="67" priority="7"/>
  </conditionalFormatting>
  <conditionalFormatting sqref="A54:A1048576">
    <cfRule type="duplicateValues" dxfId="66" priority="4"/>
  </conditionalFormatting>
  <conditionalFormatting sqref="A22:B1048576 A1:B1 A3:B3 A6:B9 A14:B20">
    <cfRule type="duplicateValues" dxfId="65" priority="1"/>
  </conditionalFormatting>
  <conditionalFormatting sqref="A26 A16">
    <cfRule type="duplicateValues" dxfId="64" priority="545"/>
  </conditionalFormatting>
  <conditionalFormatting sqref="A26 A16">
    <cfRule type="duplicateValues" dxfId="63" priority="547"/>
    <cfRule type="duplicateValues" dxfId="62" priority="548"/>
    <cfRule type="duplicateValues" dxfId="61" priority="549"/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3EF5A-8309-40AA-A910-B36D842E5DEA}">
  <sheetPr codeName="Sheet5"/>
  <dimension ref="A1:I67"/>
  <sheetViews>
    <sheetView zoomScale="70" zoomScaleNormal="70" workbookViewId="0">
      <pane xSplit="6" ySplit="2" topLeftCell="G14" activePane="bottomRight" state="frozen"/>
      <selection activeCell="RR41" sqref="RR41"/>
      <selection pane="topRight" activeCell="RR41" sqref="RR41"/>
      <selection pane="bottomLeft" activeCell="RR41" sqref="RR41"/>
      <selection pane="bottomRight" activeCell="A21" sqref="A21:XFD21"/>
    </sheetView>
  </sheetViews>
  <sheetFormatPr defaultColWidth="9" defaultRowHeight="14.4"/>
  <cols>
    <col min="1" max="1" width="10.77734375" style="2" customWidth="1"/>
    <col min="2" max="2" width="30.77734375" style="2" customWidth="1"/>
    <col min="3" max="3" width="40.77734375" style="2" customWidth="1"/>
    <col min="4" max="9" width="15.77734375" style="1" customWidth="1"/>
  </cols>
  <sheetData>
    <row r="1" spans="1:9" s="3" customFormat="1" ht="49.8" customHeight="1">
      <c r="A1" s="124" t="s">
        <v>0</v>
      </c>
      <c r="B1" s="124" t="s">
        <v>1</v>
      </c>
      <c r="C1" s="123" t="s">
        <v>116</v>
      </c>
      <c r="D1" s="7" t="s">
        <v>2</v>
      </c>
      <c r="E1" s="124" t="s">
        <v>3</v>
      </c>
      <c r="F1" s="124" t="s">
        <v>4</v>
      </c>
      <c r="G1" s="116" t="s">
        <v>19</v>
      </c>
      <c r="H1" s="116" t="s">
        <v>20</v>
      </c>
      <c r="I1" s="116" t="s">
        <v>233</v>
      </c>
    </row>
    <row r="2" spans="1:9" s="3" customFormat="1" ht="19.95" customHeight="1">
      <c r="A2" s="17">
        <f t="shared" ref="A2:I2" si="0">SUBTOTAL(103, A3:A148)</f>
        <v>31</v>
      </c>
      <c r="B2" s="17">
        <f t="shared" si="0"/>
        <v>31</v>
      </c>
      <c r="C2" s="17">
        <f>SUBTOTAL(103, C3:C148)</f>
        <v>31</v>
      </c>
      <c r="D2" s="17">
        <f t="shared" si="0"/>
        <v>31</v>
      </c>
      <c r="E2" s="17">
        <f t="shared" si="0"/>
        <v>39</v>
      </c>
      <c r="F2" s="17">
        <f t="shared" si="0"/>
        <v>39</v>
      </c>
      <c r="G2" s="17">
        <f t="shared" si="0"/>
        <v>31</v>
      </c>
      <c r="H2" s="17">
        <f t="shared" si="0"/>
        <v>31</v>
      </c>
      <c r="I2" s="17">
        <f t="shared" si="0"/>
        <v>9</v>
      </c>
    </row>
    <row r="3" spans="1:9" s="163" customFormat="1" ht="19.95" customHeight="1">
      <c r="A3" s="161" t="s">
        <v>172</v>
      </c>
      <c r="B3" s="161" t="s">
        <v>180</v>
      </c>
      <c r="C3" s="161" t="s">
        <v>181</v>
      </c>
      <c r="D3" s="162" t="s">
        <v>118</v>
      </c>
      <c r="E3" s="160">
        <f>VLOOKUP(A3,'Full Plan'!A:E,5,)</f>
        <v>0</v>
      </c>
      <c r="F3" s="160" t="str">
        <f>VLOOKUP(A3,'Full Plan'!A:H,8,)</f>
        <v>OFN</v>
      </c>
      <c r="G3" s="170">
        <v>6.0366470000000003</v>
      </c>
      <c r="H3" s="170">
        <v>80.802353999999994</v>
      </c>
      <c r="I3" s="171"/>
    </row>
    <row r="4" spans="1:9" s="163" customFormat="1" ht="19.95" customHeight="1">
      <c r="A4" s="161" t="s">
        <v>173</v>
      </c>
      <c r="B4" s="161" t="s">
        <v>182</v>
      </c>
      <c r="C4" s="161" t="s">
        <v>181</v>
      </c>
      <c r="D4" s="162" t="s">
        <v>133</v>
      </c>
      <c r="E4" s="160">
        <f>VLOOKUP(A4,'Full Plan'!A:E,5,)</f>
        <v>0</v>
      </c>
      <c r="F4" s="160" t="str">
        <f>VLOOKUP(A4,'Full Plan'!A:H,8,)</f>
        <v>OFN</v>
      </c>
      <c r="G4" s="170">
        <v>6.9347190000000003</v>
      </c>
      <c r="H4" s="170">
        <v>81.180803999999995</v>
      </c>
      <c r="I4" s="171"/>
    </row>
    <row r="5" spans="1:9" s="163" customFormat="1" ht="19.95" customHeight="1">
      <c r="A5" s="161" t="s">
        <v>152</v>
      </c>
      <c r="B5" s="161" t="s">
        <v>153</v>
      </c>
      <c r="C5" s="161" t="s">
        <v>174</v>
      </c>
      <c r="D5" s="162" t="s">
        <v>119</v>
      </c>
      <c r="E5" s="160" t="str">
        <f>VLOOKUP(A5,'Full Plan'!A:E,5,)</f>
        <v>Chanaka</v>
      </c>
      <c r="F5" s="160" t="str">
        <f>VLOOKUP(A5,'Full Plan'!A:H,8,)</f>
        <v>MW-HYB</v>
      </c>
      <c r="G5" s="170">
        <v>9.4768559999999997</v>
      </c>
      <c r="H5" s="170">
        <v>80.190871999999999</v>
      </c>
      <c r="I5" s="171" t="s">
        <v>234</v>
      </c>
    </row>
    <row r="6" spans="1:9" s="163" customFormat="1" ht="19.95" customHeight="1">
      <c r="A6" s="161" t="s">
        <v>154</v>
      </c>
      <c r="B6" s="161" t="s">
        <v>155</v>
      </c>
      <c r="C6" s="161" t="s">
        <v>174</v>
      </c>
      <c r="D6" s="162" t="s">
        <v>119</v>
      </c>
      <c r="E6" s="160" t="str">
        <f>VLOOKUP(A6,'Full Plan'!A:E,5,)</f>
        <v>Lucky</v>
      </c>
      <c r="F6" s="160" t="str">
        <f>VLOOKUP(A6,'Full Plan'!A:H,8,)</f>
        <v>MW-HYB</v>
      </c>
      <c r="G6" s="170">
        <v>9.4910460000000008</v>
      </c>
      <c r="H6" s="170">
        <v>80.186674999999994</v>
      </c>
      <c r="I6" s="171" t="s">
        <v>234</v>
      </c>
    </row>
    <row r="7" spans="1:9" s="163" customFormat="1" ht="19.95" customHeight="1">
      <c r="A7" s="161" t="s">
        <v>156</v>
      </c>
      <c r="B7" s="161" t="s">
        <v>157</v>
      </c>
      <c r="C7" s="161" t="s">
        <v>174</v>
      </c>
      <c r="D7" s="162" t="s">
        <v>119</v>
      </c>
      <c r="E7" s="160" t="str">
        <f>VLOOKUP(A7,'Full Plan'!A:E,5,)</f>
        <v>Lucky</v>
      </c>
      <c r="F7" s="160" t="str">
        <f>VLOOKUP(A7,'Full Plan'!A:H,8,)</f>
        <v>MW-HYB</v>
      </c>
      <c r="G7" s="170">
        <v>8.7992709999999992</v>
      </c>
      <c r="H7" s="170">
        <v>79.982692</v>
      </c>
      <c r="I7" s="171" t="s">
        <v>464</v>
      </c>
    </row>
    <row r="8" spans="1:9" s="163" customFormat="1" ht="19.95" customHeight="1">
      <c r="A8" s="161" t="s">
        <v>170</v>
      </c>
      <c r="B8" s="161" t="s">
        <v>178</v>
      </c>
      <c r="C8" s="161" t="s">
        <v>176</v>
      </c>
      <c r="D8" s="162" t="s">
        <v>118</v>
      </c>
      <c r="E8" s="160">
        <f>VLOOKUP(A8,'Full Plan'!A:E,5,)</f>
        <v>0</v>
      </c>
      <c r="F8" s="160" t="str">
        <f>VLOOKUP(A8,'Full Plan'!A:H,8,)</f>
        <v>OFN</v>
      </c>
      <c r="G8" s="170">
        <v>5.9823490000000001</v>
      </c>
      <c r="H8" s="170">
        <v>80.394693000000004</v>
      </c>
      <c r="I8" s="171"/>
    </row>
    <row r="9" spans="1:9" s="163" customFormat="1" ht="19.95" customHeight="1">
      <c r="A9" s="161" t="s">
        <v>171</v>
      </c>
      <c r="B9" s="161" t="s">
        <v>179</v>
      </c>
      <c r="C9" s="161" t="s">
        <v>176</v>
      </c>
      <c r="D9" s="162" t="s">
        <v>119</v>
      </c>
      <c r="E9" s="160" t="str">
        <f>VLOOKUP(A9,'Full Plan'!A:E,5,)</f>
        <v>Chanaka</v>
      </c>
      <c r="F9" s="160" t="str">
        <f>VLOOKUP(A9,'Full Plan'!A:H,8,)</f>
        <v>MW-HYB</v>
      </c>
      <c r="G9" s="170">
        <v>9.2157149999999994</v>
      </c>
      <c r="H9" s="170">
        <v>80.635919999999999</v>
      </c>
      <c r="I9" s="171" t="s">
        <v>234</v>
      </c>
    </row>
    <row r="10" spans="1:9" s="163" customFormat="1" ht="19.95" customHeight="1">
      <c r="A10" s="161" t="s">
        <v>159</v>
      </c>
      <c r="B10" s="161" t="s">
        <v>160</v>
      </c>
      <c r="C10" s="161" t="s">
        <v>176</v>
      </c>
      <c r="D10" s="162" t="s">
        <v>119</v>
      </c>
      <c r="E10" s="160" t="str">
        <f>VLOOKUP(A10,'Full Plan'!A:E,5,)</f>
        <v>Chanaka</v>
      </c>
      <c r="F10" s="160" t="str">
        <f>VLOOKUP(A10,'Full Plan'!A:H,8,)</f>
        <v>WiBAS</v>
      </c>
      <c r="G10" s="170">
        <v>9.429494</v>
      </c>
      <c r="H10" s="170">
        <v>80.570076</v>
      </c>
      <c r="I10" s="171" t="s">
        <v>234</v>
      </c>
    </row>
    <row r="11" spans="1:9" s="163" customFormat="1" ht="19.95" customHeight="1">
      <c r="A11" s="161" t="s">
        <v>168</v>
      </c>
      <c r="B11" s="161" t="s">
        <v>175</v>
      </c>
      <c r="C11" s="161" t="s">
        <v>176</v>
      </c>
      <c r="D11" s="162" t="s">
        <v>119</v>
      </c>
      <c r="E11" s="160">
        <f>VLOOKUP(A11,'Full Plan'!A:E,5,)</f>
        <v>0</v>
      </c>
      <c r="F11" s="160" t="str">
        <f>VLOOKUP(A11,'Full Plan'!A:H,8,)</f>
        <v>MW-HYB</v>
      </c>
      <c r="G11" s="170">
        <v>9.3108229999999992</v>
      </c>
      <c r="H11" s="170">
        <v>80.687815999999998</v>
      </c>
      <c r="I11" s="171"/>
    </row>
    <row r="12" spans="1:9" s="163" customFormat="1" ht="19.95" customHeight="1">
      <c r="A12" s="161" t="s">
        <v>169</v>
      </c>
      <c r="B12" s="161" t="s">
        <v>177</v>
      </c>
      <c r="C12" s="161" t="s">
        <v>176</v>
      </c>
      <c r="D12" s="162" t="s">
        <v>119</v>
      </c>
      <c r="E12" s="160" t="str">
        <f>VLOOKUP(A12,'Full Plan'!A:E,5,)</f>
        <v>Manoj</v>
      </c>
      <c r="F12" s="160" t="str">
        <f>VLOOKUP(A12,'Full Plan'!A:H,8,)</f>
        <v>MW-HYB</v>
      </c>
      <c r="G12" s="170">
        <v>9.2143449999999998</v>
      </c>
      <c r="H12" s="170">
        <v>80.325406999999998</v>
      </c>
      <c r="I12" s="171"/>
    </row>
    <row r="13" spans="1:9" s="163" customFormat="1" ht="19.95" customHeight="1">
      <c r="A13" s="164" t="s">
        <v>196</v>
      </c>
      <c r="B13" s="164" t="s">
        <v>197</v>
      </c>
      <c r="C13" s="165" t="s">
        <v>218</v>
      </c>
      <c r="D13" s="166" t="s">
        <v>6</v>
      </c>
      <c r="E13" s="160" t="str">
        <f>VLOOKUP(A13,'Full Plan'!A:E,5,)</f>
        <v>Amal</v>
      </c>
      <c r="F13" s="160" t="str">
        <f>VLOOKUP(A13,'Full Plan'!A:H,8,)</f>
        <v>OFN</v>
      </c>
      <c r="G13" s="170">
        <v>6.8393110000000004</v>
      </c>
      <c r="H13" s="170">
        <v>79.896311999999995</v>
      </c>
      <c r="I13" s="171"/>
    </row>
    <row r="14" spans="1:9" s="163" customFormat="1" ht="19.95" customHeight="1">
      <c r="A14" s="164" t="s">
        <v>200</v>
      </c>
      <c r="B14" s="164" t="s">
        <v>201</v>
      </c>
      <c r="C14" s="165" t="s">
        <v>218</v>
      </c>
      <c r="D14" s="166" t="s">
        <v>133</v>
      </c>
      <c r="E14" s="160" t="str">
        <f>VLOOKUP(A14,'Full Plan'!A:E,5,)</f>
        <v>Janaka</v>
      </c>
      <c r="F14" s="160" t="str">
        <f>VLOOKUP(A14,'Full Plan'!A:H,8,)</f>
        <v>MW-HYB</v>
      </c>
      <c r="G14" s="170">
        <v>7.4878549999999997</v>
      </c>
      <c r="H14" s="170">
        <v>81.692250000000001</v>
      </c>
      <c r="I14" s="171"/>
    </row>
    <row r="15" spans="1:9" s="163" customFormat="1" ht="19.95" customHeight="1">
      <c r="A15" s="164" t="s">
        <v>202</v>
      </c>
      <c r="B15" s="164" t="s">
        <v>203</v>
      </c>
      <c r="C15" s="165" t="s">
        <v>218</v>
      </c>
      <c r="D15" s="166" t="s">
        <v>133</v>
      </c>
      <c r="E15" s="160" t="str">
        <f>VLOOKUP(A15,'Full Plan'!A:E,5,)</f>
        <v>Wasantha</v>
      </c>
      <c r="F15" s="160" t="str">
        <f>VLOOKUP(A15,'Full Plan'!A:H,8,)</f>
        <v>MW-HYB</v>
      </c>
      <c r="G15" s="170">
        <v>7.4670759999999996</v>
      </c>
      <c r="H15" s="170">
        <v>81.737318000000002</v>
      </c>
      <c r="I15" s="171"/>
    </row>
    <row r="16" spans="1:9" s="163" customFormat="1" ht="19.95" customHeight="1">
      <c r="A16" s="164" t="s">
        <v>204</v>
      </c>
      <c r="B16" s="164" t="s">
        <v>205</v>
      </c>
      <c r="C16" s="165" t="s">
        <v>218</v>
      </c>
      <c r="D16" s="166" t="s">
        <v>133</v>
      </c>
      <c r="E16" s="160" t="str">
        <f>VLOOKUP(A16,'Full Plan'!A:E,5,)</f>
        <v>Wasantha</v>
      </c>
      <c r="F16" s="160" t="str">
        <f>VLOOKUP(A16,'Full Plan'!A:H,8,)</f>
        <v>WiBAS</v>
      </c>
      <c r="G16" s="170">
        <v>7.6950849999999997</v>
      </c>
      <c r="H16" s="170">
        <v>81.65598</v>
      </c>
      <c r="I16" s="171"/>
    </row>
    <row r="17" spans="1:9" s="163" customFormat="1" ht="19.95" customHeight="1">
      <c r="A17" s="167" t="s">
        <v>206</v>
      </c>
      <c r="B17" s="167" t="s">
        <v>207</v>
      </c>
      <c r="C17" s="165" t="s">
        <v>218</v>
      </c>
      <c r="D17" s="166" t="s">
        <v>119</v>
      </c>
      <c r="E17" s="160" t="str">
        <f>VLOOKUP(A17,'Full Plan'!A:E,5,)</f>
        <v>Chanaka</v>
      </c>
      <c r="F17" s="160" t="str">
        <f>VLOOKUP(A17,'Full Plan'!A:H,8,)</f>
        <v>OFN</v>
      </c>
      <c r="G17" s="170">
        <v>8.7665670000000002</v>
      </c>
      <c r="H17" s="170">
        <v>80.520028999999994</v>
      </c>
      <c r="I17" s="171"/>
    </row>
    <row r="18" spans="1:9" s="163" customFormat="1" ht="19.95" customHeight="1">
      <c r="A18" s="172" t="s">
        <v>208</v>
      </c>
      <c r="B18" s="172" t="s">
        <v>209</v>
      </c>
      <c r="C18" s="165" t="s">
        <v>218</v>
      </c>
      <c r="D18" s="166" t="s">
        <v>6</v>
      </c>
      <c r="E18" s="160" t="str">
        <f>VLOOKUP(A18,'Full Plan'!A:E,5,)</f>
        <v>Amal</v>
      </c>
      <c r="F18" s="160" t="str">
        <f>VLOOKUP(A18,'Full Plan'!A:H,8,)</f>
        <v>OFN</v>
      </c>
      <c r="G18" s="170">
        <v>6.8456849999999996</v>
      </c>
      <c r="H18" s="170">
        <v>79.923226999999997</v>
      </c>
      <c r="I18" s="171"/>
    </row>
    <row r="19" spans="1:9" s="163" customFormat="1" ht="19.95" customHeight="1">
      <c r="A19" s="172" t="s">
        <v>210</v>
      </c>
      <c r="B19" s="172" t="s">
        <v>211</v>
      </c>
      <c r="C19" s="165" t="s">
        <v>218</v>
      </c>
      <c r="D19" s="166" t="s">
        <v>11</v>
      </c>
      <c r="E19" s="160" t="str">
        <f>VLOOKUP(A19,'Full Plan'!A:E,5,)</f>
        <v>Lucky</v>
      </c>
      <c r="F19" s="160" t="str">
        <f>VLOOKUP(A19,'Full Plan'!A:H,8,)</f>
        <v>OFN</v>
      </c>
      <c r="G19" s="170">
        <v>7.4093580000000001</v>
      </c>
      <c r="H19" s="170">
        <v>79.877021999999997</v>
      </c>
      <c r="I19" s="171"/>
    </row>
    <row r="20" spans="1:9" s="163" customFormat="1" ht="19.95" customHeight="1">
      <c r="A20" s="172" t="s">
        <v>212</v>
      </c>
      <c r="B20" s="172" t="s">
        <v>213</v>
      </c>
      <c r="C20" s="165" t="s">
        <v>218</v>
      </c>
      <c r="D20" s="166" t="s">
        <v>118</v>
      </c>
      <c r="E20" s="160">
        <f>VLOOKUP(A20,'Full Plan'!A:E,5,)</f>
        <v>0</v>
      </c>
      <c r="F20" s="160" t="str">
        <f>VLOOKUP(A20,'Full Plan'!A:H,8,)</f>
        <v>MW-HYB</v>
      </c>
      <c r="G20" s="170">
        <v>5.9703020000000002</v>
      </c>
      <c r="H20" s="170">
        <v>80.417091999999997</v>
      </c>
      <c r="I20" s="171"/>
    </row>
    <row r="21" spans="1:9" s="163" customFormat="1" ht="19.95" customHeight="1">
      <c r="A21" s="172" t="s">
        <v>214</v>
      </c>
      <c r="B21" s="172" t="s">
        <v>215</v>
      </c>
      <c r="C21" s="165" t="s">
        <v>218</v>
      </c>
      <c r="D21" s="166" t="s">
        <v>6</v>
      </c>
      <c r="E21" s="160" t="str">
        <f>VLOOKUP(A21,'Full Plan'!A:E,5,)</f>
        <v>Amal</v>
      </c>
      <c r="F21" s="160" t="str">
        <f>VLOOKUP(A21,'Full Plan'!A:H,8,)</f>
        <v>MW-HYB</v>
      </c>
      <c r="G21" s="170">
        <v>6.7838719999999997</v>
      </c>
      <c r="H21" s="170">
        <v>79.912948999999998</v>
      </c>
      <c r="I21" s="171"/>
    </row>
    <row r="22" spans="1:9" s="163" customFormat="1" ht="19.95" customHeight="1">
      <c r="A22" s="165" t="s">
        <v>216</v>
      </c>
      <c r="B22" s="165" t="s">
        <v>217</v>
      </c>
      <c r="C22" s="165" t="s">
        <v>218</v>
      </c>
      <c r="D22" s="166" t="s">
        <v>6</v>
      </c>
      <c r="E22" s="160" t="str">
        <f>VLOOKUP(A22,'Full Plan'!A:E,5,)</f>
        <v>Amal</v>
      </c>
      <c r="F22" s="160" t="str">
        <f>VLOOKUP(A22,'Full Plan'!A:H,8,)</f>
        <v>MW-HYB</v>
      </c>
      <c r="G22" s="170">
        <v>6.8464520000000002</v>
      </c>
      <c r="H22" s="170">
        <v>80.126818999999998</v>
      </c>
      <c r="I22" s="347" t="s">
        <v>611</v>
      </c>
    </row>
    <row r="23" spans="1:9" s="163" customFormat="1" ht="19.95" customHeight="1">
      <c r="A23" s="161" t="s">
        <v>198</v>
      </c>
      <c r="B23" s="161" t="s">
        <v>199</v>
      </c>
      <c r="C23" s="165" t="s">
        <v>218</v>
      </c>
      <c r="D23" s="166" t="s">
        <v>6</v>
      </c>
      <c r="E23" s="160" t="str">
        <f>VLOOKUP(A23,'Full Plan'!A:E,5,)</f>
        <v>Amal</v>
      </c>
      <c r="F23" s="160" t="str">
        <f>VLOOKUP(A23,'Full Plan'!A:H,8,)</f>
        <v>OFN</v>
      </c>
      <c r="G23" s="170">
        <v>6.8288960000000003</v>
      </c>
      <c r="H23" s="170">
        <v>79.887692999999999</v>
      </c>
      <c r="I23" s="171"/>
    </row>
    <row r="24" spans="1:9" s="163" customFormat="1" ht="19.95" customHeight="1">
      <c r="A24" s="161" t="s">
        <v>194</v>
      </c>
      <c r="B24" s="161" t="s">
        <v>195</v>
      </c>
      <c r="C24" s="165" t="s">
        <v>176</v>
      </c>
      <c r="D24" s="166" t="s">
        <v>133</v>
      </c>
      <c r="E24" s="160" t="str">
        <f>VLOOKUP(A24,'Full Plan'!A:E,5,)</f>
        <v>Janaka</v>
      </c>
      <c r="F24" s="160" t="str">
        <f>VLOOKUP(A24,'Full Plan'!A:H,8,)</f>
        <v>WiBAS</v>
      </c>
      <c r="G24" s="170">
        <v>7.7141120000000001</v>
      </c>
      <c r="H24" s="170">
        <v>81.640645000000006</v>
      </c>
      <c r="I24" s="171" t="s">
        <v>326</v>
      </c>
    </row>
    <row r="25" spans="1:9" s="163" customFormat="1" ht="19.95" customHeight="1">
      <c r="A25" s="161" t="s">
        <v>192</v>
      </c>
      <c r="B25" s="161" t="s">
        <v>193</v>
      </c>
      <c r="C25" s="165" t="s">
        <v>176</v>
      </c>
      <c r="D25" s="166" t="s">
        <v>119</v>
      </c>
      <c r="E25" s="160">
        <f>VLOOKUP(A25,'Full Plan'!A:E,5,)</f>
        <v>0</v>
      </c>
      <c r="F25" s="160" t="str">
        <f>VLOOKUP(A25,'Full Plan'!A:H,8,)</f>
        <v>MW-HYB</v>
      </c>
      <c r="G25" s="170">
        <v>9.5956659999999996</v>
      </c>
      <c r="H25" s="170">
        <v>80.324517</v>
      </c>
      <c r="I25" s="171"/>
    </row>
    <row r="26" spans="1:9" s="163" customFormat="1" ht="19.95" customHeight="1">
      <c r="A26" s="161" t="s">
        <v>190</v>
      </c>
      <c r="B26" s="161" t="s">
        <v>191</v>
      </c>
      <c r="C26" s="165" t="s">
        <v>176</v>
      </c>
      <c r="D26" s="166" t="s">
        <v>118</v>
      </c>
      <c r="E26" s="160" t="str">
        <f>VLOOKUP(A26,'Full Plan'!A:E,5,)</f>
        <v>Udaya</v>
      </c>
      <c r="F26" s="160" t="str">
        <f>VLOOKUP(A26,'Full Plan'!A:H,8,)</f>
        <v>MW-HYB</v>
      </c>
      <c r="G26" s="170">
        <v>6.4264320000000001</v>
      </c>
      <c r="H26" s="170">
        <v>80.010211999999996</v>
      </c>
      <c r="I26" s="171"/>
    </row>
    <row r="27" spans="1:9" s="163" customFormat="1" ht="19.95" customHeight="1">
      <c r="A27" s="173" t="s">
        <v>286</v>
      </c>
      <c r="B27" s="174" t="s">
        <v>287</v>
      </c>
      <c r="C27" s="165" t="s">
        <v>176</v>
      </c>
      <c r="D27" s="166" t="s">
        <v>11</v>
      </c>
      <c r="E27" s="160" t="str">
        <f>VLOOKUP(A27,'Full Plan'!A:E,5,)</f>
        <v>Manoj</v>
      </c>
      <c r="F27" s="160" t="str">
        <f>VLOOKUP(A27,'Full Plan'!A:H,8,)</f>
        <v>MW-HYB</v>
      </c>
      <c r="G27" s="170">
        <v>7.5299019999999999</v>
      </c>
      <c r="H27" s="170">
        <v>79.985663000000002</v>
      </c>
      <c r="I27" s="171" t="s">
        <v>652</v>
      </c>
    </row>
    <row r="28" spans="1:9" s="163" customFormat="1" ht="19.95" customHeight="1">
      <c r="A28" s="173" t="s">
        <v>288</v>
      </c>
      <c r="B28" s="174" t="s">
        <v>289</v>
      </c>
      <c r="C28" s="165" t="s">
        <v>176</v>
      </c>
      <c r="D28" s="166" t="s">
        <v>11</v>
      </c>
      <c r="E28" s="160" t="str">
        <f>VLOOKUP(A28,'Full Plan'!A:E,5,)</f>
        <v>Lucky</v>
      </c>
      <c r="F28" s="160" t="str">
        <f>VLOOKUP(A28,'Full Plan'!A:H,8,)</f>
        <v>OFN</v>
      </c>
      <c r="G28" s="170">
        <v>7.3919280000000001</v>
      </c>
      <c r="H28" s="170">
        <v>79.831542999999996</v>
      </c>
      <c r="I28" s="171"/>
    </row>
    <row r="29" spans="1:9" s="163" customFormat="1" ht="19.95" customHeight="1">
      <c r="A29" s="173" t="s">
        <v>290</v>
      </c>
      <c r="B29" s="174" t="s">
        <v>291</v>
      </c>
      <c r="C29" s="165" t="s">
        <v>176</v>
      </c>
      <c r="D29" s="166" t="s">
        <v>119</v>
      </c>
      <c r="E29" s="160" t="str">
        <f>VLOOKUP(A29,'Full Plan'!A:E,5,)</f>
        <v>Thusitha</v>
      </c>
      <c r="F29" s="160" t="str">
        <f>VLOOKUP(A29,'Full Plan'!A:H,8,)</f>
        <v>WiBAS</v>
      </c>
      <c r="G29" s="170">
        <v>9.7711269999999999</v>
      </c>
      <c r="H29" s="170">
        <v>80.274527000000006</v>
      </c>
      <c r="I29" s="171"/>
    </row>
    <row r="30" spans="1:9" s="163" customFormat="1" ht="19.95" customHeight="1">
      <c r="A30" s="173" t="s">
        <v>292</v>
      </c>
      <c r="B30" s="174" t="s">
        <v>293</v>
      </c>
      <c r="C30" s="165" t="s">
        <v>176</v>
      </c>
      <c r="D30" s="166" t="s">
        <v>119</v>
      </c>
      <c r="E30" s="160" t="str">
        <f>VLOOKUP(A30,'Full Plan'!A:E,5,)</f>
        <v>Thusitha</v>
      </c>
      <c r="F30" s="160" t="str">
        <f>VLOOKUP(A30,'Full Plan'!A:H,8,)</f>
        <v>MW-HYB</v>
      </c>
      <c r="G30" s="170">
        <v>9.7580969999999994</v>
      </c>
      <c r="H30" s="170">
        <v>80.114461000000006</v>
      </c>
      <c r="I30" s="171"/>
    </row>
    <row r="31" spans="1:9" s="163" customFormat="1" ht="19.95" customHeight="1">
      <c r="A31" s="173" t="s">
        <v>294</v>
      </c>
      <c r="B31" s="174" t="s">
        <v>295</v>
      </c>
      <c r="C31" s="165" t="s">
        <v>176</v>
      </c>
      <c r="D31" s="166" t="s">
        <v>11</v>
      </c>
      <c r="E31" s="160">
        <f>VLOOKUP(A31,'Full Plan'!A:E,5,)</f>
        <v>0</v>
      </c>
      <c r="F31" s="160" t="str">
        <f>VLOOKUP(A31,'Full Plan'!A:H,8,)</f>
        <v>MW-HYB</v>
      </c>
      <c r="G31" s="170">
        <v>7.4617300000000002</v>
      </c>
      <c r="H31" s="170">
        <v>80.464764000000002</v>
      </c>
      <c r="I31" s="171" t="s">
        <v>63</v>
      </c>
    </row>
    <row r="32" spans="1:9" s="163" customFormat="1" ht="19.95" customHeight="1">
      <c r="A32" s="173" t="s">
        <v>297</v>
      </c>
      <c r="B32" s="174" t="s">
        <v>298</v>
      </c>
      <c r="C32" s="165" t="s">
        <v>174</v>
      </c>
      <c r="D32" s="166" t="s">
        <v>118</v>
      </c>
      <c r="E32" s="160" t="str">
        <f>VLOOKUP(A32,'Full Plan'!A:E,5,)</f>
        <v>Udaya</v>
      </c>
      <c r="F32" s="160" t="str">
        <f>VLOOKUP(A32,'Full Plan'!A:H,8,)</f>
        <v>OFN</v>
      </c>
      <c r="G32" s="170">
        <v>6.2302549999999997</v>
      </c>
      <c r="H32" s="170">
        <v>80.059961999999999</v>
      </c>
      <c r="I32" s="171"/>
    </row>
    <row r="33" spans="1:9" s="163" customFormat="1" ht="19.95" customHeight="1">
      <c r="A33" s="173" t="s">
        <v>299</v>
      </c>
      <c r="B33" s="174" t="s">
        <v>300</v>
      </c>
      <c r="C33" s="165" t="s">
        <v>176</v>
      </c>
      <c r="D33" s="166" t="s">
        <v>119</v>
      </c>
      <c r="E33" s="160">
        <f>VLOOKUP(A33,'Full Plan'!A:E,5,)</f>
        <v>0</v>
      </c>
      <c r="F33" s="160" t="str">
        <f>VLOOKUP(A33,'Full Plan'!A:H,8,)</f>
        <v>WiBAS</v>
      </c>
      <c r="G33" s="170">
        <v>9.7174639999999997</v>
      </c>
      <c r="H33" s="170">
        <v>79.96002</v>
      </c>
      <c r="I33" s="171"/>
    </row>
    <row r="34" spans="1:9" s="163" customFormat="1" ht="19.95" customHeight="1">
      <c r="A34" s="165"/>
      <c r="B34" s="165"/>
      <c r="C34" s="165"/>
      <c r="D34" s="166"/>
      <c r="E34" s="160" t="e">
        <f>VLOOKUP(A34,'Full Plan'!A:E,5,)</f>
        <v>#N/A</v>
      </c>
      <c r="F34" s="160" t="e">
        <f>VLOOKUP(A34,'Full Plan'!A:H,8,)</f>
        <v>#N/A</v>
      </c>
      <c r="G34" s="170"/>
      <c r="H34" s="170"/>
      <c r="I34" s="171"/>
    </row>
    <row r="35" spans="1:9" s="163" customFormat="1" ht="19.95" customHeight="1">
      <c r="A35" s="165"/>
      <c r="B35" s="165"/>
      <c r="C35" s="165"/>
      <c r="D35" s="166"/>
      <c r="E35" s="160" t="e">
        <f>VLOOKUP(A35,'Full Plan'!A:E,5,)</f>
        <v>#N/A</v>
      </c>
      <c r="F35" s="160" t="e">
        <f>VLOOKUP(A35,'Full Plan'!A:H,8,)</f>
        <v>#N/A</v>
      </c>
      <c r="G35" s="170"/>
      <c r="H35" s="170"/>
      <c r="I35" s="171"/>
    </row>
    <row r="36" spans="1:9" s="163" customFormat="1" ht="19.95" customHeight="1">
      <c r="A36" s="165"/>
      <c r="B36" s="165"/>
      <c r="C36" s="165"/>
      <c r="D36" s="166"/>
      <c r="E36" s="160" t="e">
        <f>VLOOKUP(A36,'Full Plan'!A:E,5,)</f>
        <v>#N/A</v>
      </c>
      <c r="F36" s="160" t="e">
        <f>VLOOKUP(A36,'Full Plan'!A:H,8,)</f>
        <v>#N/A</v>
      </c>
      <c r="G36" s="170"/>
      <c r="H36" s="170"/>
      <c r="I36" s="171"/>
    </row>
    <row r="37" spans="1:9" s="163" customFormat="1" ht="19.95" customHeight="1">
      <c r="A37" s="165"/>
      <c r="B37" s="165"/>
      <c r="C37" s="165"/>
      <c r="D37" s="166"/>
      <c r="E37" s="160" t="e">
        <f>VLOOKUP(A37,'Full Plan'!A:E,5,)</f>
        <v>#N/A</v>
      </c>
      <c r="F37" s="160" t="e">
        <f>VLOOKUP(A37,'Full Plan'!A:H,8,)</f>
        <v>#N/A</v>
      </c>
      <c r="G37" s="170"/>
      <c r="H37" s="170"/>
      <c r="I37" s="171"/>
    </row>
    <row r="38" spans="1:9" s="163" customFormat="1" ht="19.95" customHeight="1">
      <c r="A38" s="165"/>
      <c r="B38" s="165"/>
      <c r="C38" s="165"/>
      <c r="D38" s="166"/>
      <c r="E38" s="160" t="e">
        <f>VLOOKUP(A38,'Full Plan'!A:E,5,)</f>
        <v>#N/A</v>
      </c>
      <c r="F38" s="160" t="e">
        <f>VLOOKUP(A38,'Full Plan'!A:H,8,)</f>
        <v>#N/A</v>
      </c>
      <c r="G38" s="170"/>
      <c r="H38" s="170"/>
      <c r="I38" s="171"/>
    </row>
    <row r="39" spans="1:9" s="163" customFormat="1" ht="19.95" customHeight="1">
      <c r="A39" s="165"/>
      <c r="B39" s="165"/>
      <c r="C39" s="165"/>
      <c r="D39" s="166"/>
      <c r="E39" s="160" t="e">
        <f>VLOOKUP(A39,'Full Plan'!A:E,5,)</f>
        <v>#N/A</v>
      </c>
      <c r="F39" s="160" t="e">
        <f>VLOOKUP(A39,'Full Plan'!A:H,8,)</f>
        <v>#N/A</v>
      </c>
      <c r="G39" s="170"/>
      <c r="H39" s="170"/>
      <c r="I39" s="171"/>
    </row>
    <row r="40" spans="1:9" s="163" customFormat="1" ht="19.95" customHeight="1">
      <c r="A40" s="165"/>
      <c r="B40" s="165"/>
      <c r="C40" s="165"/>
      <c r="D40" s="166"/>
      <c r="E40" s="160" t="e">
        <f>VLOOKUP(A40,'Full Plan'!A:E,5,)</f>
        <v>#N/A</v>
      </c>
      <c r="F40" s="160" t="e">
        <f>VLOOKUP(A40,'Full Plan'!A:H,8,)</f>
        <v>#N/A</v>
      </c>
      <c r="G40" s="170"/>
      <c r="H40" s="170"/>
      <c r="I40" s="171"/>
    </row>
    <row r="41" spans="1:9" s="163" customFormat="1" ht="19.95" customHeight="1">
      <c r="A41" s="165"/>
      <c r="B41" s="165"/>
      <c r="C41" s="165"/>
      <c r="D41" s="166"/>
      <c r="E41" s="160" t="e">
        <f>VLOOKUP(A41,'Full Plan'!A:E,5,)</f>
        <v>#N/A</v>
      </c>
      <c r="F41" s="160" t="e">
        <f>VLOOKUP(A41,'Full Plan'!A:H,8,)</f>
        <v>#N/A</v>
      </c>
      <c r="G41" s="170"/>
      <c r="H41" s="170"/>
      <c r="I41" s="171"/>
    </row>
    <row r="42" spans="1:9" s="163" customFormat="1" ht="19.95" customHeight="1">
      <c r="A42" s="168"/>
      <c r="B42" s="168"/>
      <c r="C42" s="168"/>
      <c r="D42" s="169"/>
      <c r="E42" s="169"/>
      <c r="F42" s="169"/>
      <c r="G42" s="169"/>
      <c r="H42" s="169"/>
      <c r="I42" s="169"/>
    </row>
    <row r="43" spans="1:9" s="163" customFormat="1" ht="19.95" customHeight="1">
      <c r="A43" s="168"/>
      <c r="B43" s="168"/>
      <c r="C43" s="168"/>
      <c r="D43" s="169"/>
      <c r="E43" s="169"/>
      <c r="F43" s="169"/>
      <c r="G43" s="169"/>
      <c r="H43" s="169"/>
      <c r="I43" s="169"/>
    </row>
    <row r="44" spans="1:9" s="163" customFormat="1" ht="19.95" customHeight="1">
      <c r="A44" s="168"/>
      <c r="B44" s="168"/>
      <c r="C44" s="168"/>
      <c r="D44" s="169"/>
      <c r="E44" s="169"/>
      <c r="F44" s="169"/>
      <c r="G44" s="169"/>
      <c r="H44" s="169"/>
      <c r="I44" s="169"/>
    </row>
    <row r="45" spans="1:9" s="163" customFormat="1" ht="19.95" customHeight="1">
      <c r="A45" s="168"/>
      <c r="B45" s="168"/>
      <c r="C45" s="168"/>
      <c r="D45" s="169"/>
      <c r="E45" s="169"/>
      <c r="F45" s="169"/>
      <c r="G45" s="169"/>
      <c r="H45" s="169"/>
      <c r="I45" s="169"/>
    </row>
    <row r="46" spans="1:9" s="163" customFormat="1" ht="19.95" customHeight="1">
      <c r="A46" s="168"/>
      <c r="B46" s="168"/>
      <c r="C46" s="168"/>
      <c r="D46" s="169"/>
      <c r="E46" s="169"/>
      <c r="F46" s="169"/>
      <c r="G46" s="169"/>
      <c r="H46" s="169"/>
      <c r="I46" s="169"/>
    </row>
    <row r="47" spans="1:9" s="163" customFormat="1" ht="19.95" customHeight="1">
      <c r="A47" s="168"/>
      <c r="B47" s="168"/>
      <c r="C47" s="168"/>
      <c r="D47" s="169"/>
      <c r="E47" s="169"/>
      <c r="F47" s="169"/>
      <c r="G47" s="169"/>
      <c r="H47" s="169"/>
      <c r="I47" s="169"/>
    </row>
    <row r="48" spans="1:9" s="163" customFormat="1" ht="19.95" customHeight="1">
      <c r="A48" s="168"/>
      <c r="B48" s="168"/>
      <c r="C48" s="168"/>
      <c r="D48" s="169"/>
      <c r="E48" s="169"/>
      <c r="F48" s="169"/>
      <c r="G48" s="169"/>
      <c r="H48" s="169"/>
      <c r="I48" s="169"/>
    </row>
    <row r="49" spans="1:9" s="163" customFormat="1" ht="19.95" customHeight="1">
      <c r="A49" s="168"/>
      <c r="B49" s="168"/>
      <c r="C49" s="168"/>
      <c r="D49" s="169"/>
      <c r="E49" s="169"/>
      <c r="F49" s="169"/>
      <c r="G49" s="169"/>
      <c r="H49" s="169"/>
      <c r="I49" s="169"/>
    </row>
    <row r="50" spans="1:9" s="163" customFormat="1" ht="19.95" customHeight="1">
      <c r="A50" s="168"/>
      <c r="B50" s="168"/>
      <c r="C50" s="168"/>
      <c r="D50" s="169"/>
      <c r="E50" s="169"/>
      <c r="F50" s="169"/>
      <c r="G50" s="169"/>
      <c r="H50" s="169"/>
      <c r="I50" s="169"/>
    </row>
    <row r="51" spans="1:9" s="163" customFormat="1" ht="19.95" customHeight="1">
      <c r="A51" s="168"/>
      <c r="B51" s="168"/>
      <c r="C51" s="168"/>
      <c r="D51" s="169"/>
      <c r="E51" s="169"/>
      <c r="F51" s="169"/>
      <c r="G51" s="169"/>
      <c r="H51" s="169"/>
      <c r="I51" s="169"/>
    </row>
    <row r="52" spans="1:9" s="163" customFormat="1" ht="19.95" customHeight="1">
      <c r="A52" s="168"/>
      <c r="B52" s="168"/>
      <c r="C52" s="168"/>
      <c r="D52" s="169"/>
      <c r="E52" s="169"/>
      <c r="F52" s="169"/>
      <c r="G52" s="169"/>
      <c r="H52" s="169"/>
      <c r="I52" s="169"/>
    </row>
    <row r="53" spans="1:9" s="163" customFormat="1" ht="19.95" customHeight="1">
      <c r="A53" s="168"/>
      <c r="B53" s="168"/>
      <c r="C53" s="168"/>
      <c r="D53" s="169"/>
      <c r="E53" s="169"/>
      <c r="F53" s="169"/>
      <c r="G53" s="169"/>
      <c r="H53" s="169"/>
      <c r="I53" s="169"/>
    </row>
    <row r="54" spans="1:9" s="163" customFormat="1" ht="19.95" customHeight="1">
      <c r="A54" s="168"/>
      <c r="B54" s="168"/>
      <c r="C54" s="168"/>
      <c r="D54" s="169"/>
      <c r="E54" s="169"/>
      <c r="F54" s="169"/>
      <c r="G54" s="169"/>
      <c r="H54" s="169"/>
      <c r="I54" s="169"/>
    </row>
    <row r="55" spans="1:9" s="163" customFormat="1" ht="19.95" customHeight="1">
      <c r="A55" s="168"/>
      <c r="B55" s="168"/>
      <c r="C55" s="168"/>
      <c r="D55" s="169"/>
      <c r="E55" s="169"/>
      <c r="F55" s="169"/>
      <c r="G55" s="169"/>
      <c r="H55" s="169"/>
      <c r="I55" s="169"/>
    </row>
    <row r="56" spans="1:9" s="163" customFormat="1" ht="19.95" customHeight="1">
      <c r="A56" s="168"/>
      <c r="B56" s="168"/>
      <c r="C56" s="168"/>
      <c r="D56" s="169"/>
      <c r="E56" s="169"/>
      <c r="F56" s="169"/>
      <c r="G56" s="169"/>
      <c r="H56" s="169"/>
      <c r="I56" s="169"/>
    </row>
    <row r="57" spans="1:9" s="163" customFormat="1" ht="19.95" customHeight="1">
      <c r="A57" s="168"/>
      <c r="B57" s="168"/>
      <c r="C57" s="168"/>
      <c r="D57" s="169"/>
      <c r="E57" s="169"/>
      <c r="F57" s="169"/>
      <c r="G57" s="169"/>
      <c r="H57" s="169"/>
      <c r="I57" s="169"/>
    </row>
    <row r="58" spans="1:9" s="163" customFormat="1" ht="19.95" customHeight="1">
      <c r="A58" s="168"/>
      <c r="B58" s="168"/>
      <c r="C58" s="168"/>
      <c r="D58" s="169"/>
      <c r="E58" s="169"/>
      <c r="F58" s="169"/>
      <c r="G58" s="169"/>
      <c r="H58" s="169"/>
      <c r="I58" s="169"/>
    </row>
    <row r="59" spans="1:9" s="163" customFormat="1" ht="19.95" customHeight="1">
      <c r="A59" s="168"/>
      <c r="B59" s="168"/>
      <c r="C59" s="168"/>
      <c r="D59" s="169"/>
      <c r="E59" s="169"/>
      <c r="F59" s="169"/>
      <c r="G59" s="169"/>
      <c r="H59" s="169"/>
      <c r="I59" s="169"/>
    </row>
    <row r="60" spans="1:9" s="163" customFormat="1" ht="19.95" customHeight="1">
      <c r="A60" s="168"/>
      <c r="B60" s="168"/>
      <c r="C60" s="168"/>
      <c r="D60" s="169"/>
      <c r="E60" s="169"/>
      <c r="F60" s="169"/>
      <c r="G60" s="169"/>
      <c r="H60" s="169"/>
      <c r="I60" s="169"/>
    </row>
    <row r="61" spans="1:9" s="163" customFormat="1" ht="19.95" customHeight="1">
      <c r="A61" s="168"/>
      <c r="B61" s="168"/>
      <c r="C61" s="168"/>
      <c r="D61" s="169"/>
      <c r="E61" s="169"/>
      <c r="F61" s="169"/>
      <c r="G61" s="169"/>
      <c r="H61" s="169"/>
      <c r="I61" s="169"/>
    </row>
    <row r="62" spans="1:9" s="163" customFormat="1" ht="19.95" customHeight="1">
      <c r="A62" s="168"/>
      <c r="B62" s="168"/>
      <c r="C62" s="168"/>
      <c r="D62" s="169"/>
      <c r="E62" s="169"/>
      <c r="F62" s="169"/>
      <c r="G62" s="169"/>
      <c r="H62" s="169"/>
      <c r="I62" s="169"/>
    </row>
    <row r="63" spans="1:9" s="163" customFormat="1" ht="19.95" customHeight="1">
      <c r="A63" s="168"/>
      <c r="B63" s="168"/>
      <c r="C63" s="168"/>
      <c r="D63" s="169"/>
      <c r="E63" s="169"/>
      <c r="F63" s="169"/>
      <c r="G63" s="169"/>
      <c r="H63" s="169"/>
      <c r="I63" s="169"/>
    </row>
    <row r="64" spans="1:9" ht="19.95" customHeight="1"/>
    <row r="65" ht="19.95" customHeight="1"/>
    <row r="66" ht="19.95" customHeight="1"/>
    <row r="67" ht="19.95" customHeight="1"/>
  </sheetData>
  <autoFilter ref="A2:I2" xr:uid="{DAD3EF5A-8309-40AA-A910-B36D842E5DEA}"/>
  <phoneticPr fontId="20" type="noConversion"/>
  <conditionalFormatting sqref="A4:A5">
    <cfRule type="duplicateValues" dxfId="60" priority="102"/>
    <cfRule type="duplicateValues" dxfId="59" priority="103"/>
  </conditionalFormatting>
  <conditionalFormatting sqref="A4:A5">
    <cfRule type="duplicateValues" dxfId="58" priority="104"/>
  </conditionalFormatting>
  <conditionalFormatting sqref="A4:A5">
    <cfRule type="duplicateValues" dxfId="57" priority="105"/>
  </conditionalFormatting>
  <conditionalFormatting sqref="A4:A5">
    <cfRule type="duplicateValues" dxfId="56" priority="106"/>
  </conditionalFormatting>
  <conditionalFormatting sqref="A5">
    <cfRule type="duplicateValues" dxfId="55" priority="99"/>
    <cfRule type="duplicateValues" dxfId="54" priority="100"/>
    <cfRule type="duplicateValues" dxfId="53" priority="101"/>
  </conditionalFormatting>
  <conditionalFormatting sqref="A3:A12">
    <cfRule type="duplicateValues" dxfId="52" priority="98"/>
  </conditionalFormatting>
  <conditionalFormatting sqref="A3:A5">
    <cfRule type="duplicateValues" dxfId="51" priority="107"/>
  </conditionalFormatting>
  <conditionalFormatting sqref="A3">
    <cfRule type="duplicateValues" dxfId="50" priority="108"/>
    <cfRule type="duplicateValues" dxfId="49" priority="109"/>
    <cfRule type="duplicateValues" dxfId="48" priority="110"/>
  </conditionalFormatting>
  <conditionalFormatting sqref="A16:A17">
    <cfRule type="duplicateValues" dxfId="47" priority="78"/>
    <cfRule type="duplicateValues" dxfId="46" priority="79"/>
  </conditionalFormatting>
  <conditionalFormatting sqref="A16:A17">
    <cfRule type="duplicateValues" dxfId="45" priority="80"/>
  </conditionalFormatting>
  <conditionalFormatting sqref="A16:A17">
    <cfRule type="duplicateValues" dxfId="44" priority="81"/>
  </conditionalFormatting>
  <conditionalFormatting sqref="A16:A17">
    <cfRule type="duplicateValues" dxfId="43" priority="82"/>
  </conditionalFormatting>
  <conditionalFormatting sqref="A16:A17">
    <cfRule type="duplicateValues" dxfId="42" priority="83"/>
  </conditionalFormatting>
  <conditionalFormatting sqref="A13:A15">
    <cfRule type="duplicateValues" dxfId="41" priority="75"/>
    <cfRule type="duplicateValues" dxfId="40" priority="76"/>
    <cfRule type="duplicateValues" dxfId="39" priority="77"/>
  </conditionalFormatting>
  <conditionalFormatting sqref="A13">
    <cfRule type="duplicateValues" dxfId="38" priority="74"/>
  </conditionalFormatting>
  <conditionalFormatting sqref="A17">
    <cfRule type="duplicateValues" dxfId="37" priority="71"/>
    <cfRule type="duplicateValues" dxfId="36" priority="72"/>
    <cfRule type="duplicateValues" dxfId="35" priority="73"/>
  </conditionalFormatting>
  <conditionalFormatting sqref="A18:A21">
    <cfRule type="duplicateValues" dxfId="34" priority="70"/>
  </conditionalFormatting>
  <conditionalFormatting sqref="A18">
    <cfRule type="duplicateValues" dxfId="33" priority="64"/>
    <cfRule type="duplicateValues" dxfId="32" priority="65"/>
    <cfRule type="duplicateValues" dxfId="31" priority="66"/>
  </conditionalFormatting>
  <conditionalFormatting sqref="A18">
    <cfRule type="duplicateValues" dxfId="30" priority="67"/>
  </conditionalFormatting>
  <conditionalFormatting sqref="A18">
    <cfRule type="duplicateValues" dxfId="29" priority="68"/>
  </conditionalFormatting>
  <conditionalFormatting sqref="A18:A20">
    <cfRule type="duplicateValues" dxfId="28" priority="69"/>
  </conditionalFormatting>
  <conditionalFormatting sqref="A19">
    <cfRule type="duplicateValues" dxfId="27" priority="59"/>
  </conditionalFormatting>
  <conditionalFormatting sqref="A19:A20">
    <cfRule type="duplicateValues" dxfId="26" priority="60"/>
    <cfRule type="duplicateValues" dxfId="25" priority="61"/>
    <cfRule type="duplicateValues" dxfId="24" priority="62"/>
  </conditionalFormatting>
  <conditionalFormatting sqref="A19">
    <cfRule type="duplicateValues" dxfId="23" priority="63"/>
  </conditionalFormatting>
  <conditionalFormatting sqref="A21">
    <cfRule type="duplicateValues" dxfId="22" priority="55"/>
  </conditionalFormatting>
  <conditionalFormatting sqref="A21">
    <cfRule type="duplicateValues" dxfId="21" priority="56"/>
    <cfRule type="duplicateValues" dxfId="20" priority="57"/>
    <cfRule type="duplicateValues" dxfId="19" priority="58"/>
  </conditionalFormatting>
  <conditionalFormatting sqref="B21">
    <cfRule type="duplicateValues" dxfId="18" priority="54"/>
  </conditionalFormatting>
  <conditionalFormatting sqref="A22:A26">
    <cfRule type="duplicateValues" dxfId="17" priority="44"/>
    <cfRule type="duplicateValues" dxfId="16" priority="45"/>
    <cfRule type="duplicateValues" dxfId="15" priority="46"/>
    <cfRule type="duplicateValues" dxfId="14" priority="47"/>
    <cfRule type="duplicateValues" dxfId="13" priority="48"/>
    <cfRule type="duplicateValues" dxfId="12" priority="49"/>
    <cfRule type="duplicateValues" dxfId="11" priority="50"/>
    <cfRule type="duplicateValues" dxfId="10" priority="51"/>
    <cfRule type="duplicateValues" dxfId="9" priority="52"/>
    <cfRule type="duplicateValues" dxfId="8" priority="53"/>
  </conditionalFormatting>
  <conditionalFormatting sqref="A13:A17">
    <cfRule type="duplicateValues" dxfId="7" priority="84"/>
  </conditionalFormatting>
  <conditionalFormatting sqref="A1:A1048576">
    <cfRule type="duplicateValues" dxfId="6" priority="4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7F350-9344-4C73-92AF-18B4EF019901}">
  <sheetPr codeName="Sheet12"/>
  <dimension ref="A1:AE62"/>
  <sheetViews>
    <sheetView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8.88671875" defaultRowHeight="14.4"/>
  <cols>
    <col min="1" max="1" width="10.6640625" style="86" customWidth="1"/>
    <col min="2" max="2" width="26.21875" style="86" bestFit="1" customWidth="1"/>
    <col min="3" max="3" width="9.44140625" style="85" bestFit="1" customWidth="1"/>
    <col min="4" max="6" width="21.21875" style="85" bestFit="1" customWidth="1"/>
    <col min="7" max="14" width="10.77734375" style="85" customWidth="1"/>
    <col min="15" max="15" width="10.6640625" style="85" customWidth="1"/>
    <col min="16" max="19" width="32.6640625" style="85" bestFit="1" customWidth="1"/>
    <col min="20" max="31" width="10.77734375" style="85" customWidth="1"/>
    <col min="32" max="16384" width="8.88671875" style="64"/>
  </cols>
  <sheetData>
    <row r="1" spans="1:31" ht="49.95" customHeight="1">
      <c r="A1" s="242"/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</row>
    <row r="2" spans="1:31" s="139" customFormat="1" ht="40.049999999999997" customHeight="1">
      <c r="A2" s="135" t="s">
        <v>0</v>
      </c>
      <c r="B2" s="135" t="s">
        <v>18</v>
      </c>
      <c r="C2" s="136" t="s">
        <v>366</v>
      </c>
      <c r="D2" s="136" t="s">
        <v>367</v>
      </c>
      <c r="E2" s="136" t="s">
        <v>368</v>
      </c>
      <c r="F2" s="136" t="s">
        <v>369</v>
      </c>
      <c r="G2" s="137" t="s">
        <v>370</v>
      </c>
      <c r="H2" s="137" t="s">
        <v>371</v>
      </c>
      <c r="I2" s="137" t="s">
        <v>372</v>
      </c>
      <c r="J2" s="137" t="s">
        <v>373</v>
      </c>
      <c r="K2" s="19" t="s">
        <v>374</v>
      </c>
      <c r="L2" s="19" t="s">
        <v>375</v>
      </c>
      <c r="M2" s="19" t="s">
        <v>376</v>
      </c>
      <c r="N2" s="19" t="s">
        <v>377</v>
      </c>
      <c r="O2" s="138" t="s">
        <v>166</v>
      </c>
      <c r="P2" s="138" t="s">
        <v>382</v>
      </c>
      <c r="Q2" s="138" t="s">
        <v>383</v>
      </c>
      <c r="R2" s="138" t="s">
        <v>384</v>
      </c>
      <c r="S2" s="138" t="s">
        <v>397</v>
      </c>
      <c r="T2" s="138" t="s">
        <v>385</v>
      </c>
      <c r="U2" s="138" t="s">
        <v>386</v>
      </c>
      <c r="V2" s="138" t="s">
        <v>387</v>
      </c>
      <c r="W2" s="138" t="s">
        <v>388</v>
      </c>
      <c r="X2" s="138" t="s">
        <v>389</v>
      </c>
      <c r="Y2" s="138" t="s">
        <v>390</v>
      </c>
      <c r="Z2" s="138" t="s">
        <v>391</v>
      </c>
      <c r="AA2" s="138" t="s">
        <v>392</v>
      </c>
      <c r="AB2" s="138" t="s">
        <v>393</v>
      </c>
      <c r="AC2" s="138" t="s">
        <v>394</v>
      </c>
      <c r="AD2" s="138" t="s">
        <v>395</v>
      </c>
      <c r="AE2" s="138" t="s">
        <v>396</v>
      </c>
    </row>
    <row r="3" spans="1:31" ht="19.95" customHeight="1">
      <c r="A3" s="17">
        <f>SUBTOTAL(103, A4:A203)</f>
        <v>6</v>
      </c>
      <c r="B3" s="17">
        <f t="shared" ref="B3:V3" si="0">SUBTOTAL(103, B4:B203)</f>
        <v>6</v>
      </c>
      <c r="C3" s="17">
        <f t="shared" si="0"/>
        <v>6</v>
      </c>
      <c r="D3" s="17">
        <f t="shared" si="0"/>
        <v>6</v>
      </c>
      <c r="E3" s="17">
        <f t="shared" si="0"/>
        <v>6</v>
      </c>
      <c r="F3" s="17">
        <f t="shared" si="0"/>
        <v>6</v>
      </c>
      <c r="G3" s="17">
        <f t="shared" si="0"/>
        <v>6</v>
      </c>
      <c r="H3" s="17">
        <f t="shared" si="0"/>
        <v>6</v>
      </c>
      <c r="I3" s="17">
        <f t="shared" si="0"/>
        <v>6</v>
      </c>
      <c r="J3" s="17">
        <f t="shared" si="0"/>
        <v>6</v>
      </c>
      <c r="K3" s="17">
        <f t="shared" si="0"/>
        <v>6</v>
      </c>
      <c r="L3" s="17">
        <f t="shared" si="0"/>
        <v>6</v>
      </c>
      <c r="M3" s="17">
        <f t="shared" si="0"/>
        <v>6</v>
      </c>
      <c r="N3" s="17">
        <f t="shared" si="0"/>
        <v>6</v>
      </c>
      <c r="O3" s="17">
        <f t="shared" si="0"/>
        <v>6</v>
      </c>
      <c r="P3" s="17">
        <f t="shared" si="0"/>
        <v>6</v>
      </c>
      <c r="Q3" s="17">
        <f t="shared" si="0"/>
        <v>6</v>
      </c>
      <c r="R3" s="17">
        <f t="shared" si="0"/>
        <v>6</v>
      </c>
      <c r="S3" s="17">
        <f t="shared" ref="S3" si="1">SUBTOTAL(103, S4:S203)</f>
        <v>6</v>
      </c>
      <c r="T3" s="17">
        <f t="shared" si="0"/>
        <v>6</v>
      </c>
      <c r="U3" s="17">
        <f t="shared" si="0"/>
        <v>6</v>
      </c>
      <c r="V3" s="17">
        <f t="shared" si="0"/>
        <v>6</v>
      </c>
      <c r="W3" s="17">
        <f t="shared" ref="W3:Y3" si="2">SUBTOTAL(103, W4:W203)</f>
        <v>6</v>
      </c>
      <c r="X3" s="17">
        <f t="shared" si="2"/>
        <v>6</v>
      </c>
      <c r="Y3" s="17">
        <f t="shared" si="2"/>
        <v>6</v>
      </c>
      <c r="Z3" s="17">
        <f t="shared" ref="Z3:AB3" si="3">SUBTOTAL(103, Z4:Z203)</f>
        <v>6</v>
      </c>
      <c r="AA3" s="17">
        <f t="shared" si="3"/>
        <v>6</v>
      </c>
      <c r="AB3" s="17">
        <f t="shared" si="3"/>
        <v>6</v>
      </c>
      <c r="AC3" s="17">
        <f t="shared" ref="AC3:AE3" si="4">SUBTOTAL(103, AC4:AC203)</f>
        <v>6</v>
      </c>
      <c r="AD3" s="17">
        <f t="shared" si="4"/>
        <v>6</v>
      </c>
      <c r="AE3" s="17">
        <f t="shared" si="4"/>
        <v>6</v>
      </c>
    </row>
    <row r="4" spans="1:31" s="145" customFormat="1" ht="13.8">
      <c r="A4" s="140" t="s">
        <v>171</v>
      </c>
      <c r="B4" s="140" t="s">
        <v>179</v>
      </c>
      <c r="C4" s="141" t="s">
        <v>378</v>
      </c>
      <c r="D4" s="141" t="s">
        <v>379</v>
      </c>
      <c r="E4" s="141" t="s">
        <v>378</v>
      </c>
      <c r="F4" s="141" t="s">
        <v>380</v>
      </c>
      <c r="G4" s="141" t="s">
        <v>62</v>
      </c>
      <c r="H4" s="141" t="s">
        <v>62</v>
      </c>
      <c r="I4" s="141" t="s">
        <v>62</v>
      </c>
      <c r="J4" s="141" t="s">
        <v>62</v>
      </c>
      <c r="K4" s="141" t="s">
        <v>76</v>
      </c>
      <c r="L4" s="141" t="s">
        <v>76</v>
      </c>
      <c r="M4" s="141" t="s">
        <v>76</v>
      </c>
      <c r="N4" s="141" t="s">
        <v>76</v>
      </c>
      <c r="O4" s="141" t="s">
        <v>151</v>
      </c>
      <c r="P4" s="140" t="s">
        <v>381</v>
      </c>
      <c r="Q4" s="140" t="s">
        <v>381</v>
      </c>
      <c r="R4" s="140" t="s">
        <v>381</v>
      </c>
      <c r="S4" s="140" t="s">
        <v>381</v>
      </c>
      <c r="T4" s="142">
        <v>0</v>
      </c>
      <c r="U4" s="143">
        <v>0</v>
      </c>
      <c r="V4" s="144">
        <v>2</v>
      </c>
      <c r="W4" s="142">
        <v>100</v>
      </c>
      <c r="X4" s="143">
        <v>2</v>
      </c>
      <c r="Y4" s="144">
        <v>2</v>
      </c>
      <c r="Z4" s="142">
        <v>180</v>
      </c>
      <c r="AA4" s="143">
        <v>0</v>
      </c>
      <c r="AB4" s="144">
        <v>2</v>
      </c>
      <c r="AC4" s="142">
        <v>280</v>
      </c>
      <c r="AD4" s="143">
        <v>0</v>
      </c>
      <c r="AE4" s="144">
        <v>2</v>
      </c>
    </row>
    <row r="5" spans="1:31" s="145" customFormat="1" ht="13.8">
      <c r="A5" s="140" t="s">
        <v>159</v>
      </c>
      <c r="B5" s="140" t="s">
        <v>160</v>
      </c>
      <c r="C5" s="141" t="s">
        <v>378</v>
      </c>
      <c r="D5" s="141" t="s">
        <v>378</v>
      </c>
      <c r="E5" s="141" t="s">
        <v>398</v>
      </c>
      <c r="F5" s="141" t="s">
        <v>76</v>
      </c>
      <c r="G5" s="141" t="s">
        <v>62</v>
      </c>
      <c r="H5" s="141" t="s">
        <v>62</v>
      </c>
      <c r="I5" s="141" t="s">
        <v>62</v>
      </c>
      <c r="J5" s="141" t="s">
        <v>76</v>
      </c>
      <c r="K5" s="141" t="s">
        <v>76</v>
      </c>
      <c r="L5" s="141" t="s">
        <v>76</v>
      </c>
      <c r="M5" s="141" t="s">
        <v>76</v>
      </c>
      <c r="N5" s="141" t="s">
        <v>76</v>
      </c>
      <c r="O5" s="141" t="s">
        <v>151</v>
      </c>
      <c r="P5" s="140" t="s">
        <v>381</v>
      </c>
      <c r="Q5" s="140" t="s">
        <v>381</v>
      </c>
      <c r="R5" s="140" t="s">
        <v>381</v>
      </c>
      <c r="S5" s="141" t="s">
        <v>76</v>
      </c>
      <c r="T5" s="142">
        <v>40</v>
      </c>
      <c r="U5" s="143">
        <v>0</v>
      </c>
      <c r="V5" s="144">
        <v>2</v>
      </c>
      <c r="W5" s="142">
        <v>150</v>
      </c>
      <c r="X5" s="143">
        <v>0</v>
      </c>
      <c r="Y5" s="144">
        <v>2</v>
      </c>
      <c r="Z5" s="142">
        <v>320</v>
      </c>
      <c r="AA5" s="143">
        <v>0</v>
      </c>
      <c r="AB5" s="144">
        <v>2</v>
      </c>
      <c r="AC5" s="142" t="s">
        <v>76</v>
      </c>
      <c r="AD5" s="143" t="s">
        <v>76</v>
      </c>
      <c r="AE5" s="144" t="s">
        <v>76</v>
      </c>
    </row>
    <row r="6" spans="1:31" s="145" customFormat="1" ht="13.8">
      <c r="A6" s="114" t="s">
        <v>156</v>
      </c>
      <c r="B6" s="89" t="s">
        <v>157</v>
      </c>
      <c r="C6" s="141" t="s">
        <v>378</v>
      </c>
      <c r="D6" s="141" t="s">
        <v>378</v>
      </c>
      <c r="E6" s="141" t="s">
        <v>398</v>
      </c>
      <c r="F6" s="141" t="s">
        <v>76</v>
      </c>
      <c r="G6" s="141" t="s">
        <v>62</v>
      </c>
      <c r="H6" s="141" t="s">
        <v>62</v>
      </c>
      <c r="I6" s="141" t="s">
        <v>62</v>
      </c>
      <c r="J6" s="141" t="s">
        <v>76</v>
      </c>
      <c r="K6" s="141" t="s">
        <v>76</v>
      </c>
      <c r="L6" s="141" t="s">
        <v>76</v>
      </c>
      <c r="M6" s="141" t="s">
        <v>76</v>
      </c>
      <c r="N6" s="141" t="s">
        <v>76</v>
      </c>
      <c r="O6" s="141" t="s">
        <v>151</v>
      </c>
      <c r="P6" s="140" t="s">
        <v>381</v>
      </c>
      <c r="Q6" s="140" t="s">
        <v>381</v>
      </c>
      <c r="R6" s="140" t="s">
        <v>381</v>
      </c>
      <c r="S6" s="141" t="s">
        <v>76</v>
      </c>
      <c r="T6" s="142">
        <v>70</v>
      </c>
      <c r="U6" s="143">
        <v>0</v>
      </c>
      <c r="V6" s="144">
        <v>2</v>
      </c>
      <c r="W6" s="142">
        <v>170</v>
      </c>
      <c r="X6" s="143">
        <v>0</v>
      </c>
      <c r="Y6" s="144">
        <v>2</v>
      </c>
      <c r="Z6" s="142">
        <v>280</v>
      </c>
      <c r="AA6" s="143">
        <v>0</v>
      </c>
      <c r="AB6" s="144">
        <v>2</v>
      </c>
      <c r="AC6" s="142" t="s">
        <v>76</v>
      </c>
      <c r="AD6" s="143" t="s">
        <v>76</v>
      </c>
      <c r="AE6" s="144" t="s">
        <v>76</v>
      </c>
    </row>
    <row r="7" spans="1:31" s="145" customFormat="1" ht="13.8">
      <c r="A7" s="113" t="s">
        <v>154</v>
      </c>
      <c r="B7" s="21" t="s">
        <v>155</v>
      </c>
      <c r="C7" s="141" t="s">
        <v>378</v>
      </c>
      <c r="D7" s="141" t="s">
        <v>379</v>
      </c>
      <c r="E7" s="141" t="s">
        <v>378</v>
      </c>
      <c r="F7" s="141" t="s">
        <v>380</v>
      </c>
      <c r="G7" s="141" t="s">
        <v>62</v>
      </c>
      <c r="H7" s="141" t="s">
        <v>62</v>
      </c>
      <c r="I7" s="141" t="s">
        <v>62</v>
      </c>
      <c r="J7" s="141" t="s">
        <v>62</v>
      </c>
      <c r="K7" s="141" t="s">
        <v>76</v>
      </c>
      <c r="L7" s="141" t="s">
        <v>76</v>
      </c>
      <c r="M7" s="141" t="s">
        <v>76</v>
      </c>
      <c r="N7" s="141" t="s">
        <v>76</v>
      </c>
      <c r="O7" s="141" t="s">
        <v>151</v>
      </c>
      <c r="P7" s="140" t="s">
        <v>381</v>
      </c>
      <c r="Q7" s="140" t="s">
        <v>381</v>
      </c>
      <c r="R7" s="140" t="s">
        <v>381</v>
      </c>
      <c r="S7" s="140" t="s">
        <v>381</v>
      </c>
      <c r="T7" s="142">
        <v>60</v>
      </c>
      <c r="U7" s="143">
        <v>0</v>
      </c>
      <c r="V7" s="144">
        <v>2</v>
      </c>
      <c r="W7" s="142">
        <v>140</v>
      </c>
      <c r="X7" s="143">
        <v>0</v>
      </c>
      <c r="Y7" s="144">
        <v>2</v>
      </c>
      <c r="Z7" s="142">
        <v>220</v>
      </c>
      <c r="AA7" s="143">
        <v>0</v>
      </c>
      <c r="AB7" s="144">
        <v>2</v>
      </c>
      <c r="AC7" s="142">
        <v>320</v>
      </c>
      <c r="AD7" s="143">
        <v>0</v>
      </c>
      <c r="AE7" s="144">
        <v>2</v>
      </c>
    </row>
    <row r="8" spans="1:31" s="145" customFormat="1" ht="13.8">
      <c r="A8" s="113" t="s">
        <v>169</v>
      </c>
      <c r="B8" s="21" t="s">
        <v>177</v>
      </c>
      <c r="C8" s="141" t="s">
        <v>378</v>
      </c>
      <c r="D8" s="141" t="s">
        <v>378</v>
      </c>
      <c r="E8" s="141" t="s">
        <v>398</v>
      </c>
      <c r="F8" s="141" t="s">
        <v>76</v>
      </c>
      <c r="G8" s="141" t="s">
        <v>62</v>
      </c>
      <c r="H8" s="141" t="s">
        <v>62</v>
      </c>
      <c r="I8" s="141" t="s">
        <v>62</v>
      </c>
      <c r="J8" s="141" t="s">
        <v>76</v>
      </c>
      <c r="K8" s="141" t="s">
        <v>76</v>
      </c>
      <c r="L8" s="141" t="s">
        <v>76</v>
      </c>
      <c r="M8" s="141" t="s">
        <v>76</v>
      </c>
      <c r="N8" s="141" t="s">
        <v>76</v>
      </c>
      <c r="O8" s="141" t="s">
        <v>151</v>
      </c>
      <c r="P8" s="140" t="s">
        <v>381</v>
      </c>
      <c r="Q8" s="140" t="s">
        <v>381</v>
      </c>
      <c r="R8" s="140" t="s">
        <v>381</v>
      </c>
      <c r="S8" s="141" t="s">
        <v>76</v>
      </c>
      <c r="T8" s="142">
        <v>40</v>
      </c>
      <c r="U8" s="143">
        <v>1</v>
      </c>
      <c r="V8" s="144">
        <v>2</v>
      </c>
      <c r="W8" s="142">
        <v>120</v>
      </c>
      <c r="X8" s="143">
        <v>1</v>
      </c>
      <c r="Y8" s="144">
        <v>2</v>
      </c>
      <c r="Z8" s="142">
        <v>300</v>
      </c>
      <c r="AA8" s="143">
        <v>2</v>
      </c>
      <c r="AB8" s="144">
        <v>2</v>
      </c>
      <c r="AC8" s="142" t="s">
        <v>76</v>
      </c>
      <c r="AD8" s="143" t="s">
        <v>76</v>
      </c>
      <c r="AE8" s="144" t="s">
        <v>76</v>
      </c>
    </row>
    <row r="9" spans="1:31" s="145" customFormat="1" ht="13.8">
      <c r="A9" s="113" t="s">
        <v>152</v>
      </c>
      <c r="B9" s="21" t="s">
        <v>153</v>
      </c>
      <c r="C9" s="141" t="s">
        <v>378</v>
      </c>
      <c r="D9" s="141" t="s">
        <v>378</v>
      </c>
      <c r="E9" s="141" t="s">
        <v>398</v>
      </c>
      <c r="F9" s="141" t="s">
        <v>76</v>
      </c>
      <c r="G9" s="141" t="s">
        <v>62</v>
      </c>
      <c r="H9" s="141" t="s">
        <v>62</v>
      </c>
      <c r="I9" s="141" t="s">
        <v>62</v>
      </c>
      <c r="J9" s="141" t="s">
        <v>76</v>
      </c>
      <c r="K9" s="141" t="s">
        <v>76</v>
      </c>
      <c r="L9" s="141" t="s">
        <v>76</v>
      </c>
      <c r="M9" s="141" t="s">
        <v>76</v>
      </c>
      <c r="N9" s="141" t="s">
        <v>76</v>
      </c>
      <c r="O9" s="141" t="s">
        <v>151</v>
      </c>
      <c r="P9" s="140" t="s">
        <v>381</v>
      </c>
      <c r="Q9" s="140" t="s">
        <v>381</v>
      </c>
      <c r="R9" s="140" t="s">
        <v>381</v>
      </c>
      <c r="S9" s="141" t="s">
        <v>76</v>
      </c>
      <c r="T9" s="142">
        <v>100</v>
      </c>
      <c r="U9" s="143">
        <v>0</v>
      </c>
      <c r="V9" s="144">
        <v>2</v>
      </c>
      <c r="W9" s="142">
        <v>210</v>
      </c>
      <c r="X9" s="143">
        <v>0</v>
      </c>
      <c r="Y9" s="144">
        <v>2</v>
      </c>
      <c r="Z9" s="142">
        <v>320</v>
      </c>
      <c r="AA9" s="143">
        <v>0</v>
      </c>
      <c r="AB9" s="144">
        <v>2</v>
      </c>
      <c r="AC9" s="142" t="s">
        <v>76</v>
      </c>
      <c r="AD9" s="143" t="s">
        <v>76</v>
      </c>
      <c r="AE9" s="144" t="s">
        <v>76</v>
      </c>
    </row>
    <row r="10" spans="1:31" s="145" customFormat="1" ht="13.8">
      <c r="A10" s="140"/>
      <c r="B10" s="140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2"/>
      <c r="U10" s="143"/>
      <c r="V10" s="144"/>
      <c r="W10" s="142"/>
      <c r="X10" s="143"/>
      <c r="Y10" s="144"/>
      <c r="Z10" s="142"/>
      <c r="AA10" s="143"/>
      <c r="AB10" s="144"/>
      <c r="AC10" s="142"/>
      <c r="AD10" s="143"/>
      <c r="AE10" s="144"/>
    </row>
    <row r="11" spans="1:31" s="145" customFormat="1" ht="13.8">
      <c r="A11" s="140"/>
      <c r="B11" s="140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2"/>
      <c r="U11" s="143"/>
      <c r="V11" s="144"/>
      <c r="W11" s="142"/>
      <c r="X11" s="143"/>
      <c r="Y11" s="144"/>
      <c r="Z11" s="142"/>
      <c r="AA11" s="143"/>
      <c r="AB11" s="144"/>
      <c r="AC11" s="142"/>
      <c r="AD11" s="143"/>
      <c r="AE11" s="144"/>
    </row>
    <row r="12" spans="1:31" s="145" customFormat="1" ht="13.8">
      <c r="A12" s="140"/>
      <c r="B12" s="140"/>
      <c r="C12" s="141"/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2"/>
      <c r="U12" s="143"/>
      <c r="V12" s="144"/>
      <c r="W12" s="142"/>
      <c r="X12" s="143"/>
      <c r="Y12" s="144"/>
      <c r="Z12" s="142"/>
      <c r="AA12" s="143"/>
      <c r="AB12" s="144"/>
      <c r="AC12" s="142"/>
      <c r="AD12" s="143"/>
      <c r="AE12" s="144"/>
    </row>
    <row r="13" spans="1:31" s="145" customFormat="1" ht="13.8">
      <c r="A13" s="140"/>
      <c r="B13" s="140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2"/>
      <c r="U13" s="143"/>
      <c r="V13" s="144"/>
      <c r="W13" s="142"/>
      <c r="X13" s="143"/>
      <c r="Y13" s="144"/>
      <c r="Z13" s="142"/>
      <c r="AA13" s="143"/>
      <c r="AB13" s="144"/>
      <c r="AC13" s="142"/>
      <c r="AD13" s="143"/>
      <c r="AE13" s="144"/>
    </row>
    <row r="14" spans="1:31" s="145" customFormat="1" ht="13.8">
      <c r="A14" s="140"/>
      <c r="B14" s="140"/>
      <c r="C14" s="141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2"/>
      <c r="U14" s="143"/>
      <c r="V14" s="144"/>
      <c r="W14" s="142"/>
      <c r="X14" s="143"/>
      <c r="Y14" s="144"/>
      <c r="Z14" s="142"/>
      <c r="AA14" s="143"/>
      <c r="AB14" s="144"/>
      <c r="AC14" s="142"/>
      <c r="AD14" s="143"/>
      <c r="AE14" s="144"/>
    </row>
    <row r="15" spans="1:31" s="145" customFormat="1" ht="13.8">
      <c r="A15" s="35"/>
      <c r="B15" s="35"/>
      <c r="C15" s="146"/>
      <c r="D15" s="146"/>
      <c r="E15" s="146"/>
      <c r="F15" s="146"/>
      <c r="G15" s="146"/>
      <c r="H15" s="146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2"/>
      <c r="U15" s="143"/>
      <c r="V15" s="144"/>
      <c r="W15" s="142"/>
      <c r="X15" s="143"/>
      <c r="Y15" s="144"/>
      <c r="Z15" s="142"/>
      <c r="AA15" s="143"/>
      <c r="AB15" s="144"/>
      <c r="AC15" s="142"/>
      <c r="AD15" s="143"/>
      <c r="AE15" s="144"/>
    </row>
    <row r="16" spans="1:31" s="145" customFormat="1" ht="13.8">
      <c r="A16" s="140"/>
      <c r="B16" s="140"/>
      <c r="C16" s="141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2"/>
      <c r="U16" s="143"/>
      <c r="V16" s="144"/>
      <c r="W16" s="142"/>
      <c r="X16" s="143"/>
      <c r="Y16" s="144"/>
      <c r="Z16" s="142"/>
      <c r="AA16" s="143"/>
      <c r="AB16" s="144"/>
      <c r="AC16" s="142"/>
      <c r="AD16" s="143"/>
      <c r="AE16" s="144"/>
    </row>
    <row r="17" spans="1:31" s="145" customFormat="1" ht="13.8">
      <c r="A17" s="140"/>
      <c r="B17" s="140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2"/>
      <c r="U17" s="143"/>
      <c r="V17" s="144"/>
      <c r="W17" s="142"/>
      <c r="X17" s="143"/>
      <c r="Y17" s="144"/>
      <c r="Z17" s="142"/>
      <c r="AA17" s="143"/>
      <c r="AB17" s="144"/>
      <c r="AC17" s="142"/>
      <c r="AD17" s="143"/>
      <c r="AE17" s="144"/>
    </row>
    <row r="18" spans="1:31" s="145" customFormat="1" ht="13.8">
      <c r="A18" s="140"/>
      <c r="B18" s="140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2"/>
      <c r="U18" s="143"/>
      <c r="V18" s="144"/>
      <c r="W18" s="142"/>
      <c r="X18" s="143"/>
      <c r="Y18" s="144"/>
      <c r="Z18" s="142"/>
      <c r="AA18" s="143"/>
      <c r="AB18" s="144"/>
      <c r="AC18" s="142"/>
      <c r="AD18" s="143"/>
      <c r="AE18" s="144"/>
    </row>
    <row r="19" spans="1:31" s="145" customFormat="1" ht="13.8">
      <c r="A19" s="140"/>
      <c r="B19" s="140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2"/>
      <c r="U19" s="143"/>
      <c r="V19" s="144"/>
      <c r="W19" s="142"/>
      <c r="X19" s="143"/>
      <c r="Y19" s="144"/>
      <c r="Z19" s="142"/>
      <c r="AA19" s="143"/>
      <c r="AB19" s="144"/>
      <c r="AC19" s="142"/>
      <c r="AD19" s="143"/>
      <c r="AE19" s="144"/>
    </row>
    <row r="20" spans="1:31" s="145" customFormat="1" ht="13.8">
      <c r="A20" s="140"/>
      <c r="B20" s="140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2"/>
      <c r="U20" s="143"/>
      <c r="V20" s="144"/>
      <c r="W20" s="142"/>
      <c r="X20" s="143"/>
      <c r="Y20" s="144"/>
      <c r="Z20" s="142"/>
      <c r="AA20" s="143"/>
      <c r="AB20" s="144"/>
      <c r="AC20" s="142"/>
      <c r="AD20" s="143"/>
      <c r="AE20" s="144"/>
    </row>
    <row r="21" spans="1:31" s="145" customFormat="1" ht="13.8">
      <c r="A21" s="140"/>
      <c r="B21" s="140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2"/>
      <c r="U21" s="143"/>
      <c r="V21" s="144"/>
      <c r="W21" s="142"/>
      <c r="X21" s="143"/>
      <c r="Y21" s="144"/>
      <c r="Z21" s="142"/>
      <c r="AA21" s="143"/>
      <c r="AB21" s="144"/>
      <c r="AC21" s="142"/>
      <c r="AD21" s="143"/>
      <c r="AE21" s="144"/>
    </row>
    <row r="22" spans="1:31" s="145" customFormat="1" ht="13.8">
      <c r="A22" s="140"/>
      <c r="B22" s="140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2"/>
      <c r="U22" s="143"/>
      <c r="V22" s="144"/>
      <c r="W22" s="142"/>
      <c r="X22" s="143"/>
      <c r="Y22" s="144"/>
      <c r="Z22" s="142"/>
      <c r="AA22" s="143"/>
      <c r="AB22" s="144"/>
      <c r="AC22" s="142"/>
      <c r="AD22" s="143"/>
      <c r="AE22" s="144"/>
    </row>
    <row r="23" spans="1:31" s="145" customFormat="1" ht="13.8">
      <c r="A23" s="140"/>
      <c r="B23" s="140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2"/>
      <c r="U23" s="143"/>
      <c r="V23" s="144"/>
      <c r="W23" s="142"/>
      <c r="X23" s="143"/>
      <c r="Y23" s="144"/>
      <c r="Z23" s="142"/>
      <c r="AA23" s="143"/>
      <c r="AB23" s="144"/>
      <c r="AC23" s="142"/>
      <c r="AD23" s="143"/>
      <c r="AE23" s="144"/>
    </row>
    <row r="24" spans="1:31" s="145" customFormat="1" ht="13.8">
      <c r="A24" s="140"/>
      <c r="B24" s="140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2"/>
      <c r="U24" s="143"/>
      <c r="V24" s="144"/>
      <c r="W24" s="142"/>
      <c r="X24" s="143"/>
      <c r="Y24" s="144"/>
      <c r="Z24" s="142"/>
      <c r="AA24" s="143"/>
      <c r="AB24" s="144"/>
      <c r="AC24" s="142"/>
      <c r="AD24" s="143"/>
      <c r="AE24" s="144"/>
    </row>
    <row r="25" spans="1:31" s="145" customFormat="1" ht="13.8">
      <c r="A25" s="140"/>
      <c r="B25" s="140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2"/>
      <c r="U25" s="143"/>
      <c r="V25" s="144"/>
      <c r="W25" s="142"/>
      <c r="X25" s="143"/>
      <c r="Y25" s="144"/>
      <c r="Z25" s="142"/>
      <c r="AA25" s="143"/>
      <c r="AB25" s="144"/>
      <c r="AC25" s="142"/>
      <c r="AD25" s="143"/>
      <c r="AE25" s="144"/>
    </row>
    <row r="26" spans="1:31">
      <c r="A26" s="140"/>
      <c r="B26" s="140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2"/>
      <c r="U26" s="143"/>
      <c r="V26" s="144"/>
      <c r="W26" s="142"/>
      <c r="X26" s="143"/>
      <c r="Y26" s="144"/>
      <c r="Z26" s="142"/>
      <c r="AA26" s="143"/>
      <c r="AB26" s="144"/>
      <c r="AC26" s="142"/>
      <c r="AD26" s="143"/>
      <c r="AE26" s="144"/>
    </row>
    <row r="27" spans="1:31">
      <c r="A27" s="140"/>
      <c r="B27" s="140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2"/>
      <c r="U27" s="143"/>
      <c r="V27" s="144"/>
      <c r="W27" s="142"/>
      <c r="X27" s="143"/>
      <c r="Y27" s="144"/>
      <c r="Z27" s="142"/>
      <c r="AA27" s="143"/>
      <c r="AB27" s="144"/>
      <c r="AC27" s="142"/>
      <c r="AD27" s="143"/>
      <c r="AE27" s="144"/>
    </row>
    <row r="28" spans="1:31">
      <c r="A28" s="140"/>
      <c r="B28" s="140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2"/>
      <c r="U28" s="143"/>
      <c r="V28" s="144"/>
      <c r="W28" s="142"/>
      <c r="X28" s="143"/>
      <c r="Y28" s="144"/>
      <c r="Z28" s="142"/>
      <c r="AA28" s="143"/>
      <c r="AB28" s="144"/>
      <c r="AC28" s="142"/>
      <c r="AD28" s="143"/>
      <c r="AE28" s="144"/>
    </row>
    <row r="29" spans="1:31">
      <c r="A29" s="140"/>
      <c r="B29" s="140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2"/>
      <c r="U29" s="143"/>
      <c r="V29" s="144"/>
      <c r="W29" s="142"/>
      <c r="X29" s="143"/>
      <c r="Y29" s="144"/>
      <c r="Z29" s="142"/>
      <c r="AA29" s="143"/>
      <c r="AB29" s="144"/>
      <c r="AC29" s="142"/>
      <c r="AD29" s="143"/>
      <c r="AE29" s="144"/>
    </row>
    <row r="30" spans="1:31">
      <c r="A30" s="140"/>
      <c r="B30" s="140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2"/>
      <c r="U30" s="143"/>
      <c r="V30" s="144"/>
      <c r="W30" s="142"/>
      <c r="X30" s="143"/>
      <c r="Y30" s="144"/>
      <c r="Z30" s="142"/>
      <c r="AA30" s="143"/>
      <c r="AB30" s="144"/>
      <c r="AC30" s="142"/>
      <c r="AD30" s="143"/>
      <c r="AE30" s="144"/>
    </row>
    <row r="31" spans="1:31">
      <c r="A31" s="140"/>
      <c r="B31" s="140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2"/>
      <c r="U31" s="143"/>
      <c r="V31" s="144"/>
      <c r="W31" s="142"/>
      <c r="X31" s="143"/>
      <c r="Y31" s="144"/>
      <c r="Z31" s="142"/>
      <c r="AA31" s="143"/>
      <c r="AB31" s="144"/>
      <c r="AC31" s="142"/>
      <c r="AD31" s="143"/>
      <c r="AE31" s="144"/>
    </row>
    <row r="32" spans="1:31">
      <c r="A32" s="140"/>
      <c r="B32" s="140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2"/>
      <c r="U32" s="143"/>
      <c r="V32" s="144"/>
      <c r="W32" s="142"/>
      <c r="X32" s="143"/>
      <c r="Y32" s="144"/>
      <c r="Z32" s="142"/>
      <c r="AA32" s="143"/>
      <c r="AB32" s="144"/>
      <c r="AC32" s="142"/>
      <c r="AD32" s="143"/>
      <c r="AE32" s="144"/>
    </row>
    <row r="33" spans="1:31">
      <c r="A33" s="140"/>
      <c r="B33" s="140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2"/>
      <c r="U33" s="143"/>
      <c r="V33" s="144"/>
      <c r="W33" s="142"/>
      <c r="X33" s="143"/>
      <c r="Y33" s="144"/>
      <c r="Z33" s="142"/>
      <c r="AA33" s="143"/>
      <c r="AB33" s="144"/>
      <c r="AC33" s="142"/>
      <c r="AD33" s="143"/>
      <c r="AE33" s="144"/>
    </row>
    <row r="34" spans="1:31">
      <c r="A34" s="140"/>
      <c r="B34" s="140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2"/>
      <c r="U34" s="143"/>
      <c r="V34" s="144"/>
      <c r="W34" s="142"/>
      <c r="X34" s="143"/>
      <c r="Y34" s="144"/>
      <c r="Z34" s="142"/>
      <c r="AA34" s="143"/>
      <c r="AB34" s="144"/>
      <c r="AC34" s="142"/>
      <c r="AD34" s="143"/>
      <c r="AE34" s="144"/>
    </row>
    <row r="35" spans="1:31">
      <c r="A35" s="140"/>
      <c r="B35" s="140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2"/>
      <c r="U35" s="143"/>
      <c r="V35" s="144"/>
      <c r="W35" s="142"/>
      <c r="X35" s="143"/>
      <c r="Y35" s="144"/>
      <c r="Z35" s="142"/>
      <c r="AA35" s="143"/>
      <c r="AB35" s="144"/>
      <c r="AC35" s="142"/>
      <c r="AD35" s="143"/>
      <c r="AE35" s="144"/>
    </row>
    <row r="36" spans="1:31">
      <c r="A36" s="140"/>
      <c r="B36" s="140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2"/>
      <c r="U36" s="143"/>
      <c r="V36" s="144"/>
      <c r="W36" s="142"/>
      <c r="X36" s="143"/>
      <c r="Y36" s="144"/>
      <c r="Z36" s="142"/>
      <c r="AA36" s="143"/>
      <c r="AB36" s="144"/>
      <c r="AC36" s="142"/>
      <c r="AD36" s="143"/>
      <c r="AE36" s="144"/>
    </row>
    <row r="37" spans="1:31">
      <c r="A37" s="140"/>
      <c r="B37" s="140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2"/>
      <c r="U37" s="143"/>
      <c r="V37" s="144"/>
      <c r="W37" s="142"/>
      <c r="X37" s="143"/>
      <c r="Y37" s="144"/>
      <c r="Z37" s="142"/>
      <c r="AA37" s="143"/>
      <c r="AB37" s="144"/>
      <c r="AC37" s="142"/>
      <c r="AD37" s="143"/>
      <c r="AE37" s="144"/>
    </row>
    <row r="38" spans="1:31">
      <c r="A38" s="140"/>
      <c r="B38" s="140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2"/>
      <c r="U38" s="143"/>
      <c r="V38" s="144"/>
      <c r="W38" s="142"/>
      <c r="X38" s="143"/>
      <c r="Y38" s="144"/>
      <c r="Z38" s="142"/>
      <c r="AA38" s="143"/>
      <c r="AB38" s="144"/>
      <c r="AC38" s="142"/>
      <c r="AD38" s="143"/>
      <c r="AE38" s="144"/>
    </row>
    <row r="39" spans="1:31">
      <c r="A39" s="140"/>
      <c r="B39" s="140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2"/>
      <c r="U39" s="143"/>
      <c r="V39" s="144"/>
      <c r="W39" s="142"/>
      <c r="X39" s="143"/>
      <c r="Y39" s="144"/>
      <c r="Z39" s="142"/>
      <c r="AA39" s="143"/>
      <c r="AB39" s="144"/>
      <c r="AC39" s="142"/>
      <c r="AD39" s="143"/>
      <c r="AE39" s="144"/>
    </row>
    <row r="40" spans="1:31">
      <c r="A40" s="140"/>
      <c r="B40" s="140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2"/>
      <c r="U40" s="143"/>
      <c r="V40" s="144"/>
      <c r="W40" s="142"/>
      <c r="X40" s="143"/>
      <c r="Y40" s="144"/>
      <c r="Z40" s="142"/>
      <c r="AA40" s="143"/>
      <c r="AB40" s="144"/>
      <c r="AC40" s="142"/>
      <c r="AD40" s="143"/>
      <c r="AE40" s="144"/>
    </row>
    <row r="41" spans="1:31">
      <c r="A41" s="140"/>
      <c r="B41" s="140"/>
      <c r="C41" s="141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2"/>
      <c r="U41" s="143"/>
      <c r="V41" s="144"/>
      <c r="W41" s="142"/>
      <c r="X41" s="143"/>
      <c r="Y41" s="144"/>
      <c r="Z41" s="142"/>
      <c r="AA41" s="143"/>
      <c r="AB41" s="144"/>
      <c r="AC41" s="142"/>
      <c r="AD41" s="143"/>
      <c r="AE41" s="144"/>
    </row>
    <row r="42" spans="1:31">
      <c r="A42" s="140"/>
      <c r="B42" s="140"/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2"/>
      <c r="U42" s="143"/>
      <c r="V42" s="144"/>
      <c r="W42" s="142"/>
      <c r="X42" s="143"/>
      <c r="Y42" s="144"/>
      <c r="Z42" s="142"/>
      <c r="AA42" s="143"/>
      <c r="AB42" s="144"/>
      <c r="AC42" s="142"/>
      <c r="AD42" s="143"/>
      <c r="AE42" s="144"/>
    </row>
    <row r="43" spans="1:31">
      <c r="A43" s="140"/>
      <c r="B43" s="140"/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2"/>
      <c r="U43" s="143"/>
      <c r="V43" s="144"/>
      <c r="W43" s="142"/>
      <c r="X43" s="143"/>
      <c r="Y43" s="144"/>
      <c r="Z43" s="142"/>
      <c r="AA43" s="143"/>
      <c r="AB43" s="144"/>
      <c r="AC43" s="142"/>
      <c r="AD43" s="143"/>
      <c r="AE43" s="144"/>
    </row>
    <row r="44" spans="1:31">
      <c r="A44" s="140"/>
      <c r="B44" s="140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2"/>
      <c r="U44" s="143"/>
      <c r="V44" s="144"/>
      <c r="W44" s="142"/>
      <c r="X44" s="143"/>
      <c r="Y44" s="144"/>
      <c r="Z44" s="142"/>
      <c r="AA44" s="143"/>
      <c r="AB44" s="144"/>
      <c r="AC44" s="142"/>
      <c r="AD44" s="143"/>
      <c r="AE44" s="144"/>
    </row>
    <row r="45" spans="1:31">
      <c r="A45" s="140"/>
      <c r="B45" s="140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2"/>
      <c r="U45" s="143"/>
      <c r="V45" s="144"/>
      <c r="W45" s="142"/>
      <c r="X45" s="143"/>
      <c r="Y45" s="144"/>
      <c r="Z45" s="142"/>
      <c r="AA45" s="143"/>
      <c r="AB45" s="144"/>
      <c r="AC45" s="142"/>
      <c r="AD45" s="143"/>
      <c r="AE45" s="144"/>
    </row>
    <row r="46" spans="1:31">
      <c r="A46" s="140"/>
      <c r="B46" s="140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2"/>
      <c r="U46" s="143"/>
      <c r="V46" s="144"/>
      <c r="W46" s="142"/>
      <c r="X46" s="143"/>
      <c r="Y46" s="144"/>
      <c r="Z46" s="142"/>
      <c r="AA46" s="143"/>
      <c r="AB46" s="144"/>
      <c r="AC46" s="142"/>
      <c r="AD46" s="143"/>
      <c r="AE46" s="144"/>
    </row>
    <row r="47" spans="1:31">
      <c r="A47" s="140"/>
      <c r="B47" s="140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2"/>
      <c r="U47" s="143"/>
      <c r="V47" s="144"/>
      <c r="W47" s="142"/>
      <c r="X47" s="143"/>
      <c r="Y47" s="144"/>
      <c r="Z47" s="142"/>
      <c r="AA47" s="143"/>
      <c r="AB47" s="144"/>
      <c r="AC47" s="142"/>
      <c r="AD47" s="143"/>
      <c r="AE47" s="144"/>
    </row>
    <row r="48" spans="1:31">
      <c r="A48" s="140"/>
      <c r="B48" s="140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2"/>
      <c r="U48" s="143"/>
      <c r="V48" s="144"/>
      <c r="W48" s="142"/>
      <c r="X48" s="143"/>
      <c r="Y48" s="144"/>
      <c r="Z48" s="142"/>
      <c r="AA48" s="143"/>
      <c r="AB48" s="144"/>
      <c r="AC48" s="142"/>
      <c r="AD48" s="143"/>
      <c r="AE48" s="144"/>
    </row>
    <row r="49" spans="1:31">
      <c r="A49" s="140"/>
      <c r="B49" s="140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2"/>
      <c r="U49" s="143"/>
      <c r="V49" s="144"/>
      <c r="W49" s="142"/>
      <c r="X49" s="143"/>
      <c r="Y49" s="144"/>
      <c r="Z49" s="142"/>
      <c r="AA49" s="143"/>
      <c r="AB49" s="144"/>
      <c r="AC49" s="142"/>
      <c r="AD49" s="143"/>
      <c r="AE49" s="144"/>
    </row>
    <row r="50" spans="1:31">
      <c r="A50" s="140"/>
      <c r="B50" s="140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2"/>
      <c r="U50" s="143"/>
      <c r="V50" s="144"/>
      <c r="W50" s="142"/>
      <c r="X50" s="143"/>
      <c r="Y50" s="144"/>
      <c r="Z50" s="142"/>
      <c r="AA50" s="143"/>
      <c r="AB50" s="144"/>
      <c r="AC50" s="142"/>
      <c r="AD50" s="143"/>
      <c r="AE50" s="144"/>
    </row>
    <row r="51" spans="1:31">
      <c r="A51" s="140"/>
      <c r="B51" s="140"/>
      <c r="C51" s="141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2"/>
      <c r="U51" s="143"/>
      <c r="V51" s="144"/>
      <c r="W51" s="142"/>
      <c r="X51" s="143"/>
      <c r="Y51" s="144"/>
      <c r="Z51" s="142"/>
      <c r="AA51" s="143"/>
      <c r="AB51" s="144"/>
      <c r="AC51" s="142"/>
      <c r="AD51" s="143"/>
      <c r="AE51" s="144"/>
    </row>
    <row r="52" spans="1:31">
      <c r="A52" s="140"/>
      <c r="B52" s="140"/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2"/>
      <c r="U52" s="143"/>
      <c r="V52" s="144"/>
      <c r="W52" s="142"/>
      <c r="X52" s="143"/>
      <c r="Y52" s="144"/>
      <c r="Z52" s="142"/>
      <c r="AA52" s="143"/>
      <c r="AB52" s="144"/>
      <c r="AC52" s="142"/>
      <c r="AD52" s="143"/>
      <c r="AE52" s="144"/>
    </row>
    <row r="53" spans="1:31">
      <c r="A53" s="140"/>
      <c r="B53" s="140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2"/>
      <c r="U53" s="143"/>
      <c r="V53" s="144"/>
      <c r="W53" s="142"/>
      <c r="X53" s="143"/>
      <c r="Y53" s="144"/>
      <c r="Z53" s="142"/>
      <c r="AA53" s="143"/>
      <c r="AB53" s="144"/>
      <c r="AC53" s="142"/>
      <c r="AD53" s="143"/>
      <c r="AE53" s="144"/>
    </row>
    <row r="54" spans="1:31">
      <c r="A54" s="140"/>
      <c r="B54" s="140"/>
      <c r="C54" s="141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2"/>
      <c r="U54" s="143"/>
      <c r="V54" s="144"/>
      <c r="W54" s="142"/>
      <c r="X54" s="143"/>
      <c r="Y54" s="144"/>
      <c r="Z54" s="142"/>
      <c r="AA54" s="143"/>
      <c r="AB54" s="144"/>
      <c r="AC54" s="142"/>
      <c r="AD54" s="143"/>
      <c r="AE54" s="144"/>
    </row>
    <row r="55" spans="1:31">
      <c r="A55" s="140"/>
      <c r="B55" s="140"/>
      <c r="C55" s="141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2"/>
      <c r="U55" s="143"/>
      <c r="V55" s="144"/>
      <c r="W55" s="142"/>
      <c r="X55" s="143"/>
      <c r="Y55" s="144"/>
      <c r="Z55" s="142"/>
      <c r="AA55" s="143"/>
      <c r="AB55" s="144"/>
      <c r="AC55" s="142"/>
      <c r="AD55" s="143"/>
      <c r="AE55" s="144"/>
    </row>
    <row r="56" spans="1:31">
      <c r="A56" s="140"/>
      <c r="B56" s="140"/>
      <c r="C56" s="141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2"/>
      <c r="U56" s="143"/>
      <c r="V56" s="144"/>
      <c r="W56" s="142"/>
      <c r="X56" s="143"/>
      <c r="Y56" s="144"/>
      <c r="Z56" s="142"/>
      <c r="AA56" s="143"/>
      <c r="AB56" s="144"/>
      <c r="AC56" s="142"/>
      <c r="AD56" s="143"/>
      <c r="AE56" s="144"/>
    </row>
    <row r="57" spans="1:31">
      <c r="A57" s="140"/>
      <c r="B57" s="140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2"/>
      <c r="U57" s="143"/>
      <c r="V57" s="144"/>
      <c r="W57" s="142"/>
      <c r="X57" s="143"/>
      <c r="Y57" s="144"/>
      <c r="Z57" s="142"/>
      <c r="AA57" s="143"/>
      <c r="AB57" s="144"/>
      <c r="AC57" s="142"/>
      <c r="AD57" s="143"/>
      <c r="AE57" s="144"/>
    </row>
    <row r="58" spans="1:31">
      <c r="A58" s="140"/>
      <c r="B58" s="140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2"/>
      <c r="U58" s="143"/>
      <c r="V58" s="144"/>
      <c r="W58" s="142"/>
      <c r="X58" s="143"/>
      <c r="Y58" s="144"/>
      <c r="Z58" s="142"/>
      <c r="AA58" s="143"/>
      <c r="AB58" s="144"/>
      <c r="AC58" s="142"/>
      <c r="AD58" s="143"/>
      <c r="AE58" s="144"/>
    </row>
    <row r="59" spans="1:31">
      <c r="A59" s="140"/>
      <c r="B59" s="140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2"/>
      <c r="U59" s="143"/>
      <c r="V59" s="144"/>
      <c r="W59" s="142"/>
      <c r="X59" s="143"/>
      <c r="Y59" s="144"/>
      <c r="Z59" s="142"/>
      <c r="AA59" s="143"/>
      <c r="AB59" s="144"/>
      <c r="AC59" s="142"/>
      <c r="AD59" s="143"/>
      <c r="AE59" s="144"/>
    </row>
    <row r="60" spans="1:31">
      <c r="A60" s="140"/>
      <c r="B60" s="140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2"/>
      <c r="U60" s="143"/>
      <c r="V60" s="144"/>
      <c r="W60" s="142"/>
      <c r="X60" s="143"/>
      <c r="Y60" s="144"/>
      <c r="Z60" s="142"/>
      <c r="AA60" s="143"/>
      <c r="AB60" s="144"/>
      <c r="AC60" s="142"/>
      <c r="AD60" s="143"/>
      <c r="AE60" s="144"/>
    </row>
    <row r="61" spans="1:31">
      <c r="A61" s="140"/>
      <c r="B61" s="140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2"/>
      <c r="U61" s="143"/>
      <c r="V61" s="144"/>
      <c r="W61" s="142"/>
      <c r="X61" s="143"/>
      <c r="Y61" s="144"/>
      <c r="Z61" s="142"/>
      <c r="AA61" s="143"/>
      <c r="AB61" s="144"/>
      <c r="AC61" s="142"/>
      <c r="AD61" s="143"/>
      <c r="AE61" s="144"/>
    </row>
    <row r="62" spans="1:31">
      <c r="A62" s="140"/>
      <c r="B62" s="140"/>
      <c r="C62" s="141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2"/>
      <c r="U62" s="143"/>
      <c r="V62" s="144"/>
      <c r="W62" s="142"/>
      <c r="X62" s="143"/>
      <c r="Y62" s="144"/>
      <c r="Z62" s="142"/>
      <c r="AA62" s="143"/>
      <c r="AB62" s="144"/>
      <c r="AC62" s="142"/>
      <c r="AD62" s="143"/>
      <c r="AE62" s="144"/>
    </row>
  </sheetData>
  <autoFilter ref="A3:AB16" xr:uid="{C3F7F350-9344-4C73-92AF-18B4EF019901}"/>
  <mergeCells count="1">
    <mergeCell ref="A1:AE1"/>
  </mergeCells>
  <phoneticPr fontId="20" type="noConversion"/>
  <conditionalFormatting sqref="A15">
    <cfRule type="duplicateValues" dxfId="5" priority="7"/>
  </conditionalFormatting>
  <conditionalFormatting sqref="B15:H15">
    <cfRule type="duplicateValues" dxfId="4" priority="446"/>
  </conditionalFormatting>
  <conditionalFormatting sqref="A6">
    <cfRule type="duplicateValues" dxfId="3" priority="4"/>
  </conditionalFormatting>
  <conditionalFormatting sqref="A6">
    <cfRule type="duplicateValues" dxfId="2" priority="3"/>
  </conditionalFormatting>
  <conditionalFormatting sqref="A7:A9">
    <cfRule type="duplicateValues" dxfId="1" priority="2"/>
  </conditionalFormatting>
  <conditionalFormatting sqref="A7:A9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6" r:id="rId4" name="Button 4">
              <controlPr defaultSize="0" print="0" autoFill="0" autoPict="0" macro="[0]!Sheet12.GenerateSiteMessage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30</xdr:col>
                    <xdr:colOff>708660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AB1F1-E5D4-4724-887E-0D6C92414A68}">
  <dimension ref="A4:N63"/>
  <sheetViews>
    <sheetView workbookViewId="0">
      <pane ySplit="4" topLeftCell="A5" activePane="bottomLeft" state="frozen"/>
      <selection pane="bottomLeft" activeCell="F14" sqref="F14"/>
    </sheetView>
  </sheetViews>
  <sheetFormatPr defaultRowHeight="14.4"/>
  <cols>
    <col min="1" max="2" width="38.88671875" style="295" customWidth="1"/>
    <col min="3" max="4" width="15.77734375" style="295" customWidth="1"/>
    <col min="5" max="5" width="17.5546875" style="295" customWidth="1"/>
    <col min="6" max="6" width="21.33203125" style="295" customWidth="1"/>
    <col min="7" max="7" width="17.5546875" style="295" customWidth="1"/>
    <col min="8" max="9" width="14.77734375" style="295" customWidth="1"/>
    <col min="10" max="10" width="23.109375" style="295" customWidth="1"/>
    <col min="11" max="11" width="20.33203125" style="295" customWidth="1"/>
    <col min="12" max="12" width="13.88671875" style="295" customWidth="1"/>
    <col min="13" max="13" width="33.33203125" style="295" customWidth="1"/>
    <col min="14" max="14" width="18.5546875" style="295" customWidth="1"/>
    <col min="15" max="16384" width="8.88671875" style="295"/>
  </cols>
  <sheetData>
    <row r="4" spans="1:14" ht="37.950000000000003" customHeight="1">
      <c r="A4" s="292" t="s">
        <v>0</v>
      </c>
      <c r="B4" s="293" t="s">
        <v>18</v>
      </c>
      <c r="C4" s="292" t="s">
        <v>74</v>
      </c>
      <c r="D4" s="292" t="s">
        <v>100</v>
      </c>
      <c r="E4" s="293" t="s">
        <v>567</v>
      </c>
      <c r="F4" s="292" t="s">
        <v>515</v>
      </c>
      <c r="G4" s="292" t="s">
        <v>516</v>
      </c>
      <c r="H4" s="292" t="s">
        <v>568</v>
      </c>
      <c r="I4" s="292" t="s">
        <v>569</v>
      </c>
      <c r="J4" s="294" t="s">
        <v>78</v>
      </c>
      <c r="K4" s="292" t="s">
        <v>106</v>
      </c>
      <c r="L4" s="292" t="s">
        <v>403</v>
      </c>
      <c r="M4" s="292" t="s">
        <v>517</v>
      </c>
      <c r="N4" s="292" t="s">
        <v>570</v>
      </c>
    </row>
    <row r="5" spans="1:14">
      <c r="A5" s="296" t="s">
        <v>169</v>
      </c>
      <c r="B5" s="297" t="s">
        <v>177</v>
      </c>
      <c r="C5" s="298" t="s">
        <v>61</v>
      </c>
      <c r="D5" s="298" t="s">
        <v>61</v>
      </c>
      <c r="E5" s="299" t="str">
        <f>IF(COUNTIF([1]Sheet3!E$5:E$31,"&gt;0")=0,"No materials","Received")</f>
        <v>Received</v>
      </c>
      <c r="F5" s="300" t="str">
        <f>IF($C5="Ericsson","n/a - Ericsson",IF(ISNUMBER([1]Sheet1!F56),IF([1]Sheet1!F56&gt;0,"Full BBU","Pending"),IF(TRIM([1]Sheet1!F56)="","Pending",[1]Sheet1!F56)))</f>
        <v>Full BBU</v>
      </c>
      <c r="G5" s="301" t="str">
        <f>IF($C5&lt;&gt;"Ericsson","n/a - Huawei",IF(N([1]Sheet1!F57)&gt;0,"Received","Pending"))</f>
        <v>n/a - Huawei</v>
      </c>
      <c r="H5" s="300" t="str">
        <f>IF($C5="Ericsson","n/a - Ericsson",IF(N([1]Sheet1!F58)&gt;0,"Received","Pending"))</f>
        <v>Received</v>
      </c>
      <c r="I5" s="300" t="str">
        <f>IF($C5="Ericsson","n/a - Ericsson",IF(N([1]Sheet1!F59)&gt;0,"Received","Pending"))</f>
        <v>Received</v>
      </c>
      <c r="J5" s="302" t="s">
        <v>309</v>
      </c>
      <c r="K5" s="300" t="s">
        <v>107</v>
      </c>
      <c r="L5" s="303" t="s">
        <v>94</v>
      </c>
      <c r="M5" s="304" t="s">
        <v>459</v>
      </c>
      <c r="N5" s="300" t="s">
        <v>571</v>
      </c>
    </row>
    <row r="6" spans="1:14">
      <c r="A6" s="296" t="s">
        <v>204</v>
      </c>
      <c r="B6" s="297" t="s">
        <v>205</v>
      </c>
      <c r="C6" s="298" t="s">
        <v>61</v>
      </c>
      <c r="D6" s="305" t="s">
        <v>10</v>
      </c>
      <c r="E6" s="299" t="str">
        <f>IF(COUNTIF([1]Sheet3!F$5:F$31,"&gt;0")=0,"No materials","Received")</f>
        <v>Received</v>
      </c>
      <c r="F6" s="306" t="str">
        <f>IF($C6="Ericsson","n/a - Ericsson",IF(ISNUMBER([1]Sheet1!G56),IF([1]Sheet1!G56&gt;0,"Full BBU","Pending"),IF(TRIM([1]Sheet1!G56)="","Pending",[1]Sheet1!G56)))</f>
        <v>UPEU/UEIU/FAN only</v>
      </c>
      <c r="G6" s="301" t="str">
        <f>IF($C6&lt;&gt;"Ericsson","n/a - Huawei",IF(N([1]Sheet1!G57)&gt;0,"Received","Pending"))</f>
        <v>n/a - Huawei</v>
      </c>
      <c r="H6" s="300" t="str">
        <f>IF($C6="Ericsson","n/a - Ericsson",IF(N([1]Sheet1!G58)&gt;0,"Received","Pending"))</f>
        <v>Received</v>
      </c>
      <c r="I6" s="300" t="str">
        <f>IF($C6="Ericsson","n/a - Ericsson",IF(N([1]Sheet1!G59)&gt;0,"Received","Pending"))</f>
        <v>Received</v>
      </c>
      <c r="J6" s="302" t="s">
        <v>572</v>
      </c>
      <c r="K6" s="307" t="s">
        <v>189</v>
      </c>
      <c r="L6" s="308" t="s">
        <v>77</v>
      </c>
      <c r="M6" s="304"/>
      <c r="N6" s="309" t="s">
        <v>573</v>
      </c>
    </row>
    <row r="7" spans="1:14">
      <c r="A7" s="296" t="s">
        <v>156</v>
      </c>
      <c r="B7" s="297" t="s">
        <v>157</v>
      </c>
      <c r="C7" s="298" t="s">
        <v>61</v>
      </c>
      <c r="D7" s="298" t="s">
        <v>61</v>
      </c>
      <c r="E7" s="299" t="str">
        <f>IF(COUNTIF([1]Sheet3!G$5:G$31,"&gt;0")=0,"No materials","Received")</f>
        <v>Received</v>
      </c>
      <c r="F7" s="300" t="str">
        <f>IF($C7="Ericsson","n/a - Ericsson",IF(ISNUMBER([1]Sheet1!H56),IF([1]Sheet1!H56&gt;0,"Full BBU","Pending"),IF(TRIM([1]Sheet1!H56)="","Pending",[1]Sheet1!H56)))</f>
        <v>Full BBU</v>
      </c>
      <c r="G7" s="301" t="str">
        <f>IF($C7&lt;&gt;"Ericsson","n/a - Huawei",IF(N([1]Sheet1!H57)&gt;0,"Received","Pending"))</f>
        <v>n/a - Huawei</v>
      </c>
      <c r="H7" s="300" t="str">
        <f>IF($C7="Ericsson","n/a - Ericsson",IF(N([1]Sheet1!H58)&gt;0,"Received","Pending"))</f>
        <v>Received</v>
      </c>
      <c r="I7" s="300" t="str">
        <f>IF($C7="Ericsson","n/a - Ericsson",IF(N([1]Sheet1!H59)&gt;0,"Received","Pending"))</f>
        <v>Received</v>
      </c>
      <c r="J7" s="302" t="s">
        <v>186</v>
      </c>
      <c r="K7" s="300" t="s">
        <v>107</v>
      </c>
      <c r="L7" s="303" t="s">
        <v>94</v>
      </c>
      <c r="M7" s="304" t="s">
        <v>158</v>
      </c>
      <c r="N7" s="300" t="s">
        <v>571</v>
      </c>
    </row>
    <row r="8" spans="1:14">
      <c r="A8" s="296" t="s">
        <v>152</v>
      </c>
      <c r="B8" s="297" t="s">
        <v>153</v>
      </c>
      <c r="C8" s="298" t="s">
        <v>61</v>
      </c>
      <c r="D8" s="298" t="s">
        <v>61</v>
      </c>
      <c r="E8" s="299" t="str">
        <f>IF(COUNTIF([1]Sheet3!H$5:H$31,"&gt;0")=0,"No materials","Received")</f>
        <v>Received</v>
      </c>
      <c r="F8" s="300" t="str">
        <f>IF($C8="Ericsson","n/a - Ericsson",IF(ISNUMBER([1]Sheet1!I56),IF([1]Sheet1!I56&gt;0,"Full BBU","Pending"),IF(TRIM([1]Sheet1!I56)="","Pending",[1]Sheet1!I56)))</f>
        <v>Full BBU</v>
      </c>
      <c r="G8" s="301" t="str">
        <f>IF($C8&lt;&gt;"Ericsson","n/a - Huawei",IF(N([1]Sheet1!I57)&gt;0,"Received","Pending"))</f>
        <v>n/a - Huawei</v>
      </c>
      <c r="H8" s="300" t="str">
        <f>IF($C8="Ericsson","n/a - Ericsson",IF(N([1]Sheet1!I58)&gt;0,"Received","Pending"))</f>
        <v>Received</v>
      </c>
      <c r="I8" s="300" t="str">
        <f>IF($C8="Ericsson","n/a - Ericsson",IF(N([1]Sheet1!I59)&gt;0,"Received","Pending"))</f>
        <v>Received</v>
      </c>
      <c r="J8" s="302" t="s">
        <v>184</v>
      </c>
      <c r="K8" s="300" t="s">
        <v>107</v>
      </c>
      <c r="L8" s="303" t="s">
        <v>94</v>
      </c>
      <c r="M8" s="304" t="s">
        <v>307</v>
      </c>
      <c r="N8" s="300" t="s">
        <v>571</v>
      </c>
    </row>
    <row r="9" spans="1:14">
      <c r="A9" s="296" t="s">
        <v>154</v>
      </c>
      <c r="B9" s="297" t="s">
        <v>155</v>
      </c>
      <c r="C9" s="298" t="s">
        <v>61</v>
      </c>
      <c r="D9" s="298" t="s">
        <v>61</v>
      </c>
      <c r="E9" s="299" t="str">
        <f>IF(COUNTIF([1]Sheet3!I$5:I$31,"&gt;0")=0,"No materials","Received")</f>
        <v>Received</v>
      </c>
      <c r="F9" s="300" t="str">
        <f>IF($C9="Ericsson","n/a - Ericsson",IF(ISNUMBER([1]Sheet1!J56),IF([1]Sheet1!J56&gt;0,"Full BBU","Pending"),IF(TRIM([1]Sheet1!J56)="","Pending",[1]Sheet1!J56)))</f>
        <v>Full BBU</v>
      </c>
      <c r="G9" s="301" t="str">
        <f>IF($C9&lt;&gt;"Ericsson","n/a - Huawei",IF(N([1]Sheet1!J57)&gt;0,"Received","Pending"))</f>
        <v>n/a - Huawei</v>
      </c>
      <c r="H9" s="300" t="str">
        <f>IF($C9="Ericsson","n/a - Ericsson",IF(N([1]Sheet1!J58)&gt;0,"Received","Pending"))</f>
        <v>Received</v>
      </c>
      <c r="I9" s="300" t="str">
        <f>IF($C9="Ericsson","n/a - Ericsson",IF(N([1]Sheet1!J59)&gt;0,"Received","Pending"))</f>
        <v>Received</v>
      </c>
      <c r="J9" s="302" t="s">
        <v>185</v>
      </c>
      <c r="K9" s="300" t="s">
        <v>107</v>
      </c>
      <c r="L9" s="303" t="s">
        <v>94</v>
      </c>
      <c r="M9" s="304" t="s">
        <v>307</v>
      </c>
      <c r="N9" s="300" t="s">
        <v>571</v>
      </c>
    </row>
    <row r="10" spans="1:14">
      <c r="A10" s="296" t="s">
        <v>171</v>
      </c>
      <c r="B10" s="297" t="s">
        <v>179</v>
      </c>
      <c r="C10" s="298" t="s">
        <v>61</v>
      </c>
      <c r="D10" s="298" t="s">
        <v>61</v>
      </c>
      <c r="E10" s="299" t="str">
        <f>IF(COUNTIF([1]Sheet3!J$5:J$31,"&gt;0")=0,"No materials","Received")</f>
        <v>Received</v>
      </c>
      <c r="F10" s="300" t="str">
        <f>IF($C10="Ericsson","n/a - Ericsson",IF(ISNUMBER([1]Sheet1!K56),IF([1]Sheet1!K56&gt;0,"Full BBU","Pending"),IF(TRIM([1]Sheet1!K56)="","Pending",[1]Sheet1!K56)))</f>
        <v>Full BBU</v>
      </c>
      <c r="G10" s="301" t="str">
        <f>IF($C10&lt;&gt;"Ericsson","n/a - Huawei",IF(N([1]Sheet1!K57)&gt;0,"Received","Pending"))</f>
        <v>n/a - Huawei</v>
      </c>
      <c r="H10" s="300" t="str">
        <f>IF($C10="Ericsson","n/a - Ericsson",IF(N([1]Sheet1!K58)&gt;0,"Received","Pending"))</f>
        <v>Received</v>
      </c>
      <c r="I10" s="300" t="str">
        <f>IF($C10="Ericsson","n/a - Ericsson",IF(N([1]Sheet1!K59)&gt;0,"Received","Pending"))</f>
        <v>Received</v>
      </c>
      <c r="J10" s="302" t="s">
        <v>187</v>
      </c>
      <c r="K10" s="300" t="s">
        <v>107</v>
      </c>
      <c r="L10" s="303" t="s">
        <v>94</v>
      </c>
      <c r="M10" s="304" t="s">
        <v>264</v>
      </c>
      <c r="N10" s="300" t="s">
        <v>571</v>
      </c>
    </row>
    <row r="11" spans="1:14">
      <c r="A11" s="296" t="s">
        <v>202</v>
      </c>
      <c r="B11" s="297" t="s">
        <v>203</v>
      </c>
      <c r="C11" s="298" t="s">
        <v>61</v>
      </c>
      <c r="D11" s="298" t="s">
        <v>61</v>
      </c>
      <c r="E11" s="299" t="str">
        <f>IF(COUNTIF([1]Sheet3!K$5:K$31,"&gt;0")=0,"No materials","Received")</f>
        <v>Received</v>
      </c>
      <c r="F11" s="309" t="str">
        <f>IF($C11="Ericsson","n/a - Ericsson",IF(ISNUMBER([1]Sheet1!L56),IF([1]Sheet1!L56&gt;0,"Full BBU","Pending"),IF(TRIM([1]Sheet1!L56)="","Pending",[1]Sheet1!L56)))</f>
        <v>Pending</v>
      </c>
      <c r="G11" s="301" t="str">
        <f>IF($C11&lt;&gt;"Ericsson","n/a - Huawei",IF(N([1]Sheet1!L57)&gt;0,"Received","Pending"))</f>
        <v>n/a - Huawei</v>
      </c>
      <c r="H11" s="300" t="str">
        <f>IF($C11="Ericsson","n/a - Ericsson",IF(N([1]Sheet1!L58)&gt;0,"Received","Pending"))</f>
        <v>Received</v>
      </c>
      <c r="I11" s="300" t="str">
        <f>IF($C11="Ericsson","n/a - Ericsson",IF(N([1]Sheet1!L59)&gt;0,"Received","Pending"))</f>
        <v>Received</v>
      </c>
      <c r="J11" s="302" t="s">
        <v>313</v>
      </c>
      <c r="K11" s="307" t="s">
        <v>189</v>
      </c>
      <c r="L11" s="303" t="s">
        <v>94</v>
      </c>
      <c r="M11" s="304" t="s">
        <v>408</v>
      </c>
      <c r="N11" s="300" t="s">
        <v>571</v>
      </c>
    </row>
    <row r="12" spans="1:14">
      <c r="A12" s="296" t="s">
        <v>192</v>
      </c>
      <c r="B12" s="297" t="s">
        <v>193</v>
      </c>
      <c r="C12" s="298" t="s">
        <v>61</v>
      </c>
      <c r="D12" s="298" t="s">
        <v>61</v>
      </c>
      <c r="E12" s="299" t="str">
        <f>IF(COUNTIF([1]Sheet3!L$5:L$31,"&gt;0")=0,"No materials","Received")</f>
        <v>Received</v>
      </c>
      <c r="F12" s="300" t="str">
        <f>IF($C12="Ericsson","n/a - Ericsson",IF(ISNUMBER([1]Sheet1!M56),IF([1]Sheet1!M56&gt;0,"Full BBU","Pending"),IF(TRIM([1]Sheet1!M56)="","Pending",[1]Sheet1!M56)))</f>
        <v>Full BBU</v>
      </c>
      <c r="G12" s="301" t="str">
        <f>IF($C12&lt;&gt;"Ericsson","n/a - Huawei",IF(N([1]Sheet1!M57)&gt;0,"Received","Pending"))</f>
        <v>n/a - Huawei</v>
      </c>
      <c r="H12" s="300" t="str">
        <f>IF($C12="Ericsson","n/a - Ericsson",IF(N([1]Sheet1!M58)&gt;0,"Received","Pending"))</f>
        <v>Received</v>
      </c>
      <c r="I12" s="300" t="str">
        <f>IF($C12="Ericsson","n/a - Ericsson",IF(N([1]Sheet1!M59)&gt;0,"Received","Pending"))</f>
        <v>Received</v>
      </c>
      <c r="J12" s="302" t="s">
        <v>400</v>
      </c>
      <c r="K12" s="300" t="s">
        <v>107</v>
      </c>
      <c r="L12" s="303" t="s">
        <v>94</v>
      </c>
      <c r="M12" s="304" t="s">
        <v>459</v>
      </c>
      <c r="N12" s="300" t="s">
        <v>571</v>
      </c>
    </row>
    <row r="13" spans="1:14">
      <c r="A13" s="296" t="s">
        <v>200</v>
      </c>
      <c r="B13" s="297" t="s">
        <v>201</v>
      </c>
      <c r="C13" s="298" t="s">
        <v>61</v>
      </c>
      <c r="D13" s="298" t="s">
        <v>61</v>
      </c>
      <c r="E13" s="299" t="str">
        <f>IF(COUNTIF([1]Sheet3!M$5:M$31,"&gt;0")=0,"No materials","Received")</f>
        <v>Received</v>
      </c>
      <c r="F13" s="309" t="str">
        <f>IF($C13="Ericsson","n/a - Ericsson",IF(ISNUMBER([1]Sheet1!N56),IF([1]Sheet1!N56&gt;0,"Full BBU","Pending"),IF(TRIM([1]Sheet1!N56)="","Pending",[1]Sheet1!N56)))</f>
        <v>Pending</v>
      </c>
      <c r="G13" s="301" t="str">
        <f>IF($C13&lt;&gt;"Ericsson","n/a - Huawei",IF(N([1]Sheet1!N57)&gt;0,"Received","Pending"))</f>
        <v>n/a - Huawei</v>
      </c>
      <c r="H13" s="300" t="str">
        <f>IF($C13="Ericsson","n/a - Ericsson",IF(N([1]Sheet1!N58)&gt;0,"Received","Pending"))</f>
        <v>Received</v>
      </c>
      <c r="I13" s="300" t="str">
        <f>IF($C13="Ericsson","n/a - Ericsson",IF(N([1]Sheet1!N59)&gt;0,"Received","Pending"))</f>
        <v>Received</v>
      </c>
      <c r="J13" s="302" t="s">
        <v>496</v>
      </c>
      <c r="K13" s="307" t="s">
        <v>189</v>
      </c>
      <c r="L13" s="303" t="s">
        <v>94</v>
      </c>
      <c r="M13" s="304" t="s">
        <v>493</v>
      </c>
      <c r="N13" s="300" t="s">
        <v>571</v>
      </c>
    </row>
    <row r="14" spans="1:14">
      <c r="A14" s="296" t="s">
        <v>194</v>
      </c>
      <c r="B14" s="297" t="s">
        <v>195</v>
      </c>
      <c r="C14" s="298" t="s">
        <v>61</v>
      </c>
      <c r="D14" s="305" t="s">
        <v>10</v>
      </c>
      <c r="E14" s="299" t="str">
        <f>IF(COUNTIF([1]Sheet3!N$5:N$31,"&gt;0")=0,"No materials","Received")</f>
        <v>Received</v>
      </c>
      <c r="F14" s="300" t="str">
        <f>IF($C14="Ericsson","n/a - Ericsson",IF(ISNUMBER([1]Sheet1!O56),IF([1]Sheet1!O56&gt;0,"Full BBU","Pending"),IF(TRIM([1]Sheet1!O56)="","Pending",[1]Sheet1!O56)))</f>
        <v>Full BBU</v>
      </c>
      <c r="G14" s="301" t="str">
        <f>IF($C14&lt;&gt;"Ericsson","n/a - Huawei",IF(N([1]Sheet1!O57)&gt;0,"Received","Pending"))</f>
        <v>n/a - Huawei</v>
      </c>
      <c r="H14" s="300" t="str">
        <f>IF($C14="Ericsson","n/a - Ericsson",IF(N([1]Sheet1!O58)&gt;0,"Received","Pending"))</f>
        <v>Received</v>
      </c>
      <c r="I14" s="300" t="str">
        <f>IF($C14="Ericsson","n/a - Ericsson",IF(N([1]Sheet1!O59)&gt;0,"Received","Pending"))</f>
        <v>Received</v>
      </c>
      <c r="J14" s="302" t="s">
        <v>220</v>
      </c>
      <c r="K14" s="300" t="s">
        <v>107</v>
      </c>
      <c r="L14" s="303" t="s">
        <v>94</v>
      </c>
      <c r="M14" s="304" t="s">
        <v>328</v>
      </c>
      <c r="N14" s="300" t="s">
        <v>571</v>
      </c>
    </row>
    <row r="15" spans="1:14">
      <c r="A15" s="296" t="s">
        <v>159</v>
      </c>
      <c r="B15" s="297" t="s">
        <v>160</v>
      </c>
      <c r="C15" s="298" t="s">
        <v>61</v>
      </c>
      <c r="D15" s="305" t="s">
        <v>10</v>
      </c>
      <c r="E15" s="299" t="str">
        <f>IF(COUNTIF([1]Sheet3!O$5:O$31,"&gt;0")=0,"No materials","Received")</f>
        <v>Received</v>
      </c>
      <c r="F15" s="300" t="str">
        <f>IF($C15="Ericsson","n/a - Ericsson",IF(ISNUMBER([1]Sheet1!P56),IF([1]Sheet1!P56&gt;0,"Full BBU","Pending"),IF(TRIM([1]Sheet1!P56)="","Pending",[1]Sheet1!P56)))</f>
        <v>Full BBU</v>
      </c>
      <c r="G15" s="301" t="str">
        <f>IF($C15&lt;&gt;"Ericsson","n/a - Huawei",IF(N([1]Sheet1!P57)&gt;0,"Received","Pending"))</f>
        <v>n/a - Huawei</v>
      </c>
      <c r="H15" s="300" t="str">
        <f>IF($C15="Ericsson","n/a - Ericsson",IF(N([1]Sheet1!P58)&gt;0,"Received","Pending"))</f>
        <v>Received</v>
      </c>
      <c r="I15" s="300" t="str">
        <f>IF($C15="Ericsson","n/a - Ericsson",IF(N([1]Sheet1!P59)&gt;0,"Received","Pending"))</f>
        <v>Received</v>
      </c>
      <c r="J15" s="302" t="s">
        <v>188</v>
      </c>
      <c r="K15" s="300" t="s">
        <v>107</v>
      </c>
      <c r="L15" s="303" t="s">
        <v>94</v>
      </c>
      <c r="M15" s="304" t="s">
        <v>274</v>
      </c>
      <c r="N15" s="300" t="s">
        <v>571</v>
      </c>
    </row>
    <row r="16" spans="1:14">
      <c r="A16" s="296" t="s">
        <v>206</v>
      </c>
      <c r="B16" s="297" t="s">
        <v>207</v>
      </c>
      <c r="C16" s="298" t="s">
        <v>61</v>
      </c>
      <c r="D16" s="310" t="s">
        <v>7</v>
      </c>
      <c r="E16" s="299" t="str">
        <f>IF(COUNTIF([1]Sheet3!P$5:P$31,"&gt;0")=0,"No materials","Received")</f>
        <v>Received</v>
      </c>
      <c r="F16" s="309" t="str">
        <f>IF($C16="Ericsson","n/a - Ericsson",IF(ISNUMBER([1]Sheet1!Q56),IF([1]Sheet1!Q56&gt;0,"Full BBU","Pending"),IF(TRIM([1]Sheet1!Q56)="","Pending",[1]Sheet1!Q56)))</f>
        <v>Pending</v>
      </c>
      <c r="G16" s="301" t="str">
        <f>IF($C16&lt;&gt;"Ericsson","n/a - Huawei",IF(N([1]Sheet1!Q57)&gt;0,"Received","Pending"))</f>
        <v>n/a - Huawei</v>
      </c>
      <c r="H16" s="300" t="str">
        <f>IF($C16="Ericsson","n/a - Ericsson",IF(N([1]Sheet1!Q58)&gt;0,"Received","Pending"))</f>
        <v>Received</v>
      </c>
      <c r="I16" s="300" t="str">
        <f>IF($C16="Ericsson","n/a - Ericsson",IF(N([1]Sheet1!Q59)&gt;0,"Received","Pending"))</f>
        <v>Received</v>
      </c>
      <c r="J16" s="302" t="s">
        <v>7</v>
      </c>
      <c r="K16" s="309" t="s">
        <v>105</v>
      </c>
      <c r="L16" s="311" t="s">
        <v>574</v>
      </c>
      <c r="M16" s="304"/>
      <c r="N16" s="310" t="s">
        <v>575</v>
      </c>
    </row>
    <row r="17" spans="1:14">
      <c r="A17" s="296" t="s">
        <v>208</v>
      </c>
      <c r="B17" s="297" t="s">
        <v>209</v>
      </c>
      <c r="C17" s="298" t="s">
        <v>61</v>
      </c>
      <c r="D17" s="310" t="s">
        <v>7</v>
      </c>
      <c r="E17" s="299" t="str">
        <f>IF(COUNTIF([1]Sheet3!Q$5:Q$31,"&gt;0")=0,"No materials","Received")</f>
        <v>Received</v>
      </c>
      <c r="F17" s="309" t="str">
        <f>IF($C17="Ericsson","n/a - Ericsson",IF(ISNUMBER([1]Sheet1!R56),IF([1]Sheet1!R56&gt;0,"Full BBU","Pending"),IF(TRIM([1]Sheet1!R56)="","Pending",[1]Sheet1!R56)))</f>
        <v>Pending</v>
      </c>
      <c r="G17" s="301" t="str">
        <f>IF($C17&lt;&gt;"Ericsson","n/a - Huawei",IF(N([1]Sheet1!R57)&gt;0,"Received","Pending"))</f>
        <v>n/a - Huawei</v>
      </c>
      <c r="H17" s="300" t="str">
        <f>IF($C17="Ericsson","n/a - Ericsson",IF(N([1]Sheet1!R58)&gt;0,"Received","Pending"))</f>
        <v>Received</v>
      </c>
      <c r="I17" s="300" t="str">
        <f>IF($C17="Ericsson","n/a - Ericsson",IF(N([1]Sheet1!R59)&gt;0,"Received","Pending"))</f>
        <v>Received</v>
      </c>
      <c r="J17" s="302" t="s">
        <v>7</v>
      </c>
      <c r="K17" s="309" t="s">
        <v>105</v>
      </c>
      <c r="L17" s="311" t="s">
        <v>574</v>
      </c>
      <c r="M17" s="304"/>
      <c r="N17" s="310" t="s">
        <v>575</v>
      </c>
    </row>
    <row r="18" spans="1:14">
      <c r="A18" s="296" t="s">
        <v>210</v>
      </c>
      <c r="B18" s="297" t="s">
        <v>211</v>
      </c>
      <c r="C18" s="298" t="s">
        <v>61</v>
      </c>
      <c r="D18" s="310" t="s">
        <v>7</v>
      </c>
      <c r="E18" s="299" t="str">
        <f>IF(COUNTIF([1]Sheet3!R$5:R$31,"&gt;0")=0,"No materials","Received")</f>
        <v>Received</v>
      </c>
      <c r="F18" s="309" t="str">
        <f>IF($C18="Ericsson","n/a - Ericsson",IF(ISNUMBER([1]Sheet1!S56),IF([1]Sheet1!S56&gt;0,"Full BBU","Pending"),IF(TRIM([1]Sheet1!S56)="","Pending",[1]Sheet1!S56)))</f>
        <v>Pending</v>
      </c>
      <c r="G18" s="301" t="str">
        <f>IF($C18&lt;&gt;"Ericsson","n/a - Huawei",IF(N([1]Sheet1!S57)&gt;0,"Received","Pending"))</f>
        <v>n/a - Huawei</v>
      </c>
      <c r="H18" s="300" t="str">
        <f>IF($C18="Ericsson","n/a - Ericsson",IF(N([1]Sheet1!S58)&gt;0,"Received","Pending"))</f>
        <v>Received</v>
      </c>
      <c r="I18" s="300" t="str">
        <f>IF($C18="Ericsson","n/a - Ericsson",IF(N([1]Sheet1!S59)&gt;0,"Received","Pending"))</f>
        <v>Received</v>
      </c>
      <c r="J18" s="302" t="s">
        <v>7</v>
      </c>
      <c r="K18" s="307" t="s">
        <v>189</v>
      </c>
      <c r="L18" s="311" t="s">
        <v>574</v>
      </c>
      <c r="M18" s="304"/>
      <c r="N18" s="310" t="s">
        <v>575</v>
      </c>
    </row>
    <row r="19" spans="1:14">
      <c r="A19" s="312" t="s">
        <v>214</v>
      </c>
      <c r="B19" s="313" t="s">
        <v>215</v>
      </c>
      <c r="C19" s="314" t="s">
        <v>87</v>
      </c>
      <c r="D19" s="298" t="s">
        <v>61</v>
      </c>
      <c r="E19" s="315" t="str">
        <f>IF(COUNTIF([1]Sheet3!S$5:S$31,"&gt;0")=0,"No materials","Received")</f>
        <v>No materials</v>
      </c>
      <c r="F19" s="301" t="str">
        <f>IF($C19="Ericsson","n/a - Ericsson",IF(ISNUMBER([1]Sheet1!T56),IF([1]Sheet1!T56&gt;0,"Full BBU","Pending"),IF(TRIM([1]Sheet1!T56)="","Pending",[1]Sheet1!T56)))</f>
        <v>n/a - Ericsson</v>
      </c>
      <c r="G19" s="309" t="str">
        <f>IF($C19&lt;&gt;"Ericsson","n/a - Huawei",IF(N([1]Sheet1!T57)&gt;0,"Received","Pending"))</f>
        <v>Pending</v>
      </c>
      <c r="H19" s="301" t="str">
        <f>IF($C19="Ericsson","n/a - Ericsson",IF(N([1]Sheet1!T58)&gt;0,"Received","Pending"))</f>
        <v>n/a - Ericsson</v>
      </c>
      <c r="I19" s="301" t="str">
        <f>IF($C19="Ericsson","n/a - Ericsson",IF(N([1]Sheet1!T59)&gt;0,"Received","Pending"))</f>
        <v>n/a - Ericsson</v>
      </c>
      <c r="J19" s="302" t="s">
        <v>311</v>
      </c>
      <c r="K19" s="300" t="s">
        <v>107</v>
      </c>
      <c r="L19" s="308" t="s">
        <v>77</v>
      </c>
      <c r="M19" s="304" t="s">
        <v>407</v>
      </c>
      <c r="N19" s="300" t="s">
        <v>571</v>
      </c>
    </row>
    <row r="20" spans="1:14">
      <c r="A20" s="296" t="s">
        <v>198</v>
      </c>
      <c r="B20" s="297" t="s">
        <v>199</v>
      </c>
      <c r="C20" s="298" t="s">
        <v>61</v>
      </c>
      <c r="D20" s="310" t="s">
        <v>7</v>
      </c>
      <c r="E20" s="299" t="str">
        <f>IF(COUNTIF([1]Sheet3!T$5:T$31,"&gt;0")=0,"No materials","Received")</f>
        <v>Received</v>
      </c>
      <c r="F20" s="309" t="str">
        <f>IF($C20="Ericsson","n/a - Ericsson",IF(ISNUMBER([1]Sheet1!U56),IF([1]Sheet1!U56&gt;0,"Full BBU","Pending"),IF(TRIM([1]Sheet1!U56)="","Pending",[1]Sheet1!U56)))</f>
        <v>Pending</v>
      </c>
      <c r="G20" s="301" t="str">
        <f>IF($C20&lt;&gt;"Ericsson","n/a - Huawei",IF(N([1]Sheet1!U57)&gt;0,"Received","Pending"))</f>
        <v>n/a - Huawei</v>
      </c>
      <c r="H20" s="300" t="str">
        <f>IF($C20="Ericsson","n/a - Ericsson",IF(N([1]Sheet1!U58)&gt;0,"Received","Pending"))</f>
        <v>Received</v>
      </c>
      <c r="I20" s="300" t="str">
        <f>IF($C20="Ericsson","n/a - Ericsson",IF(N([1]Sheet1!U59)&gt;0,"Received","Pending"))</f>
        <v>Received</v>
      </c>
      <c r="J20" s="302" t="s">
        <v>7</v>
      </c>
      <c r="K20" s="309" t="s">
        <v>105</v>
      </c>
      <c r="L20" s="311" t="s">
        <v>574</v>
      </c>
      <c r="M20" s="304"/>
      <c r="N20" s="310" t="s">
        <v>575</v>
      </c>
    </row>
    <row r="21" spans="1:14">
      <c r="A21" s="312" t="s">
        <v>190</v>
      </c>
      <c r="B21" s="313" t="s">
        <v>191</v>
      </c>
      <c r="C21" s="314" t="s">
        <v>87</v>
      </c>
      <c r="D21" s="298" t="s">
        <v>61</v>
      </c>
      <c r="E21" s="315" t="str">
        <f>IF(COUNTIF([1]Sheet3!U$5:U$31,"&gt;0")=0,"No materials","Received")</f>
        <v>No materials</v>
      </c>
      <c r="F21" s="301" t="str">
        <f>IF($C21="Ericsson","n/a - Ericsson",IF(ISNUMBER([1]Sheet1!V56),IF([1]Sheet1!V56&gt;0,"Full BBU","Pending"),IF(TRIM([1]Sheet1!V56)="","Pending",[1]Sheet1!V56)))</f>
        <v>n/a - Ericsson</v>
      </c>
      <c r="G21" s="309" t="str">
        <f>IF($C21&lt;&gt;"Ericsson","n/a - Huawei",IF(N([1]Sheet1!V57)&gt;0,"Received","Pending"))</f>
        <v>Pending</v>
      </c>
      <c r="H21" s="301" t="str">
        <f>IF($C21="Ericsson","n/a - Ericsson",IF(N([1]Sheet1!V58)&gt;0,"Received","Pending"))</f>
        <v>n/a - Ericsson</v>
      </c>
      <c r="I21" s="301" t="str">
        <f>IF($C21="Ericsson","n/a - Ericsson",IF(N([1]Sheet1!V59)&gt;0,"Received","Pending"))</f>
        <v>n/a - Ericsson</v>
      </c>
      <c r="J21" s="302" t="s">
        <v>219</v>
      </c>
      <c r="K21" s="307" t="s">
        <v>189</v>
      </c>
      <c r="L21" s="308" t="s">
        <v>77</v>
      </c>
      <c r="M21" s="304" t="s">
        <v>402</v>
      </c>
      <c r="N21" s="300" t="s">
        <v>571</v>
      </c>
    </row>
    <row r="22" spans="1:14">
      <c r="A22" s="312" t="s">
        <v>212</v>
      </c>
      <c r="B22" s="313" t="s">
        <v>296</v>
      </c>
      <c r="C22" s="314" t="s">
        <v>87</v>
      </c>
      <c r="D22" s="298" t="s">
        <v>61</v>
      </c>
      <c r="E22" s="315" t="str">
        <f>IF(COUNTIF([1]Sheet3!V$5:V$31,"&gt;0")=0,"No materials","Received")</f>
        <v>No materials</v>
      </c>
      <c r="F22" s="301" t="str">
        <f>IF($C22="Ericsson","n/a - Ericsson",IF(ISNUMBER([1]Sheet1!W56),IF([1]Sheet1!W56&gt;0,"Full BBU","Pending"),IF(TRIM([1]Sheet1!W56)="","Pending",[1]Sheet1!W56)))</f>
        <v>n/a - Ericsson</v>
      </c>
      <c r="G22" s="309" t="str">
        <f>IF($C22&lt;&gt;"Ericsson","n/a - Huawei",IF(N([1]Sheet1!W57)&gt;0,"Received","Pending"))</f>
        <v>Pending</v>
      </c>
      <c r="H22" s="301" t="str">
        <f>IF($C22="Ericsson","n/a - Ericsson",IF(N([1]Sheet1!W58)&gt;0,"Received","Pending"))</f>
        <v>n/a - Ericsson</v>
      </c>
      <c r="I22" s="301" t="str">
        <f>IF($C22="Ericsson","n/a - Ericsson",IF(N([1]Sheet1!W59)&gt;0,"Received","Pending"))</f>
        <v>n/a - Ericsson</v>
      </c>
      <c r="J22" s="302" t="s">
        <v>310</v>
      </c>
      <c r="K22" s="307" t="s">
        <v>189</v>
      </c>
      <c r="L22" s="308" t="s">
        <v>77</v>
      </c>
      <c r="M22" s="304" t="s">
        <v>406</v>
      </c>
      <c r="N22" s="300" t="s">
        <v>571</v>
      </c>
    </row>
    <row r="23" spans="1:14">
      <c r="A23" s="296" t="s">
        <v>196</v>
      </c>
      <c r="B23" s="297" t="s">
        <v>197</v>
      </c>
      <c r="C23" s="298" t="s">
        <v>61</v>
      </c>
      <c r="D23" s="310" t="s">
        <v>7</v>
      </c>
      <c r="E23" s="299" t="str">
        <f>IF(COUNTIF([1]Sheet3!W$5:W$31,"&gt;0")=0,"No materials","Received")</f>
        <v>Received</v>
      </c>
      <c r="F23" s="309" t="str">
        <f>IF($C23="Ericsson","n/a - Ericsson",IF(ISNUMBER([1]Sheet1!X56),IF([1]Sheet1!X56&gt;0,"Full BBU","Pending"),IF(TRIM([1]Sheet1!X56)="","Pending",[1]Sheet1!X56)))</f>
        <v>Pending</v>
      </c>
      <c r="G23" s="301" t="str">
        <f>IF($C23&lt;&gt;"Ericsson","n/a - Huawei",IF(N([1]Sheet1!X57)&gt;0,"Received","Pending"))</f>
        <v>n/a - Huawei</v>
      </c>
      <c r="H23" s="300" t="str">
        <f>IF($C23="Ericsson","n/a - Ericsson",IF(N([1]Sheet1!X58)&gt;0,"Received","Pending"))</f>
        <v>Received</v>
      </c>
      <c r="I23" s="300" t="str">
        <f>IF($C23="Ericsson","n/a - Ericsson",IF(N([1]Sheet1!X59)&gt;0,"Received","Pending"))</f>
        <v>Received</v>
      </c>
      <c r="J23" s="302" t="s">
        <v>7</v>
      </c>
      <c r="K23" s="309" t="s">
        <v>105</v>
      </c>
      <c r="L23" s="311" t="s">
        <v>574</v>
      </c>
      <c r="M23" s="304"/>
      <c r="N23" s="310" t="s">
        <v>575</v>
      </c>
    </row>
    <row r="24" spans="1:14">
      <c r="A24" s="312" t="s">
        <v>216</v>
      </c>
      <c r="B24" s="313" t="s">
        <v>217</v>
      </c>
      <c r="C24" s="314" t="s">
        <v>87</v>
      </c>
      <c r="D24" s="298" t="s">
        <v>61</v>
      </c>
      <c r="E24" s="315" t="str">
        <f>IF(COUNTIF([1]Sheet3!X$5:X$31,"&gt;0")=0,"No materials","Received")</f>
        <v>No materials</v>
      </c>
      <c r="F24" s="301" t="str">
        <f>IF($C24="Ericsson","n/a - Ericsson",IF(ISNUMBER([1]Sheet1!Y56),IF([1]Sheet1!Y56&gt;0,"Full BBU","Pending"),IF(TRIM([1]Sheet1!Y56)="","Pending",[1]Sheet1!Y56)))</f>
        <v>n/a - Ericsson</v>
      </c>
      <c r="G24" s="309" t="str">
        <f>IF($C24&lt;&gt;"Ericsson","n/a - Huawei",IF(N([1]Sheet1!Y57)&gt;0,"Received","Pending"))</f>
        <v>Pending</v>
      </c>
      <c r="H24" s="301" t="str">
        <f>IF($C24="Ericsson","n/a - Ericsson",IF(N([1]Sheet1!Y58)&gt;0,"Received","Pending"))</f>
        <v>n/a - Ericsson</v>
      </c>
      <c r="I24" s="301" t="str">
        <f>IF($C24="Ericsson","n/a - Ericsson",IF(N([1]Sheet1!Y59)&gt;0,"Received","Pending"))</f>
        <v>n/a - Ericsson</v>
      </c>
      <c r="J24" s="302" t="s">
        <v>312</v>
      </c>
      <c r="K24" s="300" t="s">
        <v>107</v>
      </c>
      <c r="L24" s="303" t="s">
        <v>94</v>
      </c>
      <c r="M24" s="304" t="s">
        <v>317</v>
      </c>
      <c r="N24" s="300" t="s">
        <v>571</v>
      </c>
    </row>
    <row r="25" spans="1:14">
      <c r="A25" s="312" t="s">
        <v>282</v>
      </c>
      <c r="B25" s="313" t="s">
        <v>283</v>
      </c>
      <c r="C25" s="314" t="s">
        <v>87</v>
      </c>
      <c r="D25" s="310" t="s">
        <v>7</v>
      </c>
      <c r="E25" s="315" t="str">
        <f>IF(COUNTIF([1]Sheet3!Y$5:Y$31,"&gt;0")=0,"No materials","Received")</f>
        <v>No materials</v>
      </c>
      <c r="F25" s="301" t="str">
        <f>IF($C25="Ericsson","n/a - Ericsson",IF(ISNUMBER([1]Sheet1!Z56),IF([1]Sheet1!Z56&gt;0,"Full BBU","Pending"),IF(TRIM([1]Sheet1!Z56)="","Pending",[1]Sheet1!Z56)))</f>
        <v>n/a - Ericsson</v>
      </c>
      <c r="G25" s="309" t="str">
        <f>IF($C25&lt;&gt;"Ericsson","n/a - Huawei",IF(N([1]Sheet1!Z57)&gt;0,"Received","Pending"))</f>
        <v>Pending</v>
      </c>
      <c r="H25" s="301" t="str">
        <f>IF($C25="Ericsson","n/a - Ericsson",IF(N([1]Sheet1!Z58)&gt;0,"Received","Pending"))</f>
        <v>n/a - Ericsson</v>
      </c>
      <c r="I25" s="301" t="str">
        <f>IF($C25="Ericsson","n/a - Ericsson",IF(N([1]Sheet1!Z59)&gt;0,"Received","Pending"))</f>
        <v>n/a - Ericsson</v>
      </c>
      <c r="J25" s="302" t="s">
        <v>7</v>
      </c>
      <c r="K25" s="300" t="s">
        <v>107</v>
      </c>
      <c r="L25" s="311" t="s">
        <v>574</v>
      </c>
      <c r="M25" s="304"/>
      <c r="N25" s="310" t="s">
        <v>575</v>
      </c>
    </row>
    <row r="26" spans="1:14">
      <c r="A26" s="296" t="s">
        <v>286</v>
      </c>
      <c r="B26" s="297" t="s">
        <v>287</v>
      </c>
      <c r="C26" s="298" t="s">
        <v>61</v>
      </c>
      <c r="D26" s="298" t="s">
        <v>61</v>
      </c>
      <c r="E26" s="299" t="str">
        <f>IF(COUNTIF([1]Sheet3!Z$5:Z$31,"&gt;0")=0,"No materials","Received")</f>
        <v>Received</v>
      </c>
      <c r="F26" s="300" t="str">
        <f>IF($C26="Ericsson","n/a - Ericsson",IF(ISNUMBER([1]Sheet1!AA56),IF([1]Sheet1!AA56&gt;0,"Full BBU","Pending"),IF(TRIM([1]Sheet1!AA56)="","Pending",[1]Sheet1!AA56)))</f>
        <v>Full BBU</v>
      </c>
      <c r="G26" s="301" t="str">
        <f>IF($C26&lt;&gt;"Ericsson","n/a - Huawei",IF(N([1]Sheet1!AA57)&gt;0,"Received","Pending"))</f>
        <v>n/a - Huawei</v>
      </c>
      <c r="H26" s="300" t="str">
        <f>IF($C26="Ericsson","n/a - Ericsson",IF(N([1]Sheet1!AA58)&gt;0,"Received","Pending"))</f>
        <v>Received</v>
      </c>
      <c r="I26" s="300" t="str">
        <f>IF($C26="Ericsson","n/a - Ericsson",IF(N([1]Sheet1!AA59)&gt;0,"Received","Pending"))</f>
        <v>Received</v>
      </c>
      <c r="J26" s="302" t="s">
        <v>302</v>
      </c>
      <c r="K26" s="307" t="s">
        <v>189</v>
      </c>
      <c r="L26" s="303" t="s">
        <v>94</v>
      </c>
      <c r="M26" s="304" t="s">
        <v>405</v>
      </c>
      <c r="N26" s="300" t="s">
        <v>571</v>
      </c>
    </row>
    <row r="27" spans="1:14">
      <c r="A27" s="296" t="s">
        <v>288</v>
      </c>
      <c r="B27" s="297" t="s">
        <v>289</v>
      </c>
      <c r="C27" s="298" t="s">
        <v>61</v>
      </c>
      <c r="D27" s="310" t="s">
        <v>7</v>
      </c>
      <c r="E27" s="299" t="str">
        <f>IF(COUNTIF([1]Sheet3!AA$5:AA$31,"&gt;0")=0,"No materials","Received")</f>
        <v>Received</v>
      </c>
      <c r="F27" s="300" t="str">
        <f>IF($C27="Ericsson","n/a - Ericsson",IF(ISNUMBER([1]Sheet1!AB56),IF([1]Sheet1!AB56&gt;0,"Full BBU","Pending"),IF(TRIM([1]Sheet1!AB56)="","Pending",[1]Sheet1!AB56)))</f>
        <v>Full BBU</v>
      </c>
      <c r="G27" s="301" t="str">
        <f>IF($C27&lt;&gt;"Ericsson","n/a - Huawei",IF(N([1]Sheet1!AB57)&gt;0,"Received","Pending"))</f>
        <v>n/a - Huawei</v>
      </c>
      <c r="H27" s="300" t="str">
        <f>IF($C27="Ericsson","n/a - Ericsson",IF(N([1]Sheet1!AB58)&gt;0,"Received","Pending"))</f>
        <v>Received</v>
      </c>
      <c r="I27" s="300" t="str">
        <f>IF($C27="Ericsson","n/a - Ericsson",IF(N([1]Sheet1!AB59)&gt;0,"Received","Pending"))</f>
        <v>Received</v>
      </c>
      <c r="J27" s="302" t="s">
        <v>7</v>
      </c>
      <c r="K27" s="307" t="s">
        <v>189</v>
      </c>
      <c r="L27" s="311" t="s">
        <v>574</v>
      </c>
      <c r="M27" s="304"/>
      <c r="N27" s="310" t="s">
        <v>575</v>
      </c>
    </row>
    <row r="28" spans="1:14">
      <c r="A28" s="296" t="s">
        <v>290</v>
      </c>
      <c r="B28" s="297" t="s">
        <v>291</v>
      </c>
      <c r="C28" s="298" t="s">
        <v>61</v>
      </c>
      <c r="D28" s="305" t="s">
        <v>10</v>
      </c>
      <c r="E28" s="299" t="str">
        <f>IF(COUNTIF([1]Sheet3!AB$5:AB$31,"&gt;0")=0,"No materials","Received")</f>
        <v>Received</v>
      </c>
      <c r="F28" s="306" t="str">
        <f>IF($C28="Ericsson","n/a - Ericsson",IF(ISNUMBER([1]Sheet1!AC56),IF([1]Sheet1!AC56&gt;0,"Full BBU","Pending"),IF(TRIM([1]Sheet1!AC56)="","Pending",[1]Sheet1!AC56)))</f>
        <v>UPEU/UEIU/FAN only</v>
      </c>
      <c r="G28" s="301" t="str">
        <f>IF($C28&lt;&gt;"Ericsson","n/a - Huawei",IF(N([1]Sheet1!AC57)&gt;0,"Received","Pending"))</f>
        <v>n/a - Huawei</v>
      </c>
      <c r="H28" s="300" t="str">
        <f>IF($C28="Ericsson","n/a - Ericsson",IF(N([1]Sheet1!AC58)&gt;0,"Received","Pending"))</f>
        <v>Received</v>
      </c>
      <c r="I28" s="300" t="str">
        <f>IF($C28="Ericsson","n/a - Ericsson",IF(N([1]Sheet1!AC59)&gt;0,"Received","Pending"))</f>
        <v>Received</v>
      </c>
      <c r="J28" s="302" t="s">
        <v>303</v>
      </c>
      <c r="K28" s="307" t="s">
        <v>189</v>
      </c>
      <c r="L28" s="308" t="s">
        <v>77</v>
      </c>
      <c r="M28" s="304"/>
      <c r="N28" s="305" t="s">
        <v>576</v>
      </c>
    </row>
    <row r="29" spans="1:14">
      <c r="A29" s="296" t="s">
        <v>292</v>
      </c>
      <c r="B29" s="297" t="s">
        <v>293</v>
      </c>
      <c r="C29" s="298" t="s">
        <v>61</v>
      </c>
      <c r="D29" s="298" t="s">
        <v>61</v>
      </c>
      <c r="E29" s="299" t="str">
        <f>IF(COUNTIF([1]Sheet3!AC$5:AC$31,"&gt;0")=0,"No materials","Received")</f>
        <v>Received</v>
      </c>
      <c r="F29" s="300" t="str">
        <f>IF($C29="Ericsson","n/a - Ericsson",IF(ISNUMBER([1]Sheet1!AD56),IF([1]Sheet1!AD56&gt;0,"Full BBU","Pending"),IF(TRIM([1]Sheet1!AD56)="","Pending",[1]Sheet1!AD56)))</f>
        <v>Full BBU</v>
      </c>
      <c r="G29" s="301" t="str">
        <f>IF($C29&lt;&gt;"Ericsson","n/a - Huawei",IF(N([1]Sheet1!AD57)&gt;0,"Received","Pending"))</f>
        <v>n/a - Huawei</v>
      </c>
      <c r="H29" s="300" t="str">
        <f>IF($C29="Ericsson","n/a - Ericsson",IF(N([1]Sheet1!AD58)&gt;0,"Received","Pending"))</f>
        <v>Received</v>
      </c>
      <c r="I29" s="300" t="str">
        <f>IF($C29="Ericsson","n/a - Ericsson",IF(N([1]Sheet1!AD59)&gt;0,"Received","Pending"))</f>
        <v>Received</v>
      </c>
      <c r="J29" s="302" t="s">
        <v>304</v>
      </c>
      <c r="K29" s="307" t="s">
        <v>189</v>
      </c>
      <c r="L29" s="303" t="s">
        <v>94</v>
      </c>
      <c r="M29" s="304" t="s">
        <v>353</v>
      </c>
      <c r="N29" s="300" t="s">
        <v>571</v>
      </c>
    </row>
    <row r="30" spans="1:14">
      <c r="A30" s="296" t="s">
        <v>294</v>
      </c>
      <c r="B30" s="297" t="s">
        <v>295</v>
      </c>
      <c r="C30" s="298" t="s">
        <v>61</v>
      </c>
      <c r="D30" s="298" t="s">
        <v>61</v>
      </c>
      <c r="E30" s="299" t="str">
        <f>IF(COUNTIF([1]Sheet3!AD$5:AD$31,"&gt;0")=0,"No materials","Received")</f>
        <v>Received</v>
      </c>
      <c r="F30" s="300" t="str">
        <f>IF($C30="Ericsson","n/a - Ericsson",IF(ISNUMBER([1]Sheet1!AE56),IF([1]Sheet1!AE56&gt;0,"Full BBU","Pending"),IF(TRIM([1]Sheet1!AE56)="","Pending",[1]Sheet1!AE56)))</f>
        <v>Full BBU</v>
      </c>
      <c r="G30" s="301" t="str">
        <f>IF($C30&lt;&gt;"Ericsson","n/a - Huawei",IF(N([1]Sheet1!AE57)&gt;0,"Received","Pending"))</f>
        <v>n/a - Huawei</v>
      </c>
      <c r="H30" s="300" t="str">
        <f>IF($C30="Ericsson","n/a - Ericsson",IF(N([1]Sheet1!AE58)&gt;0,"Received","Pending"))</f>
        <v>Received</v>
      </c>
      <c r="I30" s="300" t="str">
        <f>IF($C30="Ericsson","n/a - Ericsson",IF(N([1]Sheet1!AE59)&gt;0,"Received","Pending"))</f>
        <v>Received</v>
      </c>
      <c r="J30" s="302" t="s">
        <v>305</v>
      </c>
      <c r="K30" s="300" t="s">
        <v>107</v>
      </c>
      <c r="L30" s="303" t="s">
        <v>94</v>
      </c>
      <c r="M30" s="304" t="s">
        <v>334</v>
      </c>
      <c r="N30" s="300" t="s">
        <v>571</v>
      </c>
    </row>
    <row r="31" spans="1:14">
      <c r="A31" s="296" t="s">
        <v>297</v>
      </c>
      <c r="B31" s="297" t="s">
        <v>298</v>
      </c>
      <c r="C31" s="314" t="s">
        <v>87</v>
      </c>
      <c r="D31" s="310" t="s">
        <v>7</v>
      </c>
      <c r="E31" s="299" t="str">
        <f>IF(COUNTIF([1]Sheet3!AE$5:AE$31,"&gt;0")=0,"No materials","Received")</f>
        <v>Received</v>
      </c>
      <c r="F31" s="301" t="str">
        <f>IF($C31="Ericsson","n/a - Ericsson",IF(ISNUMBER([1]Sheet1!AF56),IF([1]Sheet1!AF56&gt;0,"Full BBU","Pending"),IF(TRIM([1]Sheet1!AF56)="","Pending",[1]Sheet1!AF56)))</f>
        <v>n/a - Ericsson</v>
      </c>
      <c r="G31" s="309" t="str">
        <f>IF($C31&lt;&gt;"Ericsson","n/a - Huawei",IF(N([1]Sheet1!AF57)&gt;0,"Received","Pending"))</f>
        <v>Pending</v>
      </c>
      <c r="H31" s="301" t="str">
        <f>IF($C31="Ericsson","n/a - Ericsson",IF(N([1]Sheet1!AF58)&gt;0,"Received","Pending"))</f>
        <v>n/a - Ericsson</v>
      </c>
      <c r="I31" s="301" t="str">
        <f>IF($C31="Ericsson","n/a - Ericsson",IF(N([1]Sheet1!AF59)&gt;0,"Received","Pending"))</f>
        <v>n/a - Ericsson</v>
      </c>
      <c r="J31" s="302" t="s">
        <v>7</v>
      </c>
      <c r="K31" s="309" t="s">
        <v>105</v>
      </c>
      <c r="L31" s="311" t="s">
        <v>574</v>
      </c>
      <c r="M31" s="304"/>
      <c r="N31" s="310" t="s">
        <v>575</v>
      </c>
    </row>
    <row r="32" spans="1:14">
      <c r="A32" s="296" t="s">
        <v>168</v>
      </c>
      <c r="B32" s="297" t="s">
        <v>175</v>
      </c>
      <c r="C32" s="298" t="s">
        <v>61</v>
      </c>
      <c r="D32" s="298" t="s">
        <v>61</v>
      </c>
      <c r="E32" s="299" t="str">
        <f>IF(COUNTIF([1]Sheet3!AF$5:AF$31,"&gt;0")=0,"No materials","Received")</f>
        <v>Received</v>
      </c>
      <c r="F32" s="300" t="str">
        <f>IF($C32="Ericsson","n/a - Ericsson",IF(ISNUMBER([1]Sheet1!AG56),IF([1]Sheet1!AG56&gt;0,"Full BBU","Pending"),IF(TRIM([1]Sheet1!AG56)="","Pending",[1]Sheet1!AG56)))</f>
        <v>Full BBU</v>
      </c>
      <c r="G32" s="301" t="str">
        <f>IF($C32&lt;&gt;"Ericsson","n/a - Huawei",IF(N([1]Sheet1!AG57)&gt;0,"Received","Pending"))</f>
        <v>n/a - Huawei</v>
      </c>
      <c r="H32" s="300" t="str">
        <f>IF($C32="Ericsson","n/a - Ericsson",IF(N([1]Sheet1!AG58)&gt;0,"Received","Pending"))</f>
        <v>Received</v>
      </c>
      <c r="I32" s="300" t="str">
        <f>IF($C32="Ericsson","n/a - Ericsson",IF(N([1]Sheet1!AG59)&gt;0,"Received","Pending"))</f>
        <v>Received</v>
      </c>
      <c r="J32" s="302" t="s">
        <v>308</v>
      </c>
      <c r="K32" s="307" t="s">
        <v>189</v>
      </c>
      <c r="L32" s="308" t="s">
        <v>77</v>
      </c>
      <c r="M32" s="304" t="s">
        <v>318</v>
      </c>
      <c r="N32" s="300" t="s">
        <v>571</v>
      </c>
    </row>
    <row r="33" spans="1:14">
      <c r="A33" s="296" t="s">
        <v>172</v>
      </c>
      <c r="B33" s="297" t="s">
        <v>180</v>
      </c>
      <c r="C33" s="314" t="s">
        <v>87</v>
      </c>
      <c r="D33" s="310" t="s">
        <v>7</v>
      </c>
      <c r="E33" s="299" t="str">
        <f>IF(COUNTIF([1]Sheet3!AG$5:AG$31,"&gt;0")=0,"No materials","Received")</f>
        <v>Received</v>
      </c>
      <c r="F33" s="301" t="str">
        <f>IF($C33="Ericsson","n/a - Ericsson",IF(ISNUMBER([1]Sheet1!AH56),IF([1]Sheet1!AH56&gt;0,"Full BBU","Pending"),IF(TRIM([1]Sheet1!AH56)="","Pending",[1]Sheet1!AH56)))</f>
        <v>n/a - Ericsson</v>
      </c>
      <c r="G33" s="309" t="str">
        <f>IF($C33&lt;&gt;"Ericsson","n/a - Huawei",IF(N([1]Sheet1!AH57)&gt;0,"Received","Pending"))</f>
        <v>Pending</v>
      </c>
      <c r="H33" s="301" t="str">
        <f>IF($C33="Ericsson","n/a - Ericsson",IF(N([1]Sheet1!AH58)&gt;0,"Received","Pending"))</f>
        <v>n/a - Ericsson</v>
      </c>
      <c r="I33" s="301" t="str">
        <f>IF($C33="Ericsson","n/a - Ericsson",IF(N([1]Sheet1!AH59)&gt;0,"Received","Pending"))</f>
        <v>n/a - Ericsson</v>
      </c>
      <c r="J33" s="302" t="s">
        <v>7</v>
      </c>
      <c r="K33" s="309" t="s">
        <v>105</v>
      </c>
      <c r="L33" s="311" t="s">
        <v>574</v>
      </c>
      <c r="M33" s="304"/>
      <c r="N33" s="310" t="s">
        <v>575</v>
      </c>
    </row>
    <row r="34" spans="1:14">
      <c r="A34" s="296" t="s">
        <v>173</v>
      </c>
      <c r="B34" s="297" t="s">
        <v>182</v>
      </c>
      <c r="C34" s="314" t="s">
        <v>87</v>
      </c>
      <c r="D34" s="310" t="s">
        <v>7</v>
      </c>
      <c r="E34" s="299" t="str">
        <f>IF(COUNTIF([1]Sheet3!AH$5:AH$31,"&gt;0")=0,"No materials","Received")</f>
        <v>Received</v>
      </c>
      <c r="F34" s="301" t="str">
        <f>IF($C34="Ericsson","n/a - Ericsson",IF(ISNUMBER([1]Sheet1!AI56),IF([1]Sheet1!AI56&gt;0,"Full BBU","Pending"),IF(TRIM([1]Sheet1!AI56)="","Pending",[1]Sheet1!AI56)))</f>
        <v>n/a - Ericsson</v>
      </c>
      <c r="G34" s="309" t="str">
        <f>IF($C34&lt;&gt;"Ericsson","n/a - Huawei",IF(N([1]Sheet1!AI57)&gt;0,"Received","Pending"))</f>
        <v>Pending</v>
      </c>
      <c r="H34" s="301" t="str">
        <f>IF($C34="Ericsson","n/a - Ericsson",IF(N([1]Sheet1!AI58)&gt;0,"Received","Pending"))</f>
        <v>n/a - Ericsson</v>
      </c>
      <c r="I34" s="301" t="str">
        <f>IF($C34="Ericsson","n/a - Ericsson",IF(N([1]Sheet1!AI59)&gt;0,"Received","Pending"))</f>
        <v>n/a - Ericsson</v>
      </c>
      <c r="J34" s="302" t="s">
        <v>7</v>
      </c>
      <c r="K34" s="309" t="s">
        <v>105</v>
      </c>
      <c r="L34" s="311" t="s">
        <v>574</v>
      </c>
      <c r="M34" s="304"/>
      <c r="N34" s="310" t="s">
        <v>575</v>
      </c>
    </row>
    <row r="35" spans="1:14">
      <c r="A35" s="296" t="s">
        <v>170</v>
      </c>
      <c r="B35" s="297" t="s">
        <v>178</v>
      </c>
      <c r="C35" s="314" t="s">
        <v>87</v>
      </c>
      <c r="D35" s="310" t="s">
        <v>7</v>
      </c>
      <c r="E35" s="299" t="str">
        <f>IF(COUNTIF([1]Sheet3!AI$5:AI$31,"&gt;0")=0,"No materials","Received")</f>
        <v>Received</v>
      </c>
      <c r="F35" s="301" t="str">
        <f>IF($C35="Ericsson","n/a - Ericsson",IF(ISNUMBER([1]Sheet1!AJ56),IF([1]Sheet1!AJ56&gt;0,"Full BBU","Pending"),IF(TRIM([1]Sheet1!AJ56)="","Pending",[1]Sheet1!AJ56)))</f>
        <v>n/a - Ericsson</v>
      </c>
      <c r="G35" s="309" t="str">
        <f>IF($C35&lt;&gt;"Ericsson","n/a - Huawei",IF(N([1]Sheet1!AJ57)&gt;0,"Received","Pending"))</f>
        <v>Pending</v>
      </c>
      <c r="H35" s="301" t="str">
        <f>IF($C35="Ericsson","n/a - Ericsson",IF(N([1]Sheet1!AJ58)&gt;0,"Received","Pending"))</f>
        <v>n/a - Ericsson</v>
      </c>
      <c r="I35" s="301" t="str">
        <f>IF($C35="Ericsson","n/a - Ericsson",IF(N([1]Sheet1!AJ59)&gt;0,"Received","Pending"))</f>
        <v>n/a - Ericsson</v>
      </c>
      <c r="J35" s="302" t="s">
        <v>7</v>
      </c>
      <c r="K35" s="309" t="s">
        <v>105</v>
      </c>
      <c r="L35" s="311" t="s">
        <v>574</v>
      </c>
      <c r="M35" s="304"/>
      <c r="N35" s="310" t="s">
        <v>575</v>
      </c>
    </row>
    <row r="36" spans="1:14">
      <c r="A36" s="316" t="s">
        <v>299</v>
      </c>
      <c r="B36" s="317" t="s">
        <v>300</v>
      </c>
      <c r="C36" s="318" t="s">
        <v>61</v>
      </c>
      <c r="D36" s="319" t="s">
        <v>10</v>
      </c>
      <c r="E36" s="320" t="str">
        <f>IF(COUNTIF([1]Sheet3!AJ$5:AJ$31,"&gt;0")=0,"No materials","Received")</f>
        <v>Received</v>
      </c>
      <c r="F36" s="306" t="str">
        <f>IF($C36="Ericsson","n/a - Ericsson",IF(ISNUMBER([1]Sheet1!AK56),IF([1]Sheet1!AK56&gt;0,"Full BBU","Pending"),IF(TRIM([1]Sheet1!AK56)="","Pending",[1]Sheet1!AK56)))</f>
        <v>UPEU/UEIU/FAN only</v>
      </c>
      <c r="G36" s="301" t="str">
        <f>IF($C36&lt;&gt;"Ericsson","n/a - Huawei",IF(N([1]Sheet1!AK57)&gt;0,"Received","Pending"))</f>
        <v>n/a - Huawei</v>
      </c>
      <c r="H36" s="300" t="str">
        <f>IF($C36="Ericsson","n/a - Ericsson",IF(N([1]Sheet1!AK58)&gt;0,"Received","Pending"))</f>
        <v>Received</v>
      </c>
      <c r="I36" s="300" t="str">
        <f>IF($C36="Ericsson","n/a - Ericsson",IF(N([1]Sheet1!AK59)&gt;0,"Received","Pending"))</f>
        <v>Received</v>
      </c>
      <c r="J36" s="321" t="s">
        <v>306</v>
      </c>
      <c r="K36" s="322" t="s">
        <v>189</v>
      </c>
      <c r="L36" s="323" t="s">
        <v>94</v>
      </c>
      <c r="M36" s="324"/>
      <c r="N36" s="319" t="s">
        <v>576</v>
      </c>
    </row>
    <row r="37" spans="1:14">
      <c r="A37" s="325" t="s">
        <v>577</v>
      </c>
      <c r="B37" s="326"/>
      <c r="C37" s="326"/>
      <c r="D37" s="326"/>
      <c r="E37" s="326" t="str">
        <f>COUNTIF(E5:E36,"Received")&amp;" of 32"</f>
        <v>27 of 32</v>
      </c>
      <c r="F37" s="327" t="str">
        <f>COUNTIF(F5:F36,"Full BBU")&amp;" / 23 HW"</f>
        <v>13 / 23 HW</v>
      </c>
      <c r="G37" s="327" t="str">
        <f>COUNTIF(G5:G36,"Received")&amp;" / 9 ER"</f>
        <v>0 / 9 ER</v>
      </c>
      <c r="H37" s="327" t="str">
        <f>COUNTIF(H5:H36,"Received")&amp;" / 23 HW"</f>
        <v>23 / 23 HW</v>
      </c>
      <c r="I37" s="327" t="str">
        <f>COUNTIF(I5:I36,"Received")&amp;" / 23 HW"</f>
        <v>23 / 23 HW</v>
      </c>
      <c r="J37" s="326"/>
      <c r="K37" s="326" t="str">
        <f>COUNTIF(K5:K36,"MW Link OK")&amp;" OK"</f>
        <v>12 OK</v>
      </c>
      <c r="L37" s="326" t="str">
        <f>COUNTIF(L5:L36,"Received")&amp;" recd"</f>
        <v>15 recd</v>
      </c>
      <c r="M37" s="326"/>
      <c r="N37" s="326" t="str">
        <f>COUNTIF(N5:N36,"Mapped")&amp;" mapped"</f>
        <v>18 mapped</v>
      </c>
    </row>
    <row r="39" spans="1:14" ht="15.6">
      <c r="A39" s="328" t="s">
        <v>578</v>
      </c>
    </row>
    <row r="40" spans="1:14">
      <c r="A40" s="326" t="s">
        <v>579</v>
      </c>
      <c r="B40" s="326" t="s">
        <v>580</v>
      </c>
    </row>
    <row r="41" spans="1:14">
      <c r="A41" s="329" t="s">
        <v>581</v>
      </c>
      <c r="B41" s="330">
        <f>COUNTA(A5:A36)</f>
        <v>32</v>
      </c>
    </row>
    <row r="42" spans="1:14">
      <c r="A42" s="331" t="s">
        <v>582</v>
      </c>
      <c r="B42" s="332">
        <f>COUNTIF(E5:E36,"Received")</f>
        <v>27</v>
      </c>
    </row>
    <row r="43" spans="1:14">
      <c r="A43" s="333" t="s">
        <v>518</v>
      </c>
      <c r="B43" s="334">
        <f>COUNTIF(E5:E36,"No materials")</f>
        <v>5</v>
      </c>
    </row>
    <row r="44" spans="1:14">
      <c r="A44" s="335" t="s">
        <v>583</v>
      </c>
      <c r="B44" s="336">
        <f>COUNTIF(C5:C36,"Huawei")</f>
        <v>23</v>
      </c>
    </row>
    <row r="45" spans="1:14">
      <c r="A45" s="331" t="s">
        <v>584</v>
      </c>
      <c r="B45" s="332">
        <f>COUNTIF(F5:F36,"Full BBU")</f>
        <v>13</v>
      </c>
    </row>
    <row r="46" spans="1:14">
      <c r="A46" s="337" t="s">
        <v>585</v>
      </c>
      <c r="B46" s="338">
        <f>COUNTIF(C5:C36,"Huawei")-COUNTIF(F5:F36,"Full BBU")-COUNTIF(F5:F36,"Pending")</f>
        <v>3</v>
      </c>
    </row>
    <row r="47" spans="1:14">
      <c r="A47" s="333" t="s">
        <v>586</v>
      </c>
      <c r="B47" s="334">
        <f>COUNTIF(F5:F36,"Pending")</f>
        <v>7</v>
      </c>
    </row>
    <row r="48" spans="1:14">
      <c r="A48" s="331" t="s">
        <v>587</v>
      </c>
      <c r="B48" s="332" t="str">
        <f>COUNTIF(H5:H36,"Received")&amp;" / "&amp;COUNTIF(I5:I36,"Received")</f>
        <v>23 / 23</v>
      </c>
    </row>
    <row r="49" spans="1:2">
      <c r="A49" s="339" t="s">
        <v>588</v>
      </c>
      <c r="B49" s="340">
        <f>COUNTIF(C5:C36,"Ericsson")</f>
        <v>9</v>
      </c>
    </row>
    <row r="50" spans="1:2">
      <c r="A50" s="331" t="s">
        <v>589</v>
      </c>
      <c r="B50" s="332">
        <f>COUNTIF(G5:G36,"Received")</f>
        <v>0</v>
      </c>
    </row>
    <row r="51" spans="1:2">
      <c r="A51" s="333" t="s">
        <v>590</v>
      </c>
      <c r="B51" s="334">
        <f>COUNTIF(G5:G36,"Pending")</f>
        <v>9</v>
      </c>
    </row>
    <row r="52" spans="1:2">
      <c r="A52" s="333" t="s">
        <v>591</v>
      </c>
      <c r="B52" s="334">
        <f>COUNTIF(F5:F36,"Pending")+COUNTIF(G5:G36,"Pending")</f>
        <v>16</v>
      </c>
    </row>
    <row r="53" spans="1:2">
      <c r="A53" s="331" t="s">
        <v>592</v>
      </c>
      <c r="B53" s="332">
        <f>COUNTIF(K5:K36,"MW Link OK")</f>
        <v>12</v>
      </c>
    </row>
    <row r="54" spans="1:2">
      <c r="A54" s="341" t="s">
        <v>593</v>
      </c>
      <c r="B54" s="342">
        <f>COUNTIF(K5:K36,"MW Link Pending")</f>
        <v>12</v>
      </c>
    </row>
    <row r="55" spans="1:2">
      <c r="A55" s="333" t="s">
        <v>594</v>
      </c>
      <c r="B55" s="334">
        <f>COUNTIF(K5:K36,"Tx Pending")</f>
        <v>8</v>
      </c>
    </row>
    <row r="56" spans="1:2">
      <c r="A56" s="331" t="s">
        <v>595</v>
      </c>
      <c r="B56" s="332">
        <f>COUNTIF(L5:L36,"Received")</f>
        <v>15</v>
      </c>
    </row>
    <row r="57" spans="1:2">
      <c r="A57" s="331" t="s">
        <v>596</v>
      </c>
      <c r="B57" s="332">
        <f>COUNTIF(N5:N36,"Mapped")</f>
        <v>18</v>
      </c>
    </row>
    <row r="58" spans="1:2">
      <c r="A58" s="333" t="s">
        <v>597</v>
      </c>
      <c r="B58" s="334">
        <f>COUNTIF(N5:N36,"NOT MAPPED")</f>
        <v>1</v>
      </c>
    </row>
    <row r="59" spans="1:2">
      <c r="A59" s="335" t="s">
        <v>598</v>
      </c>
      <c r="B59" s="336">
        <f>COUNTIF(C5:C36,"Huawei")</f>
        <v>23</v>
      </c>
    </row>
    <row r="60" spans="1:2">
      <c r="A60" s="339" t="s">
        <v>599</v>
      </c>
      <c r="B60" s="340">
        <f>COUNTIF(C5:C36,"Ericsson")</f>
        <v>9</v>
      </c>
    </row>
    <row r="61" spans="1:2">
      <c r="A61" s="335" t="s">
        <v>600</v>
      </c>
      <c r="B61" s="336">
        <f>COUNTIF(D5:D36,"Huawei")</f>
        <v>16</v>
      </c>
    </row>
    <row r="62" spans="1:2">
      <c r="A62" s="329" t="s">
        <v>601</v>
      </c>
      <c r="B62" s="330">
        <f>COUNTIF(D5:D36,"OFN")</f>
        <v>11</v>
      </c>
    </row>
    <row r="63" spans="1:2">
      <c r="A63" s="343" t="s">
        <v>602</v>
      </c>
      <c r="B63" s="344">
        <f>COUNTIF(D5:D36,"WiBAS")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Full Plan</vt:lpstr>
      <vt:lpstr>MW Update</vt:lpstr>
      <vt:lpstr>Temp Sheet</vt:lpstr>
      <vt:lpstr>Tx Design</vt:lpstr>
      <vt:lpstr>Dependancy</vt:lpstr>
      <vt:lpstr>MW Removal &amp; Update</vt:lpstr>
      <vt:lpstr>New Site Locations</vt:lpstr>
      <vt:lpstr>AP Data</vt:lpstr>
      <vt:lpstr>Material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yasith wijetunga</dc:creator>
  <cp:lastModifiedBy>Tooway_Sithara</cp:lastModifiedBy>
  <dcterms:created xsi:type="dcterms:W3CDTF">2026-04-09T08:13:00Z</dcterms:created>
  <dcterms:modified xsi:type="dcterms:W3CDTF">2026-08-04T01:05:44Z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14DC4BCE90A04FB19AF963067BCE5585_13</vt:lpwstr>
  </property>
  <property fmtid="{D5CDD505-2E9C-101B-9397-08002B2CF9AE}" pid="3" name="KSOProductBuildVer">
    <vt:lpwstr>1033-12.2.0.23196</vt:lpwstr>
  </property>
</Properties>
</file>