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Tooway Engineers\Projects\Lamp Poles\"/>
    </mc:Choice>
  </mc:AlternateContent>
  <xr:revisionPtr revIDLastSave="0" documentId="13_ncr:1_{83988334-43C3-470D-B8DA-B0013000D998}" xr6:coauthVersionLast="47" xr6:coauthVersionMax="47" xr10:uidLastSave="{00000000-0000-0000-0000-000000000000}"/>
  <bookViews>
    <workbookView xWindow="-108" yWindow="-108" windowWidth="23256" windowHeight="12456" tabRatio="616" firstSheet="1" activeTab="1" xr2:uid="{00000000-000D-0000-FFFF-FFFF00000000}"/>
  </bookViews>
  <sheets>
    <sheet name="Dashboard" sheetId="29" r:id="rId1"/>
    <sheet name="Full Plan" sheetId="6" r:id="rId2"/>
    <sheet name="Dependancy" sheetId="55" r:id="rId3"/>
    <sheet name="Temp Sheet" sheetId="41" r:id="rId4"/>
    <sheet name="Tx Design" sheetId="9" r:id="rId5"/>
    <sheet name="MW Removal &amp; Update" sheetId="8" r:id="rId6"/>
    <sheet name="New Site Locations" sheetId="7" r:id="rId7"/>
    <sheet name="AP Data" sheetId="49" r:id="rId8"/>
  </sheets>
  <definedNames>
    <definedName name="_xlnm._FilterDatabase" localSheetId="7" hidden="1">'AP Data'!$A$3:$AB$16</definedName>
    <definedName name="_xlnm._FilterDatabase" localSheetId="0" hidden="1">Dashboard!#REF!</definedName>
    <definedName name="_xlnm._FilterDatabase" localSheetId="2" hidden="1">Dependancy!$A$2:$P$32</definedName>
    <definedName name="_xlnm._FilterDatabase" localSheetId="1" hidden="1">'Full Plan'!$A$2:$AU$32</definedName>
    <definedName name="_xlnm._FilterDatabase" localSheetId="5" hidden="1">'MW Removal &amp; Update'!$A$2:$S$24</definedName>
    <definedName name="_xlnm._FilterDatabase" localSheetId="6" hidden="1">'New Site Locations'!$A$2:$I$41</definedName>
    <definedName name="_xlnm._FilterDatabase" localSheetId="3" hidden="1">'Temp Sheet'!#REF!</definedName>
    <definedName name="_xlnm._FilterDatabase" localSheetId="4" hidden="1">'Tx Design'!$A$2:$AS$34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S4" i="9" l="1"/>
  <c r="AS5" i="9"/>
  <c r="AS6" i="9"/>
  <c r="AS7" i="9"/>
  <c r="AS8" i="9"/>
  <c r="AS9" i="9"/>
  <c r="AS10" i="9"/>
  <c r="AS11" i="9"/>
  <c r="AS12" i="9"/>
  <c r="AS13" i="9"/>
  <c r="AS14" i="9"/>
  <c r="AS15" i="9"/>
  <c r="AS16" i="9"/>
  <c r="AS17" i="9"/>
  <c r="AS18" i="9"/>
  <c r="AS19" i="9"/>
  <c r="AS20" i="9"/>
  <c r="AS21" i="9"/>
  <c r="AS22" i="9"/>
  <c r="AS23" i="9"/>
  <c r="AS24" i="9"/>
  <c r="AS25" i="9"/>
  <c r="AS26" i="9"/>
  <c r="AS27" i="9"/>
  <c r="AS28" i="9"/>
  <c r="AS29" i="9"/>
  <c r="AS30" i="9"/>
  <c r="AS31" i="9"/>
  <c r="AS32" i="9"/>
  <c r="AS33" i="9"/>
  <c r="AS34" i="9"/>
  <c r="AS3" i="9"/>
  <c r="AR12" i="9"/>
  <c r="AR13" i="9"/>
  <c r="AR14" i="9"/>
  <c r="AR15" i="9"/>
  <c r="AR16" i="9"/>
  <c r="AR17" i="9"/>
  <c r="AR18" i="9"/>
  <c r="AR19" i="9"/>
  <c r="AR20" i="9"/>
  <c r="AR21" i="9"/>
  <c r="AR22" i="9"/>
  <c r="AR23" i="9"/>
  <c r="AR24" i="9"/>
  <c r="AR25" i="9"/>
  <c r="AR26" i="9"/>
  <c r="AR27" i="9"/>
  <c r="AR28" i="9"/>
  <c r="AR29" i="9"/>
  <c r="AR30" i="9"/>
  <c r="AR31" i="9"/>
  <c r="AR32" i="9"/>
  <c r="AR33" i="9"/>
  <c r="AR34" i="9"/>
  <c r="AR4" i="9"/>
  <c r="AR5" i="9"/>
  <c r="AR6" i="9"/>
  <c r="AR7" i="9"/>
  <c r="AR8" i="9"/>
  <c r="AR9" i="9"/>
  <c r="AR10" i="9"/>
  <c r="AR11" i="9"/>
  <c r="AR3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4" i="9"/>
  <c r="AQ5" i="9"/>
  <c r="AQ6" i="9"/>
  <c r="AQ7" i="9"/>
  <c r="AQ8" i="9"/>
  <c r="AQ9" i="9"/>
  <c r="AQ10" i="9"/>
  <c r="AQ11" i="9"/>
  <c r="AQ12" i="9"/>
  <c r="AQ3" i="9"/>
  <c r="B2" i="41" l="1"/>
  <c r="A2" i="41"/>
  <c r="C2" i="7" l="1"/>
  <c r="W2" i="6" l="1"/>
  <c r="V2" i="6"/>
  <c r="AD2" i="6"/>
  <c r="S3" i="49" l="1"/>
  <c r="AC3" i="49"/>
  <c r="AD3" i="49"/>
  <c r="AE3" i="49"/>
  <c r="Z3" i="49"/>
  <c r="AA3" i="49"/>
  <c r="AB3" i="49"/>
  <c r="W3" i="49"/>
  <c r="X3" i="49"/>
  <c r="Y3" i="49"/>
  <c r="C3" i="49"/>
  <c r="D3" i="49"/>
  <c r="E3" i="49"/>
  <c r="F3" i="49"/>
  <c r="G3" i="49"/>
  <c r="H3" i="49"/>
  <c r="I3" i="49"/>
  <c r="J3" i="49"/>
  <c r="K3" i="49"/>
  <c r="L3" i="49"/>
  <c r="M3" i="49"/>
  <c r="N3" i="49"/>
  <c r="O3" i="49"/>
  <c r="P3" i="49"/>
  <c r="Q3" i="49"/>
  <c r="R3" i="49"/>
  <c r="T3" i="49"/>
  <c r="U3" i="49"/>
  <c r="V3" i="49"/>
  <c r="B3" i="49" l="1"/>
  <c r="A3" i="49"/>
  <c r="I2" i="7"/>
  <c r="H2" i="7"/>
  <c r="G2" i="7"/>
  <c r="D2" i="7"/>
  <c r="B2" i="7"/>
  <c r="A2" i="7"/>
  <c r="S2" i="8"/>
  <c r="R2" i="8"/>
  <c r="Q2" i="8"/>
  <c r="P2" i="8"/>
  <c r="O2" i="8"/>
  <c r="N2" i="8"/>
  <c r="M2" i="8"/>
  <c r="K2" i="8"/>
  <c r="J2" i="8"/>
  <c r="I2" i="8"/>
  <c r="H2" i="8"/>
  <c r="G2" i="8"/>
  <c r="F2" i="8"/>
  <c r="D2" i="8"/>
  <c r="C2" i="8"/>
  <c r="B2" i="8"/>
  <c r="A2" i="8"/>
  <c r="AS2" i="9"/>
  <c r="AR2" i="9"/>
  <c r="AQ2" i="9"/>
  <c r="AP2" i="9"/>
  <c r="AO2" i="9"/>
  <c r="AN2" i="9"/>
  <c r="AM2" i="9"/>
  <c r="AL2" i="9"/>
  <c r="AK2" i="9"/>
  <c r="AJ2" i="9"/>
  <c r="AI2" i="9"/>
  <c r="AH2" i="9"/>
  <c r="AG2" i="9"/>
  <c r="AF2" i="9"/>
  <c r="AE2" i="9"/>
  <c r="AD2" i="9"/>
  <c r="AC2" i="9"/>
  <c r="AB2" i="9"/>
  <c r="AA2" i="9"/>
  <c r="Z2" i="9"/>
  <c r="Y2" i="9"/>
  <c r="X2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A2" i="9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C2" i="6"/>
  <c r="AB2" i="6"/>
  <c r="AA2" i="6"/>
  <c r="Z2" i="6"/>
  <c r="Y2" i="6"/>
  <c r="X2" i="6"/>
  <c r="U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C4" i="41" l="1"/>
  <c r="D4" i="41"/>
  <c r="E4" i="41"/>
  <c r="F4" i="41"/>
  <c r="G4" i="41"/>
  <c r="D9" i="55"/>
  <c r="D5" i="41"/>
  <c r="D18" i="41"/>
  <c r="D26" i="41"/>
  <c r="E19" i="41"/>
  <c r="E27" i="41"/>
  <c r="E13" i="41"/>
  <c r="D12" i="41"/>
  <c r="D19" i="41"/>
  <c r="D27" i="41"/>
  <c r="E20" i="41"/>
  <c r="E8" i="41"/>
  <c r="E9" i="41"/>
  <c r="D16" i="41"/>
  <c r="E17" i="41"/>
  <c r="D11" i="41"/>
  <c r="D17" i="41"/>
  <c r="E18" i="41"/>
  <c r="E12" i="41"/>
  <c r="D13" i="41"/>
  <c r="D20" i="41"/>
  <c r="D3" i="41"/>
  <c r="E21" i="41"/>
  <c r="E6" i="41"/>
  <c r="E3" i="41"/>
  <c r="D8" i="41"/>
  <c r="D9" i="41"/>
  <c r="D21" i="41"/>
  <c r="E14" i="41"/>
  <c r="E22" i="41"/>
  <c r="E7" i="41"/>
  <c r="E15" i="41"/>
  <c r="E23" i="41"/>
  <c r="E10" i="41"/>
  <c r="D15" i="41"/>
  <c r="D23" i="41"/>
  <c r="E16" i="41"/>
  <c r="E24" i="41"/>
  <c r="E11" i="41"/>
  <c r="D10" i="41"/>
  <c r="D24" i="41"/>
  <c r="E25" i="41"/>
  <c r="E5" i="41"/>
  <c r="D25" i="41"/>
  <c r="E26" i="41"/>
  <c r="D6" i="41"/>
  <c r="D14" i="41"/>
  <c r="D22" i="41"/>
  <c r="D7" i="41"/>
  <c r="I7" i="55"/>
  <c r="E5" i="8"/>
  <c r="C14" i="55"/>
  <c r="C23" i="55"/>
  <c r="C33" i="55"/>
  <c r="C8" i="55"/>
  <c r="C16" i="55"/>
  <c r="C30" i="55"/>
  <c r="C11" i="55"/>
  <c r="C24" i="55"/>
  <c r="C31" i="55"/>
  <c r="C9" i="55"/>
  <c r="C25" i="55"/>
  <c r="C34" i="55"/>
  <c r="C5" i="55"/>
  <c r="C26" i="55"/>
  <c r="C32" i="55"/>
  <c r="C12" i="55"/>
  <c r="C7" i="55"/>
  <c r="C28" i="55"/>
  <c r="C10" i="55"/>
  <c r="C29" i="55"/>
  <c r="C4" i="55"/>
  <c r="C3" i="55"/>
  <c r="C17" i="55"/>
  <c r="C18" i="55"/>
  <c r="C19" i="55"/>
  <c r="C20" i="55"/>
  <c r="C21" i="55"/>
  <c r="C27" i="55"/>
  <c r="C13" i="55"/>
  <c r="C6" i="55"/>
  <c r="C22" i="55"/>
  <c r="C15" i="55"/>
  <c r="G14" i="55"/>
  <c r="G23" i="55"/>
  <c r="G33" i="55"/>
  <c r="G8" i="55"/>
  <c r="G17" i="55"/>
  <c r="G16" i="55"/>
  <c r="G30" i="55"/>
  <c r="G11" i="55"/>
  <c r="G18" i="55"/>
  <c r="G24" i="55"/>
  <c r="G31" i="55"/>
  <c r="G9" i="55"/>
  <c r="G10" i="55"/>
  <c r="G19" i="55"/>
  <c r="G25" i="55"/>
  <c r="G34" i="55"/>
  <c r="G5" i="55"/>
  <c r="G6" i="55"/>
  <c r="G20" i="55"/>
  <c r="G26" i="55"/>
  <c r="G32" i="55"/>
  <c r="G12" i="55"/>
  <c r="G21" i="55"/>
  <c r="G27" i="55"/>
  <c r="G7" i="55"/>
  <c r="G13" i="55"/>
  <c r="G22" i="55"/>
  <c r="G15" i="55"/>
  <c r="G29" i="55"/>
  <c r="G4" i="55"/>
  <c r="G3" i="55"/>
  <c r="G28" i="55"/>
  <c r="F14" i="55"/>
  <c r="F20" i="55"/>
  <c r="F24" i="55"/>
  <c r="F30" i="55"/>
  <c r="F31" i="55"/>
  <c r="F3" i="55"/>
  <c r="F26" i="55"/>
  <c r="F15" i="55"/>
  <c r="F32" i="55"/>
  <c r="F9" i="55"/>
  <c r="F21" i="55"/>
  <c r="F10" i="55"/>
  <c r="F18" i="55"/>
  <c r="F16" i="55"/>
  <c r="F17" i="55"/>
  <c r="F22" i="55"/>
  <c r="F25" i="55"/>
  <c r="F12" i="55"/>
  <c r="F11" i="55"/>
  <c r="F7" i="55"/>
  <c r="F4" i="55"/>
  <c r="F23" i="55"/>
  <c r="F6" i="55"/>
  <c r="F19" i="55"/>
  <c r="F13" i="55"/>
  <c r="F27" i="55"/>
  <c r="F34" i="55"/>
  <c r="F29" i="55"/>
  <c r="F33" i="55"/>
  <c r="F28" i="55"/>
  <c r="F5" i="55"/>
  <c r="F8" i="55"/>
  <c r="I20" i="55"/>
  <c r="J18" i="55"/>
  <c r="L17" i="55"/>
  <c r="N9" i="55"/>
  <c r="J11" i="55"/>
  <c r="L8" i="55"/>
  <c r="K11" i="55"/>
  <c r="O19" i="55"/>
  <c r="E19" i="55"/>
  <c r="I18" i="55"/>
  <c r="K17" i="55"/>
  <c r="M9" i="55"/>
  <c r="O14" i="55"/>
  <c r="E14" i="55"/>
  <c r="I11" i="55"/>
  <c r="K8" i="55"/>
  <c r="I14" i="55"/>
  <c r="N19" i="55"/>
  <c r="D19" i="55"/>
  <c r="J17" i="55"/>
  <c r="L9" i="55"/>
  <c r="N14" i="55"/>
  <c r="D14" i="55"/>
  <c r="J8" i="55"/>
  <c r="E9" i="55"/>
  <c r="M19" i="55"/>
  <c r="O18" i="55"/>
  <c r="E18" i="55"/>
  <c r="I17" i="55"/>
  <c r="K9" i="55"/>
  <c r="M14" i="55"/>
  <c r="O11" i="55"/>
  <c r="E11" i="55"/>
  <c r="I8" i="55"/>
  <c r="M17" i="55"/>
  <c r="L19" i="55"/>
  <c r="N18" i="55"/>
  <c r="D18" i="55"/>
  <c r="J9" i="55"/>
  <c r="L14" i="55"/>
  <c r="N11" i="55"/>
  <c r="D11" i="55"/>
  <c r="O9" i="55"/>
  <c r="K19" i="55"/>
  <c r="M18" i="55"/>
  <c r="O17" i="55"/>
  <c r="E17" i="55"/>
  <c r="I9" i="55"/>
  <c r="K14" i="55"/>
  <c r="M11" i="55"/>
  <c r="O8" i="55"/>
  <c r="E8" i="55"/>
  <c r="K18" i="55"/>
  <c r="J19" i="55"/>
  <c r="L18" i="55"/>
  <c r="N17" i="55"/>
  <c r="D17" i="55"/>
  <c r="J14" i="55"/>
  <c r="L11" i="55"/>
  <c r="N8" i="55"/>
  <c r="D8" i="55"/>
  <c r="I19" i="55"/>
  <c r="M8" i="55"/>
  <c r="F4" i="7"/>
  <c r="F12" i="7"/>
  <c r="F20" i="7"/>
  <c r="F27" i="7"/>
  <c r="F35" i="7"/>
  <c r="E27" i="7"/>
  <c r="E28" i="7"/>
  <c r="E35" i="7"/>
  <c r="F5" i="7"/>
  <c r="F13" i="7"/>
  <c r="F21" i="7"/>
  <c r="F28" i="7"/>
  <c r="F36" i="7"/>
  <c r="E32" i="7"/>
  <c r="E40" i="7"/>
  <c r="F34" i="7"/>
  <c r="F6" i="7"/>
  <c r="F14" i="7"/>
  <c r="F22" i="7"/>
  <c r="F29" i="7"/>
  <c r="F37" i="7"/>
  <c r="E31" i="7"/>
  <c r="E37" i="7"/>
  <c r="E41" i="7"/>
  <c r="F11" i="7"/>
  <c r="E38" i="7"/>
  <c r="F7" i="7"/>
  <c r="F15" i="7"/>
  <c r="F23" i="7"/>
  <c r="F30" i="7"/>
  <c r="F38" i="7"/>
  <c r="E34" i="7"/>
  <c r="F33" i="7"/>
  <c r="F3" i="7"/>
  <c r="F8" i="7"/>
  <c r="F16" i="7"/>
  <c r="F24" i="7"/>
  <c r="F31" i="7"/>
  <c r="F39" i="7"/>
  <c r="E39" i="7"/>
  <c r="E33" i="7"/>
  <c r="F9" i="7"/>
  <c r="F17" i="7"/>
  <c r="F25" i="7"/>
  <c r="F32" i="7"/>
  <c r="F40" i="7"/>
  <c r="E29" i="7"/>
  <c r="E30" i="7"/>
  <c r="E36" i="7"/>
  <c r="F10" i="7"/>
  <c r="F18" i="7"/>
  <c r="F26" i="7"/>
  <c r="F41" i="7"/>
  <c r="F19" i="7"/>
  <c r="E11" i="8"/>
  <c r="E19" i="8"/>
  <c r="E20" i="8"/>
  <c r="E21" i="8"/>
  <c r="E24" i="8"/>
  <c r="E22" i="8"/>
  <c r="E28" i="55"/>
  <c r="E10" i="55"/>
  <c r="E15" i="55"/>
  <c r="E32" i="55"/>
  <c r="E5" i="55"/>
  <c r="E4" i="55"/>
  <c r="M12" i="55"/>
  <c r="K15" i="55"/>
  <c r="N23" i="55"/>
  <c r="L24" i="55"/>
  <c r="O10" i="55"/>
  <c r="M26" i="55"/>
  <c r="K28" i="55"/>
  <c r="J24" i="55"/>
  <c r="I16" i="55"/>
  <c r="L15" i="55"/>
  <c r="O23" i="55"/>
  <c r="M24" i="55"/>
  <c r="J10" i="55"/>
  <c r="I24" i="55"/>
  <c r="D28" i="55"/>
  <c r="D10" i="55"/>
  <c r="D15" i="55"/>
  <c r="D32" i="55"/>
  <c r="D5" i="55"/>
  <c r="D4" i="55"/>
  <c r="N12" i="55"/>
  <c r="E27" i="55"/>
  <c r="E24" i="55"/>
  <c r="E13" i="55"/>
  <c r="E31" i="55"/>
  <c r="E29" i="55"/>
  <c r="E22" i="55"/>
  <c r="E6" i="55"/>
  <c r="O12" i="55"/>
  <c r="M15" i="55"/>
  <c r="K16" i="55"/>
  <c r="N24" i="55"/>
  <c r="L25" i="55"/>
  <c r="O26" i="55"/>
  <c r="M28" i="55"/>
  <c r="J25" i="55"/>
  <c r="I10" i="55"/>
  <c r="D33" i="55"/>
  <c r="D27" i="55"/>
  <c r="D24" i="55"/>
  <c r="D13" i="55"/>
  <c r="D31" i="55"/>
  <c r="D29" i="55"/>
  <c r="D22" i="55"/>
  <c r="D6" i="55"/>
  <c r="K13" i="55"/>
  <c r="N15" i="55"/>
  <c r="L16" i="55"/>
  <c r="O24" i="55"/>
  <c r="M25" i="55"/>
  <c r="K27" i="55"/>
  <c r="N28" i="55"/>
  <c r="J12" i="55"/>
  <c r="J26" i="55"/>
  <c r="I25" i="55"/>
  <c r="D34" i="55"/>
  <c r="O13" i="55"/>
  <c r="L26" i="55"/>
  <c r="I23" i="55"/>
  <c r="N26" i="55"/>
  <c r="E26" i="55"/>
  <c r="E16" i="55"/>
  <c r="E12" i="55"/>
  <c r="E30" i="55"/>
  <c r="E21" i="55"/>
  <c r="E7" i="55"/>
  <c r="L13" i="55"/>
  <c r="O15" i="55"/>
  <c r="M16" i="55"/>
  <c r="K10" i="55"/>
  <c r="N25" i="55"/>
  <c r="L27" i="55"/>
  <c r="O28" i="55"/>
  <c r="J13" i="55"/>
  <c r="J27" i="55"/>
  <c r="I12" i="55"/>
  <c r="I26" i="55"/>
  <c r="D25" i="55"/>
  <c r="K24" i="55"/>
  <c r="J16" i="55"/>
  <c r="K25" i="55"/>
  <c r="D26" i="55"/>
  <c r="D16" i="55"/>
  <c r="D12" i="55"/>
  <c r="D30" i="55"/>
  <c r="D21" i="55"/>
  <c r="D7" i="55"/>
  <c r="M13" i="55"/>
  <c r="K23" i="55"/>
  <c r="N16" i="55"/>
  <c r="L10" i="55"/>
  <c r="O25" i="55"/>
  <c r="M27" i="55"/>
  <c r="J15" i="55"/>
  <c r="J28" i="55"/>
  <c r="I13" i="55"/>
  <c r="I27" i="55"/>
  <c r="D3" i="55"/>
  <c r="L12" i="55"/>
  <c r="N10" i="55"/>
  <c r="E25" i="55"/>
  <c r="E23" i="55"/>
  <c r="E33" i="55"/>
  <c r="E34" i="55"/>
  <c r="E20" i="55"/>
  <c r="E3" i="55"/>
  <c r="K12" i="55"/>
  <c r="N13" i="55"/>
  <c r="L23" i="55"/>
  <c r="O16" i="55"/>
  <c r="M10" i="55"/>
  <c r="K26" i="55"/>
  <c r="N27" i="55"/>
  <c r="J23" i="55"/>
  <c r="I15" i="55"/>
  <c r="I28" i="55"/>
  <c r="D23" i="55"/>
  <c r="D20" i="55"/>
  <c r="M23" i="55"/>
  <c r="O27" i="55"/>
  <c r="L28" i="55"/>
  <c r="E10" i="8"/>
  <c r="E12" i="8"/>
  <c r="E8" i="8"/>
  <c r="E15" i="8"/>
  <c r="E16" i="8"/>
  <c r="E4" i="8"/>
  <c r="E17" i="8"/>
  <c r="E6" i="8"/>
  <c r="E18" i="8"/>
  <c r="E7" i="8"/>
  <c r="E23" i="8"/>
  <c r="E13" i="8"/>
  <c r="E9" i="8"/>
  <c r="E14" i="8"/>
  <c r="E3" i="8"/>
  <c r="N32" i="55"/>
  <c r="K30" i="55"/>
  <c r="K20" i="55"/>
  <c r="J22" i="55"/>
  <c r="E3" i="7"/>
  <c r="N21" i="55"/>
  <c r="K5" i="55"/>
  <c r="K31" i="55"/>
  <c r="G26" i="41"/>
  <c r="F23" i="41"/>
  <c r="C22" i="41"/>
  <c r="G18" i="41"/>
  <c r="F15" i="41"/>
  <c r="C14" i="41"/>
  <c r="G5" i="41"/>
  <c r="F7" i="41"/>
  <c r="F26" i="41"/>
  <c r="C25" i="41"/>
  <c r="G21" i="41"/>
  <c r="F18" i="41"/>
  <c r="C17" i="41"/>
  <c r="G9" i="41"/>
  <c r="F5" i="41"/>
  <c r="C11" i="41"/>
  <c r="G6" i="41"/>
  <c r="E24" i="7"/>
  <c r="E17" i="7"/>
  <c r="E13" i="7"/>
  <c r="E9" i="7"/>
  <c r="E4" i="7"/>
  <c r="I31" i="55"/>
  <c r="M30" i="55"/>
  <c r="I33" i="55"/>
  <c r="M32" i="55"/>
  <c r="I29" i="55"/>
  <c r="I34" i="55"/>
  <c r="M5" i="55"/>
  <c r="I22" i="55"/>
  <c r="M21" i="55"/>
  <c r="M4" i="55"/>
  <c r="I6" i="55"/>
  <c r="M7" i="55"/>
  <c r="I3" i="55"/>
  <c r="G24" i="41"/>
  <c r="F21" i="41"/>
  <c r="C20" i="41"/>
  <c r="G16" i="41"/>
  <c r="F9" i="41"/>
  <c r="C13" i="41"/>
  <c r="G10" i="41"/>
  <c r="F6" i="41"/>
  <c r="C8" i="41"/>
  <c r="E20" i="7"/>
  <c r="E5" i="7"/>
  <c r="O31" i="55"/>
  <c r="L30" i="55"/>
  <c r="O33" i="55"/>
  <c r="L32" i="55"/>
  <c r="O29" i="55"/>
  <c r="O34" i="55"/>
  <c r="L5" i="55"/>
  <c r="O22" i="55"/>
  <c r="L21" i="55"/>
  <c r="O20" i="55"/>
  <c r="L4" i="55"/>
  <c r="O6" i="55"/>
  <c r="L7" i="55"/>
  <c r="O3" i="55"/>
  <c r="G27" i="41"/>
  <c r="F24" i="41"/>
  <c r="C23" i="41"/>
  <c r="G19" i="41"/>
  <c r="F16" i="41"/>
  <c r="C15" i="41"/>
  <c r="G12" i="41"/>
  <c r="F10" i="41"/>
  <c r="C7" i="41"/>
  <c r="G3" i="41"/>
  <c r="E23" i="7"/>
  <c r="E16" i="7"/>
  <c r="E12" i="7"/>
  <c r="E8" i="7"/>
  <c r="E7" i="7"/>
  <c r="E6" i="7"/>
  <c r="F27" i="41"/>
  <c r="C26" i="41"/>
  <c r="G22" i="41"/>
  <c r="F19" i="41"/>
  <c r="C18" i="41"/>
  <c r="G14" i="41"/>
  <c r="F12" i="41"/>
  <c r="C5" i="41"/>
  <c r="F3" i="41"/>
  <c r="E19" i="7"/>
  <c r="N31" i="55"/>
  <c r="J30" i="55"/>
  <c r="N33" i="55"/>
  <c r="J32" i="55"/>
  <c r="N29" i="55"/>
  <c r="N34" i="55"/>
  <c r="J5" i="55"/>
  <c r="N22" i="55"/>
  <c r="J21" i="55"/>
  <c r="N20" i="55"/>
  <c r="J4" i="55"/>
  <c r="N6" i="55"/>
  <c r="J7" i="55"/>
  <c r="N3" i="55"/>
  <c r="G25" i="41"/>
  <c r="F22" i="41"/>
  <c r="C21" i="41"/>
  <c r="G17" i="41"/>
  <c r="F14" i="41"/>
  <c r="C9" i="41"/>
  <c r="G11" i="41"/>
  <c r="C6" i="41"/>
  <c r="E26" i="7"/>
  <c r="E22" i="7"/>
  <c r="E15" i="7"/>
  <c r="E11" i="7"/>
  <c r="M31" i="55"/>
  <c r="I30" i="55"/>
  <c r="M33" i="55"/>
  <c r="I32" i="55"/>
  <c r="M29" i="55"/>
  <c r="M34" i="55"/>
  <c r="I5" i="55"/>
  <c r="M22" i="55"/>
  <c r="I21" i="55"/>
  <c r="M20" i="55"/>
  <c r="I4" i="55"/>
  <c r="M6" i="55"/>
  <c r="M3" i="55"/>
  <c r="L31" i="55"/>
  <c r="O30" i="55"/>
  <c r="L33" i="55"/>
  <c r="O32" i="55"/>
  <c r="L29" i="55"/>
  <c r="L34" i="55"/>
  <c r="O5" i="55"/>
  <c r="L22" i="55"/>
  <c r="O21" i="55"/>
  <c r="L20" i="55"/>
  <c r="O4" i="55"/>
  <c r="L6" i="55"/>
  <c r="F25" i="41"/>
  <c r="C24" i="41"/>
  <c r="G20" i="41"/>
  <c r="F17" i="41"/>
  <c r="C16" i="41"/>
  <c r="G13" i="41"/>
  <c r="F11" i="41"/>
  <c r="C10" i="41"/>
  <c r="G8" i="41"/>
  <c r="C27" i="41"/>
  <c r="G23" i="41"/>
  <c r="F20" i="41"/>
  <c r="C19" i="41"/>
  <c r="G15" i="41"/>
  <c r="F13" i="41"/>
  <c r="C12" i="41"/>
  <c r="G7" i="41"/>
  <c r="F8" i="41"/>
  <c r="C3" i="41"/>
  <c r="E25" i="7"/>
  <c r="E21" i="7"/>
  <c r="E18" i="7"/>
  <c r="E14" i="7"/>
  <c r="E10" i="7"/>
  <c r="K7" i="55"/>
  <c r="K22" i="55"/>
  <c r="J34" i="55"/>
  <c r="N30" i="55"/>
  <c r="J3" i="55"/>
  <c r="K34" i="55"/>
  <c r="J29" i="55"/>
  <c r="K3" i="55"/>
  <c r="K4" i="55"/>
  <c r="K29" i="55"/>
  <c r="J33" i="55"/>
  <c r="L3" i="55"/>
  <c r="O7" i="55"/>
  <c r="N4" i="55"/>
  <c r="K21" i="55"/>
  <c r="K33" i="55"/>
  <c r="J31" i="55"/>
  <c r="J6" i="55"/>
  <c r="N5" i="55"/>
  <c r="N7" i="55"/>
  <c r="K6" i="55"/>
  <c r="J20" i="55"/>
  <c r="K32" i="55"/>
  <c r="C2" i="41" l="1"/>
  <c r="G2" i="41"/>
  <c r="E2" i="41"/>
  <c r="D2" i="41"/>
  <c r="F2" i="41"/>
  <c r="H9" i="55"/>
  <c r="H19" i="55"/>
  <c r="H8" i="55"/>
  <c r="H18" i="55"/>
  <c r="H14" i="55"/>
  <c r="H17" i="55"/>
  <c r="H11" i="55"/>
  <c r="H16" i="55"/>
  <c r="H25" i="55"/>
  <c r="H24" i="55"/>
  <c r="H26" i="55"/>
  <c r="H10" i="55"/>
  <c r="H28" i="55"/>
  <c r="H27" i="55"/>
  <c r="H12" i="55"/>
  <c r="H23" i="55"/>
  <c r="H15" i="55"/>
  <c r="H13" i="55"/>
  <c r="T2" i="6"/>
  <c r="E2" i="8"/>
  <c r="E2" i="7"/>
  <c r="H21" i="55"/>
  <c r="F2" i="7"/>
  <c r="H22" i="55"/>
  <c r="H33" i="55"/>
  <c r="H6" i="55"/>
  <c r="H32" i="55"/>
  <c r="H34" i="55"/>
  <c r="H31" i="55"/>
  <c r="H7" i="55"/>
  <c r="H5" i="55"/>
  <c r="H20" i="55"/>
  <c r="H29" i="55"/>
  <c r="H30" i="55"/>
  <c r="H4" i="55"/>
  <c r="H3" i="55"/>
</calcChain>
</file>

<file path=xl/sharedStrings.xml><?xml version="1.0" encoding="utf-8"?>
<sst xmlns="http://schemas.openxmlformats.org/spreadsheetml/2006/main" count="1949" uniqueCount="528">
  <si>
    <t>Site ID</t>
  </si>
  <si>
    <t xml:space="preserve">Site Name </t>
  </si>
  <si>
    <t>Operation Region</t>
  </si>
  <si>
    <t>Team</t>
  </si>
  <si>
    <t>Tx plan</t>
  </si>
  <si>
    <t>SE</t>
  </si>
  <si>
    <t>Western</t>
  </si>
  <si>
    <t>OFN</t>
  </si>
  <si>
    <t>MW-HYB</t>
  </si>
  <si>
    <t>Chanaka</t>
  </si>
  <si>
    <t>WiBAS</t>
  </si>
  <si>
    <t>Central</t>
  </si>
  <si>
    <t>Lucky</t>
  </si>
  <si>
    <t>Link Removal Status</t>
  </si>
  <si>
    <t>Removed</t>
  </si>
  <si>
    <t>Site Status</t>
  </si>
  <si>
    <t>Remarks</t>
  </si>
  <si>
    <t>On Hold</t>
  </si>
  <si>
    <t>Site Name</t>
  </si>
  <si>
    <t>Lat</t>
  </si>
  <si>
    <t>Long</t>
  </si>
  <si>
    <t>Technology</t>
  </si>
  <si>
    <t>Hop Reference</t>
  </si>
  <si>
    <t>Mapping Near End</t>
  </si>
  <si>
    <t>Mapping Far End</t>
  </si>
  <si>
    <t>Site  ID</t>
  </si>
  <si>
    <t>WO ID</t>
  </si>
  <si>
    <t>Model [Vendor, Product &amp; Model]</t>
  </si>
  <si>
    <t>Link Config</t>
  </si>
  <si>
    <t>Capacity /Mbps</t>
  </si>
  <si>
    <t>Channel Bandwidth / MHz</t>
  </si>
  <si>
    <t>Polarization</t>
  </si>
  <si>
    <t>Hop Distance / km</t>
  </si>
  <si>
    <t>Tx Power/ dBm</t>
  </si>
  <si>
    <t>RSL</t>
  </si>
  <si>
    <t>Near End Site ID</t>
  </si>
  <si>
    <t>Near End Site Name</t>
  </si>
  <si>
    <t>Near End Latitude</t>
  </si>
  <si>
    <t>Near End Longitude</t>
  </si>
  <si>
    <t>Near End Elevation</t>
  </si>
  <si>
    <t>Near End Tx Frequency 1</t>
  </si>
  <si>
    <t>Near End Antenna Diameter / m</t>
  </si>
  <si>
    <t>Near End Azimuth</t>
  </si>
  <si>
    <t>Near End Antenna Height / m</t>
  </si>
  <si>
    <t>Near End NE Name</t>
  </si>
  <si>
    <t>Far End Site ID</t>
  </si>
  <si>
    <t>Far End Site Name</t>
  </si>
  <si>
    <t>Far End Latitude</t>
  </si>
  <si>
    <t>Far End Longitude</t>
  </si>
  <si>
    <t>Far End Elevation</t>
  </si>
  <si>
    <t>Far End Tx Frequency 1</t>
  </si>
  <si>
    <t>Far End Antenna Diameter / m</t>
  </si>
  <si>
    <t>Far End Azimuth</t>
  </si>
  <si>
    <t>Far End Antenna Height / m</t>
  </si>
  <si>
    <t>Far End NE Name</t>
  </si>
  <si>
    <t>Gateway IP</t>
  </si>
  <si>
    <t>DCN IP</t>
  </si>
  <si>
    <t>Backhaul Router</t>
  </si>
  <si>
    <t>Backhaul Port</t>
  </si>
  <si>
    <t>1+0</t>
  </si>
  <si>
    <t>V</t>
  </si>
  <si>
    <t>Huawei</t>
  </si>
  <si>
    <t>RRU5909</t>
  </si>
  <si>
    <t>Kurunegala</t>
  </si>
  <si>
    <t>DAP Officer</t>
  </si>
  <si>
    <t>PAT Confirmation</t>
  </si>
  <si>
    <t>UAT DOC</t>
  </si>
  <si>
    <t>NETECO Confirmation</t>
  </si>
  <si>
    <t>Handover to OMCR</t>
  </si>
  <si>
    <t>Link Acceptance</t>
  </si>
  <si>
    <t>Material Collection Status</t>
  </si>
  <si>
    <t>Site  Name</t>
  </si>
  <si>
    <t>MW Link Size</t>
  </si>
  <si>
    <t>0.6m</t>
  </si>
  <si>
    <t>FTK Vendor</t>
  </si>
  <si>
    <t>Vendor</t>
  </si>
  <si>
    <t>N/A</t>
  </si>
  <si>
    <t>Pending</t>
  </si>
  <si>
    <t>Tx WO</t>
  </si>
  <si>
    <t>Removed MW Location</t>
  </si>
  <si>
    <t>Installation Planned Date</t>
  </si>
  <si>
    <t>Installation End Date</t>
  </si>
  <si>
    <t>Installation Start Date</t>
  </si>
  <si>
    <t>Commissioned Date</t>
  </si>
  <si>
    <t>Site Height (m)</t>
  </si>
  <si>
    <t>GE0/2/4</t>
  </si>
  <si>
    <t>Asanka</t>
  </si>
  <si>
    <t>Ericsson</t>
  </si>
  <si>
    <t>0.3m</t>
  </si>
  <si>
    <t>1.2m</t>
  </si>
  <si>
    <t>Extention Brackets OK</t>
  </si>
  <si>
    <t>Wi-Bas</t>
  </si>
  <si>
    <t>UNIMS</t>
  </si>
  <si>
    <t>Removed Date</t>
  </si>
  <si>
    <t>Received</t>
  </si>
  <si>
    <t>Antenna Bracket Status</t>
  </si>
  <si>
    <t>RRU Bracket Status</t>
  </si>
  <si>
    <t>MW Bracket Status</t>
  </si>
  <si>
    <t>BTS Mounting Pole</t>
  </si>
  <si>
    <t>Inhouse</t>
  </si>
  <si>
    <t>MW Vendor</t>
  </si>
  <si>
    <t>Rectifier Installation Status</t>
  </si>
  <si>
    <t>Commissioning Data Requested</t>
  </si>
  <si>
    <t>Athula</t>
  </si>
  <si>
    <t>License Requested</t>
  </si>
  <si>
    <t>Tx Pending</t>
  </si>
  <si>
    <t>Tx Status</t>
  </si>
  <si>
    <t>MW Link OK</t>
  </si>
  <si>
    <t>On Air Pending</t>
  </si>
  <si>
    <t>ANO</t>
  </si>
  <si>
    <t>Total Sites</t>
  </si>
  <si>
    <t>Other</t>
  </si>
  <si>
    <t>in progress</t>
  </si>
  <si>
    <t>blocked</t>
  </si>
  <si>
    <t>pending mob.</t>
  </si>
  <si>
    <t>tx blocked</t>
  </si>
  <si>
    <t>TOTAL</t>
  </si>
  <si>
    <t>On Air</t>
  </si>
  <si>
    <t>Batch</t>
  </si>
  <si>
    <t>allocated</t>
  </si>
  <si>
    <t>Southern</t>
  </si>
  <si>
    <t>Northern</t>
  </si>
  <si>
    <t>Sudarshan</t>
  </si>
  <si>
    <t>NMS Addition</t>
  </si>
  <si>
    <t>live</t>
  </si>
  <si>
    <t>nearly done</t>
  </si>
  <si>
    <t>comm. soon</t>
  </si>
  <si>
    <t>unclassified</t>
  </si>
  <si>
    <t>CM0234</t>
  </si>
  <si>
    <t>Waga</t>
  </si>
  <si>
    <t>GE0/2/1</t>
  </si>
  <si>
    <t>ODF Port</t>
  </si>
  <si>
    <t>28Mhz</t>
  </si>
  <si>
    <t>🗓 LP SITES DASHBOARD 🗼</t>
  </si>
  <si>
    <t>Team Performance Table</t>
  </si>
  <si>
    <t>Completion %</t>
  </si>
  <si>
    <t>Unassigned</t>
  </si>
  <si>
    <t>Eastern</t>
  </si>
  <si>
    <t>M0</t>
  </si>
  <si>
    <t>Hop Reference / Link ID</t>
  </si>
  <si>
    <t>UAT Updates</t>
  </si>
  <si>
    <t>Pending Issue</t>
  </si>
  <si>
    <t>ANO Acceptance</t>
  </si>
  <si>
    <t>Janaka</t>
  </si>
  <si>
    <t>Site Status Remarks</t>
  </si>
  <si>
    <t>Amal</t>
  </si>
  <si>
    <t>Sandun</t>
  </si>
  <si>
    <t>Commissioning Pending &amp; Installation Completed</t>
  </si>
  <si>
    <t>Partially Completed &amp; TE WIP</t>
  </si>
  <si>
    <t>On Air Plan Date</t>
  </si>
  <si>
    <t>Tooway Feedback</t>
  </si>
  <si>
    <t>PAT Plan Date</t>
  </si>
  <si>
    <t>PAT Done Date</t>
  </si>
  <si>
    <t>WO</t>
  </si>
  <si>
    <t>Material</t>
  </si>
  <si>
    <t>On Air &amp; Partially On Air</t>
  </si>
  <si>
    <t>Partially Completed
&amp; 
TE WIP</t>
  </si>
  <si>
    <t>Commissioning Pending
&amp; 
Installation Completed</t>
  </si>
  <si>
    <t>100°</t>
  </si>
  <si>
    <t>Pre AP Confirmation</t>
  </si>
  <si>
    <t>Post AP Confirmation</t>
  </si>
  <si>
    <t>0°</t>
  </si>
  <si>
    <t>10 Port</t>
  </si>
  <si>
    <t>KI5029</t>
  </si>
  <si>
    <t>Pallikuda_Lamp</t>
  </si>
  <si>
    <t>KI5032</t>
  </si>
  <si>
    <t>Pallikuda_North_Lamp</t>
  </si>
  <si>
    <t>MA5036</t>
  </si>
  <si>
    <t>Madukkarai_Lamp</t>
  </si>
  <si>
    <t>18G3068</t>
  </si>
  <si>
    <t>KI5034</t>
  </si>
  <si>
    <t>Piramanthanaru_Lamp</t>
  </si>
  <si>
    <t>ACE WH</t>
  </si>
  <si>
    <t>MT0205</t>
  </si>
  <si>
    <t>MT0044</t>
  </si>
  <si>
    <t>JA0042</t>
  </si>
  <si>
    <t>JA0257</t>
  </si>
  <si>
    <t>Antenna Type</t>
  </si>
  <si>
    <t>GE0/2/6</t>
  </si>
  <si>
    <t>MU5039</t>
  </si>
  <si>
    <t>MU5051</t>
  </si>
  <si>
    <t>MR5049</t>
  </si>
  <si>
    <t>MU5054</t>
  </si>
  <si>
    <t>HA5039</t>
  </si>
  <si>
    <t>BD5071</t>
  </si>
  <si>
    <t>2026_MBB_New Sites_Design_Batch_12</t>
  </si>
  <si>
    <t>Venavil_Lamp</t>
  </si>
  <si>
    <t>2026_MBB_New Sites_Design_Batch_13</t>
  </si>
  <si>
    <t>Iyankankulam_Lamp</t>
  </si>
  <si>
    <t>Midigama_Lamp</t>
  </si>
  <si>
    <t>Muththuaiyankaddu_Lamp</t>
  </si>
  <si>
    <t>Medaketiya_Lamp</t>
  </si>
  <si>
    <t>2026_MBB_New Sites_Design_Batch_10</t>
  </si>
  <si>
    <t>Meedumpitiya_Lamp</t>
  </si>
  <si>
    <t>To be Mobilized</t>
  </si>
  <si>
    <t>MW_2026_1995</t>
  </si>
  <si>
    <t>MW_2026_1994</t>
  </si>
  <si>
    <t>MW_2026_1966</t>
  </si>
  <si>
    <t>MW_2026_1992</t>
  </si>
  <si>
    <t>WIBAS_2026_1678</t>
  </si>
  <si>
    <t>MW Link Pending</t>
  </si>
  <si>
    <t>GA5095</t>
  </si>
  <si>
    <t>Yatramulla_Lamp</t>
  </si>
  <si>
    <t>KI5040</t>
  </si>
  <si>
    <t>Pulopalai_Lamp</t>
  </si>
  <si>
    <t>BA5024</t>
  </si>
  <si>
    <t>Batti_Karaveddi_East_Lamp</t>
  </si>
  <si>
    <t>CM5451</t>
  </si>
  <si>
    <t>Bellanwila_Park_Lamp</t>
  </si>
  <si>
    <t>CM5756</t>
  </si>
  <si>
    <t>Yasorapura_Rd_Lamp</t>
  </si>
  <si>
    <t>BA5051</t>
  </si>
  <si>
    <t>Mandur_Main_Rd_Lamp</t>
  </si>
  <si>
    <t>BA5081</t>
  </si>
  <si>
    <t>Mandur_Kaneshapuram_Lamp</t>
  </si>
  <si>
    <t>BA5086</t>
  </si>
  <si>
    <t>Vavunativu_Junc_Lamp</t>
  </si>
  <si>
    <t>VA5038</t>
  </si>
  <si>
    <t>Collage_Rd_Lamp</t>
  </si>
  <si>
    <t>CM5730</t>
  </si>
  <si>
    <t>Araliya_Gardens_Lamp</t>
  </si>
  <si>
    <t>PU5091</t>
  </si>
  <si>
    <t>Thabbowa_Juction_Lamp</t>
  </si>
  <si>
    <t>MR5011</t>
  </si>
  <si>
    <t xml:space="preserve">Batawala_Lamp </t>
  </si>
  <si>
    <t>CM5671</t>
  </si>
  <si>
    <t>Thotupala_Rd_Lamp</t>
  </si>
  <si>
    <t>CM5724</t>
  </si>
  <si>
    <t>Angampitiya_Lamp</t>
  </si>
  <si>
    <t>2026_MBB_New Sites_Design_Batch_14</t>
  </si>
  <si>
    <t>MW_2026_1713</t>
  </si>
  <si>
    <t>WIBAS_2026_1651</t>
  </si>
  <si>
    <t>180°</t>
  </si>
  <si>
    <t>Manoj</t>
  </si>
  <si>
    <t>18G3917</t>
  </si>
  <si>
    <t>Madukkarai_Lamp-MA5036-18G3917-HY</t>
  </si>
  <si>
    <t>MA0035</t>
  </si>
  <si>
    <t>Veppankulam</t>
  </si>
  <si>
    <t>Veppankulam-MA0035-18G3917-HY</t>
  </si>
  <si>
    <t>10.196.55.222</t>
  </si>
  <si>
    <t>10.196.55.221</t>
  </si>
  <si>
    <t>10.196.55.218</t>
  </si>
  <si>
    <t>10.196.55.217/30 Inband</t>
  </si>
  <si>
    <t>Punnalaikattuwan Dialog</t>
  </si>
  <si>
    <t>Siruppiddy_East</t>
  </si>
  <si>
    <t>Depot</t>
  </si>
  <si>
    <t>Kilinochchi</t>
  </si>
  <si>
    <t>18G3920</t>
  </si>
  <si>
    <t>Pallikuda_Lamp-KI5029-18G3920-HY</t>
  </si>
  <si>
    <t>KI0023</t>
  </si>
  <si>
    <t>Pooneryne_DTL</t>
  </si>
  <si>
    <t>Pooneryne_DTL-KI0023-18G3920-HY</t>
  </si>
  <si>
    <t>10.196.225.86</t>
  </si>
  <si>
    <t>10.196.225.82</t>
  </si>
  <si>
    <t>10.196.225.85</t>
  </si>
  <si>
    <t>10.196.225.81/30 Inband</t>
  </si>
  <si>
    <t>POONERYN-CETR-ACC16-R2-N4-01</t>
  </si>
  <si>
    <t>GE0/3/20</t>
  </si>
  <si>
    <t>18G3921</t>
  </si>
  <si>
    <t>Pallikuda_North_Lamp-KI5032-18G3921-HY</t>
  </si>
  <si>
    <t>Pooneryne_DTL-KI0023-18G3921-HY</t>
  </si>
  <si>
    <t>10.196.39.22</t>
  </si>
  <si>
    <t>10.196.39.18</t>
  </si>
  <si>
    <t>10.196.39.21</t>
  </si>
  <si>
    <t>10.196.39.17/30 Inband</t>
  </si>
  <si>
    <t>NE - 1
(FE)</t>
  </si>
  <si>
    <t>NE - 2
(NE)</t>
  </si>
  <si>
    <t>GE0/3/17</t>
  </si>
  <si>
    <t>(Link Avaialable with Green)
Link already Used to another Site</t>
  </si>
  <si>
    <t>Koombiyangoda_North</t>
  </si>
  <si>
    <t>Warakamure Airtel</t>
  </si>
  <si>
    <t>18G3922</t>
  </si>
  <si>
    <t>Muththuaiyankaddu_Lamp-MU5054-18G3922-HY</t>
  </si>
  <si>
    <t>MU0052</t>
  </si>
  <si>
    <t>Muthiankattu</t>
  </si>
  <si>
    <t>Muthiankattu-MU0052-18G3922-HY</t>
  </si>
  <si>
    <t>18G3694</t>
  </si>
  <si>
    <t>MA5035</t>
  </si>
  <si>
    <t>VA0041</t>
  </si>
  <si>
    <t>10.196.205.70</t>
  </si>
  <si>
    <t>10.196.205.69</t>
  </si>
  <si>
    <t>10.196.205.65/30 Inband</t>
  </si>
  <si>
    <t>10.196.205.66</t>
  </si>
  <si>
    <t>950b</t>
  </si>
  <si>
    <t>Periyakunchikulam_Lamp</t>
  </si>
  <si>
    <t>Parayanaikulam Hutch</t>
  </si>
  <si>
    <t>10G1017</t>
  </si>
  <si>
    <t>MU5041</t>
  </si>
  <si>
    <t>MU0037</t>
  </si>
  <si>
    <t>Panikkankulam_1_Lamp</t>
  </si>
  <si>
    <t>Padinaddampore Dialog</t>
  </si>
  <si>
    <t>10.208.25.82/29</t>
  </si>
  <si>
    <t>10.208.25.81/29</t>
  </si>
  <si>
    <t>10G1549</t>
  </si>
  <si>
    <t>GA5093</t>
  </si>
  <si>
    <t>Thalpe_East_Lamp</t>
  </si>
  <si>
    <t>Link Status</t>
  </si>
  <si>
    <t>SITE DEPENDENCY TRACKER</t>
  </si>
  <si>
    <t>MW (Tx / Link / WO)</t>
  </si>
  <si>
    <t>Brackets – Antenna</t>
  </si>
  <si>
    <t>Brackets – BTS Pole</t>
  </si>
  <si>
    <t>Brackets – RRU</t>
  </si>
  <si>
    <t>Brackets – MW</t>
  </si>
  <si>
    <t>Ready?</t>
  </si>
  <si>
    <t>Remarks (manual)</t>
  </si>
  <si>
    <t>KU5180</t>
  </si>
  <si>
    <t>Baragedara_Lamp</t>
  </si>
  <si>
    <t>PU5093</t>
  </si>
  <si>
    <t>Marawila_Hospital_Lamp</t>
  </si>
  <si>
    <t>JA5177</t>
  </si>
  <si>
    <t>Manatkadu_Lamp</t>
  </si>
  <si>
    <t>JA5107</t>
  </si>
  <si>
    <t>Avarankal_Lamp</t>
  </si>
  <si>
    <t>KU5071</t>
  </si>
  <si>
    <t>Thalgodapitiya_Junction_Lamp</t>
  </si>
  <si>
    <t>Weligama_Tourism_Cluster_1_Lamp</t>
  </si>
  <si>
    <t>GA5098</t>
  </si>
  <si>
    <t>Maha Ambalangoda_Lamp</t>
  </si>
  <si>
    <t>JA5099</t>
  </si>
  <si>
    <t>Araly_North_Lamp</t>
  </si>
  <si>
    <t>Design Pending</t>
  </si>
  <si>
    <t>MW_2026_2011</t>
  </si>
  <si>
    <t>WIBAS_2026_1677</t>
  </si>
  <si>
    <t>MW_2026_1877</t>
  </si>
  <si>
    <t>MW_2026_1991</t>
  </si>
  <si>
    <t>WIBAS_2026_1691</t>
  </si>
  <si>
    <t>ACE WH Pending</t>
  </si>
  <si>
    <t>MW_2026_1988</t>
  </si>
  <si>
    <t>MW_2026_2030</t>
  </si>
  <si>
    <t>MW_2026_2111</t>
  </si>
  <si>
    <t>MW_2026_2110</t>
  </si>
  <si>
    <t>MW_2026_2094</t>
  </si>
  <si>
    <t>MW_2026_2095</t>
  </si>
  <si>
    <t>MA5035
0.6m Antenna - 1
18G ODU - 1
1.25G TX SFP - 2
RTN 905 IDU - 1</t>
  </si>
  <si>
    <t>KU0121</t>
  </si>
  <si>
    <t>KU0260</t>
  </si>
  <si>
    <t>18G2006</t>
  </si>
  <si>
    <t>23G593</t>
  </si>
  <si>
    <t>JA0011</t>
  </si>
  <si>
    <t>JA0090</t>
  </si>
  <si>
    <t>Kandarodai Dialog [Kadurugoda]</t>
  </si>
  <si>
    <t>Chunnakam Dialog</t>
  </si>
  <si>
    <t>Panaliya</t>
  </si>
  <si>
    <t>Hondella</t>
  </si>
  <si>
    <t>Hold by E.co</t>
  </si>
  <si>
    <t>Partially, No BBUs</t>
  </si>
  <si>
    <t>Batticaloa</t>
  </si>
  <si>
    <t>Batti-BA5024-10G1547-PtP353V</t>
  </si>
  <si>
    <t>10G1454</t>
  </si>
  <si>
    <t>CM5364</t>
  </si>
  <si>
    <t>10.208.25.66/29</t>
  </si>
  <si>
    <t>10.208.25.65/29</t>
  </si>
  <si>
    <t>10.208.25.64/29</t>
  </si>
  <si>
    <t>THALAYADI-ESTR-ACC06-R9-N6-01</t>
  </si>
  <si>
    <t>23G2835</t>
  </si>
  <si>
    <t>KA0219</t>
  </si>
  <si>
    <t>KA0496</t>
  </si>
  <si>
    <t>23G3461</t>
  </si>
  <si>
    <t>Thalgaspitiya_Town_Lamp</t>
  </si>
  <si>
    <t>Thalgaspitiya_Town_Lamp-KU5071-23G3461-HY</t>
  </si>
  <si>
    <t>KU0144</t>
  </si>
  <si>
    <t>Welagedara</t>
  </si>
  <si>
    <t>Welagedara-KU0144-23G3461-HY</t>
  </si>
  <si>
    <t>10.196.11.94</t>
  </si>
  <si>
    <t>10.196.11.90</t>
  </si>
  <si>
    <t>10.196.11.93</t>
  </si>
  <si>
    <t>10.196.11.89/30 Inband</t>
  </si>
  <si>
    <t>WELAGEDARA-CETR-VLL</t>
  </si>
  <si>
    <t>23G3431</t>
  </si>
  <si>
    <t>Avarankal_Lamp-JA5107-23G3431-HY</t>
  </si>
  <si>
    <t>JA0191</t>
  </si>
  <si>
    <t>Achchuweli_Town</t>
  </si>
  <si>
    <t>Achchuweli_Town-JA0191-23G3431-HY</t>
  </si>
  <si>
    <t>23G2259</t>
  </si>
  <si>
    <t>AM0212</t>
  </si>
  <si>
    <t>AM0011</t>
  </si>
  <si>
    <t>10.196.17.158</t>
  </si>
  <si>
    <t>10.196.17.154</t>
  </si>
  <si>
    <t>10.196.17.157</t>
  </si>
  <si>
    <t>10.196.17.153/30 Inband</t>
  </si>
  <si>
    <t>ACHCHUWELI_TOWN-CETR-ACC18-R2-N2-01</t>
  </si>
  <si>
    <t>Kosgama South 2 Lamp</t>
  </si>
  <si>
    <t>Kalmunei_Madavan_Road</t>
  </si>
  <si>
    <t>Kalmunai Dialog</t>
  </si>
  <si>
    <t>Palle_Aludeniya</t>
  </si>
  <si>
    <t>Kotakedeniya</t>
  </si>
  <si>
    <t>GL900 Sec 01</t>
  </si>
  <si>
    <t>GL900 Sec 02</t>
  </si>
  <si>
    <t>GL900 Sec 03</t>
  </si>
  <si>
    <t>GL900 Sec 04</t>
  </si>
  <si>
    <t>L21 Sec 01</t>
  </si>
  <si>
    <t>L21 Sec 02</t>
  </si>
  <si>
    <t>L21 Sec 03</t>
  </si>
  <si>
    <t>L21 Sec 04</t>
  </si>
  <si>
    <t>L18 Sec 01</t>
  </si>
  <si>
    <t>L18 Sec 02</t>
  </si>
  <si>
    <t>L18 Sec 03</t>
  </si>
  <si>
    <t>L18 Sec 04</t>
  </si>
  <si>
    <t>RRU5910</t>
  </si>
  <si>
    <t>Share GL900 Sec 01 RRU</t>
  </si>
  <si>
    <t>Share GL900 Sec 03 RRU</t>
  </si>
  <si>
    <t>SXPWL4WH-16/18-65/65-IVT-R1_10P</t>
  </si>
  <si>
    <t>Antenna Sec 01</t>
  </si>
  <si>
    <t>Antenna Sec 02</t>
  </si>
  <si>
    <t>Antenna Sec 03</t>
  </si>
  <si>
    <t>Azimuth Sec 01</t>
  </si>
  <si>
    <t>M-Tilt Sec 01</t>
  </si>
  <si>
    <t>E-Tilt Sec 01</t>
  </si>
  <si>
    <t>Azimuth Sec 02</t>
  </si>
  <si>
    <t>M-Tilt Sec 02</t>
  </si>
  <si>
    <t>E-Tilt Sec 02</t>
  </si>
  <si>
    <t>Azimuth Sec 03</t>
  </si>
  <si>
    <t>M-Tilt Sec 03</t>
  </si>
  <si>
    <t>E-Tilt Sec 03</t>
  </si>
  <si>
    <t>Azimuth Sec 04</t>
  </si>
  <si>
    <t>M-Tilt Sec 04</t>
  </si>
  <si>
    <t>E-Tilt Sec 04</t>
  </si>
  <si>
    <t>Antenna Sec 04</t>
  </si>
  <si>
    <t>Share GL900 Sec 02 RRU</t>
  </si>
  <si>
    <t>TE Vendor</t>
  </si>
  <si>
    <t>Tx Plan</t>
  </si>
  <si>
    <t>MW_2026_2123</t>
  </si>
  <si>
    <t>OVERALL PROGRESS</t>
  </si>
  <si>
    <t>23G2496</t>
  </si>
  <si>
    <t>WO Status</t>
  </si>
  <si>
    <t>Wasantha</t>
  </si>
  <si>
    <t>18G2997(0.9|0.9)</t>
  </si>
  <si>
    <t>23G2161</t>
  </si>
  <si>
    <t>23G2684</t>
  </si>
  <si>
    <t>18G2980</t>
  </si>
  <si>
    <t>PU0027</t>
  </si>
  <si>
    <t>PU0222</t>
  </si>
  <si>
    <t>GM0026</t>
  </si>
  <si>
    <t>GM0197</t>
  </si>
  <si>
    <t>CM0209</t>
  </si>
  <si>
    <t>CM2303</t>
  </si>
  <si>
    <t>Mathusan</t>
  </si>
  <si>
    <t>Bishan</t>
  </si>
  <si>
    <t>Commission Plan Date</t>
  </si>
  <si>
    <t>WO Acceptance</t>
  </si>
  <si>
    <t>Yes</t>
  </si>
  <si>
    <t>TE WIP</t>
  </si>
  <si>
    <t>280°</t>
  </si>
  <si>
    <t>Unims</t>
  </si>
  <si>
    <t>No ODU at FE</t>
  </si>
  <si>
    <t>10G1454, NO Low ODU</t>
  </si>
  <si>
    <t>18G3926</t>
  </si>
  <si>
    <t>Iyankankulam_Lamp-MU5051-18G3926-HY</t>
  </si>
  <si>
    <t>MU0045</t>
  </si>
  <si>
    <t>Thunukkai_North-MU0045-18G3926-HY</t>
  </si>
  <si>
    <t>Thunukkai_North</t>
  </si>
  <si>
    <t>10.196.17.182</t>
  </si>
  <si>
    <t>10.196.17.181</t>
  </si>
  <si>
    <t>THUNUKKAI_NORTH-NRTH-MWI02-R2-N1-01</t>
  </si>
  <si>
    <t>GE0/3/2</t>
  </si>
  <si>
    <t>18G3923</t>
  </si>
  <si>
    <t>Pulopalai_Lamp-KI5040-18G3923-HY</t>
  </si>
  <si>
    <t>Installation Completed</t>
  </si>
  <si>
    <t>70°</t>
  </si>
  <si>
    <t>170°</t>
  </si>
  <si>
    <t>E2</t>
  </si>
  <si>
    <t>Full Link Available</t>
  </si>
  <si>
    <t>Kotahena North</t>
  </si>
  <si>
    <t>Mattakkuliya_South_Reloc</t>
  </si>
  <si>
    <t>PAT Plan on 27th July</t>
  </si>
  <si>
    <t>Tx WO &amp; Mapping Pending</t>
  </si>
  <si>
    <t>M2</t>
  </si>
  <si>
    <t>Kehelbaddara Suntel</t>
  </si>
  <si>
    <t>Uggalboda Dialog</t>
  </si>
  <si>
    <t>Puttalam_East</t>
  </si>
  <si>
    <t>Puttalam_Town_South</t>
  </si>
  <si>
    <t>KI0034</t>
  </si>
  <si>
    <t>10.208.25.83/29</t>
  </si>
  <si>
    <t xml:space="preserve">DHARMAPURAM_DTL-NRTH-ACC11-R2-N3-01 </t>
  </si>
  <si>
    <t>GE0/2/24</t>
  </si>
  <si>
    <t>Dharmapuram</t>
  </si>
  <si>
    <t>Dharmapuram-KI0034-10G1549-PtP67V</t>
  </si>
  <si>
    <t>Pirama-KI5034-10G1549-PtP248V</t>
  </si>
  <si>
    <t>10.196.17.177/30 In band</t>
  </si>
  <si>
    <t>10.196.17.178</t>
  </si>
  <si>
    <t>ACE WH &amp; 18G336 Superfine Removed Received on - 24th July &amp; 25th July</t>
  </si>
  <si>
    <t>No CSR at HUB, used back-to-back from Hub</t>
  </si>
  <si>
    <t>No power at site, Hub changed due to access issue</t>
  </si>
  <si>
    <t>ACE WH Pending - Received on 24th July
18G336 Superfine Removed Pending - Received on 25th July midnight</t>
  </si>
  <si>
    <t>Wiraj</t>
  </si>
  <si>
    <t>ACE WH &amp; 18G336 Superfine Removed</t>
  </si>
  <si>
    <t>WH</t>
  </si>
  <si>
    <t>From ACE WH (2*1.2m &amp; 2*0.6 shuffled and made 2 links)</t>
  </si>
  <si>
    <t>From ACE WH 2*0.6m Links + Superfine 1.2m, shuffled and made the link</t>
  </si>
  <si>
    <t>From ACE WH 2*0.6m Links + Superfine 0.9m, shuffled and made the link</t>
  </si>
  <si>
    <t>Vavuniya</t>
  </si>
  <si>
    <t>GE0/2/25</t>
  </si>
  <si>
    <t>New CSR</t>
  </si>
  <si>
    <t>No CSR at HUB, no back-to-back solution from Hub - Another Vendor Installed CSR on 26th July</t>
  </si>
  <si>
    <t xml:space="preserve">ACE WH Pending - Received on 24th July
18G336 Superfine Removed Pending - Received on 25th July midnight
</t>
  </si>
  <si>
    <t>ACE WH - Collected on 24th July</t>
  </si>
  <si>
    <t>Requested</t>
  </si>
  <si>
    <t>40°</t>
  </si>
  <si>
    <t>150°</t>
  </si>
  <si>
    <t>320°</t>
  </si>
  <si>
    <t>60°</t>
  </si>
  <si>
    <t>140°</t>
  </si>
  <si>
    <t>220°</t>
  </si>
  <si>
    <t>210°</t>
  </si>
  <si>
    <t>CSR Installed on 26th July</t>
  </si>
  <si>
    <t>PAT Done on 26th July</t>
  </si>
  <si>
    <t>TE Materials Delivered on 26th July</t>
  </si>
  <si>
    <t>TE Materials Delivered on 27th July</t>
  </si>
  <si>
    <t>PAT Done on 24th July</t>
  </si>
  <si>
    <t>PAT Plan on 29th July</t>
  </si>
  <si>
    <t>PU5046</t>
  </si>
  <si>
    <t>bbu pending</t>
  </si>
  <si>
    <t>Site Hold by E.Co, despute</t>
  </si>
  <si>
    <t>despute, bbu pending</t>
  </si>
  <si>
    <t>Chathuranga</t>
  </si>
  <si>
    <t>Sithara</t>
  </si>
  <si>
    <t>Dilshan</t>
  </si>
  <si>
    <t>10.196.227.6</t>
  </si>
  <si>
    <t>10.196.227.2</t>
  </si>
  <si>
    <t>10.196.227.5</t>
  </si>
  <si>
    <t>10.196.227.1/30 Inband</t>
  </si>
  <si>
    <t>PALAI_SOUTH-NRTH-ACC03-R2-N2-01</t>
  </si>
  <si>
    <t>GE0/2/21</t>
  </si>
  <si>
    <t>KI0095</t>
  </si>
  <si>
    <t>Palai_South</t>
  </si>
  <si>
    <t>Palai_South-KI0095-18G3923-HY</t>
  </si>
  <si>
    <t>10G1547</t>
  </si>
  <si>
    <t>PAT Plan on 30th 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</si>
</sst>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d\-mmm;@"/>
    <numFmt numFmtId="165" formatCode="0\°"/>
  </numFmts>
  <fonts count="5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roboto"/>
      <family val="2"/>
    </font>
    <font>
      <sz val="10"/>
      <color theme="1"/>
      <name val="Calibri"/>
      <family val="2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rgb="FF1F4E79"/>
      <name val="Calibri"/>
      <family val="2"/>
    </font>
    <font>
      <b/>
      <sz val="13"/>
      <color rgb="FFFFFFFF"/>
      <name val="Calibri"/>
      <family val="2"/>
    </font>
    <font>
      <b/>
      <sz val="26"/>
      <color rgb="FFFFFFFF"/>
      <name val="Calibri"/>
      <family val="2"/>
    </font>
    <font>
      <b/>
      <sz val="10"/>
      <color rgb="FFFFFFFF"/>
      <name val="Calibri"/>
      <family val="2"/>
    </font>
    <font>
      <b/>
      <sz val="11"/>
      <color theme="0"/>
      <name val="Calibri"/>
      <family val="2"/>
    </font>
    <font>
      <b/>
      <sz val="13"/>
      <color rgb="FFFFFFFF"/>
      <name val="Calibri"/>
      <family val="2"/>
    </font>
    <font>
      <b/>
      <i/>
      <sz val="9"/>
      <color rgb="FFFFFFFF"/>
      <name val="Calibri"/>
      <family val="2"/>
    </font>
    <font>
      <b/>
      <sz val="9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18"/>
      <color rgb="FF1F4E79"/>
      <name val="Calibri"/>
      <family val="2"/>
    </font>
    <font>
      <b/>
      <sz val="12"/>
      <color rgb="FFFFFFFF"/>
      <name val="Calibri"/>
      <family val="2"/>
    </font>
    <font>
      <b/>
      <sz val="12"/>
      <color theme="0"/>
      <name val="Calibri"/>
      <family val="2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800000"/>
      <name val="Calibri"/>
      <family val="2"/>
    </font>
    <font>
      <b/>
      <sz val="11"/>
      <color rgb="FFFFFFFF"/>
      <name val="Calibri"/>
      <family val="2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</font>
    <font>
      <sz val="10"/>
      <color theme="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FFFFFF"/>
        <bgColor rgb="FFEBF3FB"/>
      </patternFill>
    </fill>
    <fill>
      <patternFill patternType="solid">
        <fgColor rgb="FF4472C4"/>
        <bgColor rgb="FF2E75B6"/>
      </patternFill>
    </fill>
    <fill>
      <patternFill patternType="solid">
        <fgColor rgb="FF1F4E79"/>
        <bgColor rgb="FF00555A"/>
      </patternFill>
    </fill>
    <fill>
      <patternFill patternType="solid">
        <fgColor rgb="FF595959"/>
        <bgColor rgb="FF5E407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rgb="FF9C5700"/>
      </patternFill>
    </fill>
    <fill>
      <patternFill patternType="solid">
        <fgColor rgb="FF1E6B0A"/>
        <bgColor rgb="FF00555A"/>
      </patternFill>
    </fill>
    <fill>
      <patternFill patternType="solid">
        <fgColor rgb="FF00B050"/>
        <bgColor rgb="FF595959"/>
      </patternFill>
    </fill>
    <fill>
      <patternFill patternType="solid">
        <fgColor theme="7" tint="-0.249977111117893"/>
        <bgColor rgb="FF9C0006"/>
      </patternFill>
    </fill>
    <fill>
      <patternFill patternType="solid">
        <fgColor rgb="FFFF0066"/>
        <bgColor rgb="FF9C5700"/>
      </patternFill>
    </fill>
    <fill>
      <patternFill patternType="solid">
        <fgColor theme="9"/>
        <bgColor rgb="FFBF9000"/>
      </patternFill>
    </fill>
    <fill>
      <patternFill patternType="solid">
        <fgColor rgb="FFFFA602"/>
        <bgColor rgb="FF9C5700"/>
      </patternFill>
    </fill>
    <fill>
      <patternFill patternType="solid">
        <fgColor rgb="FF1F4E79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60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AD47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medium">
        <color indexed="64"/>
      </left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 style="thin">
        <color rgb="FFBFBFBF"/>
      </bottom>
      <diagonal/>
    </border>
    <border>
      <left style="thin">
        <color rgb="FFBFBFBF"/>
      </left>
      <right style="medium">
        <color indexed="64"/>
      </right>
      <top style="medium">
        <color indexed="64"/>
      </top>
      <bottom style="thin">
        <color rgb="FFBFBFBF"/>
      </bottom>
      <diagonal/>
    </border>
    <border>
      <left style="medium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medium">
        <color indexed="64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BFBFBF"/>
      </left>
      <right style="medium">
        <color indexed="64"/>
      </right>
      <top style="thin">
        <color rgb="FFBFBFBF"/>
      </top>
      <bottom style="medium">
        <color indexed="64"/>
      </bottom>
      <diagonal/>
    </border>
  </borders>
  <cellStyleXfs count="17">
    <xf numFmtId="0" fontId="0" fillId="0" borderId="0"/>
    <xf numFmtId="0" fontId="13" fillId="0" borderId="0"/>
    <xf numFmtId="43" fontId="13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7" fillId="0" borderId="0"/>
    <xf numFmtId="0" fontId="7" fillId="0" borderId="0"/>
    <xf numFmtId="0" fontId="25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</cellStyleXfs>
  <cellXfs count="28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3" fillId="0" borderId="0" xfId="1" applyAlignment="1">
      <alignment horizontal="center" vertical="center" wrapText="1"/>
    </xf>
    <xf numFmtId="0" fontId="13" fillId="0" borderId="0" xfId="1"/>
    <xf numFmtId="0" fontId="9" fillId="4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4" fillId="3" borderId="1" xfId="1" applyFont="1" applyFill="1" applyBorder="1" applyAlignment="1">
      <alignment horizontal="center" vertical="center"/>
    </xf>
    <xf numFmtId="0" fontId="11" fillId="11" borderId="1" xfId="1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14" borderId="1" xfId="0" applyFont="1" applyFill="1" applyBorder="1" applyAlignment="1">
      <alignment horizontal="center" vertical="center" wrapText="1"/>
    </xf>
    <xf numFmtId="0" fontId="9" fillId="15" borderId="1" xfId="0" applyFont="1" applyFill="1" applyBorder="1" applyAlignment="1">
      <alignment horizontal="center" vertical="center" wrapText="1"/>
    </xf>
    <xf numFmtId="0" fontId="20" fillId="15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/>
    </xf>
    <xf numFmtId="0" fontId="11" fillId="13" borderId="1" xfId="1" applyFont="1" applyFill="1" applyBorder="1" applyAlignment="1">
      <alignment horizontal="center" vertical="center"/>
    </xf>
    <xf numFmtId="0" fontId="11" fillId="0" borderId="1" xfId="1" applyFont="1" applyBorder="1" applyAlignment="1">
      <alignment horizontal="left" vertical="center"/>
    </xf>
    <xf numFmtId="0" fontId="11" fillId="0" borderId="0" xfId="1" applyFont="1" applyAlignment="1">
      <alignment horizontal="center" vertical="center"/>
    </xf>
    <xf numFmtId="0" fontId="9" fillId="16" borderId="1" xfId="0" applyFont="1" applyFill="1" applyBorder="1" applyAlignment="1">
      <alignment horizontal="center" vertical="center" wrapText="1"/>
    </xf>
    <xf numFmtId="0" fontId="20" fillId="16" borderId="1" xfId="0" applyFont="1" applyFill="1" applyBorder="1" applyAlignment="1">
      <alignment horizontal="center" vertical="center" wrapText="1"/>
    </xf>
    <xf numFmtId="16" fontId="14" fillId="0" borderId="1" xfId="0" applyNumberFormat="1" applyFont="1" applyBorder="1" applyAlignment="1">
      <alignment horizontal="center" vertical="center" wrapText="1"/>
    </xf>
    <xf numFmtId="0" fontId="11" fillId="9" borderId="1" xfId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center"/>
    </xf>
    <xf numFmtId="0" fontId="11" fillId="7" borderId="1" xfId="1" applyFont="1" applyFill="1" applyBorder="1" applyAlignment="1">
      <alignment horizontal="center" vertical="center"/>
    </xf>
    <xf numFmtId="0" fontId="11" fillId="7" borderId="1" xfId="1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center" vertical="center"/>
    </xf>
    <xf numFmtId="0" fontId="25" fillId="0" borderId="0" xfId="7"/>
    <xf numFmtId="0" fontId="29" fillId="19" borderId="6" xfId="7" applyFont="1" applyFill="1" applyBorder="1" applyAlignment="1">
      <alignment horizontal="center" vertical="center"/>
    </xf>
    <xf numFmtId="0" fontId="29" fillId="20" borderId="6" xfId="7" applyFont="1" applyFill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30" fillId="20" borderId="6" xfId="7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15" fillId="0" borderId="1" xfId="1" applyFont="1" applyBorder="1" applyAlignment="1">
      <alignment horizontal="center" vertical="center" wrapText="1"/>
    </xf>
    <xf numFmtId="16" fontId="14" fillId="13" borderId="1" xfId="0" applyNumberFormat="1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16" fontId="14" fillId="13" borderId="1" xfId="0" applyNumberFormat="1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 wrapText="1"/>
    </xf>
    <xf numFmtId="0" fontId="20" fillId="21" borderId="1" xfId="0" applyFont="1" applyFill="1" applyBorder="1" applyAlignment="1">
      <alignment horizontal="center" vertical="center" wrapText="1"/>
    </xf>
    <xf numFmtId="0" fontId="30" fillId="19" borderId="6" xfId="7" applyFont="1" applyFill="1" applyBorder="1" applyAlignment="1">
      <alignment horizontal="center" vertical="center"/>
    </xf>
    <xf numFmtId="0" fontId="14" fillId="0" borderId="0" xfId="7" applyFont="1"/>
    <xf numFmtId="0" fontId="17" fillId="0" borderId="0" xfId="7" applyFont="1"/>
    <xf numFmtId="9" fontId="33" fillId="19" borderId="6" xfId="7" applyNumberFormat="1" applyFont="1" applyFill="1" applyBorder="1" applyAlignment="1">
      <alignment horizontal="center" vertical="center"/>
    </xf>
    <xf numFmtId="0" fontId="33" fillId="20" borderId="6" xfId="7" applyFont="1" applyFill="1" applyBorder="1" applyAlignment="1">
      <alignment horizontal="center" vertical="center"/>
    </xf>
    <xf numFmtId="0" fontId="34" fillId="0" borderId="0" xfId="7" applyFont="1"/>
    <xf numFmtId="0" fontId="30" fillId="22" borderId="6" xfId="7" applyFont="1" applyFill="1" applyBorder="1" applyAlignment="1">
      <alignment horizontal="center" vertical="center" wrapText="1"/>
    </xf>
    <xf numFmtId="0" fontId="29" fillId="22" borderId="6" xfId="7" applyFont="1" applyFill="1" applyBorder="1" applyAlignment="1">
      <alignment horizontal="center" vertical="center"/>
    </xf>
    <xf numFmtId="0" fontId="33" fillId="22" borderId="6" xfId="7" applyFont="1" applyFill="1" applyBorder="1" applyAlignment="1">
      <alignment horizontal="center" vertical="center"/>
    </xf>
    <xf numFmtId="0" fontId="30" fillId="23" borderId="6" xfId="7" applyFont="1" applyFill="1" applyBorder="1" applyAlignment="1">
      <alignment horizontal="center" vertical="center"/>
    </xf>
    <xf numFmtId="0" fontId="29" fillId="23" borderId="6" xfId="7" applyFont="1" applyFill="1" applyBorder="1" applyAlignment="1">
      <alignment horizontal="center" vertical="center"/>
    </xf>
    <xf numFmtId="0" fontId="33" fillId="23" borderId="6" xfId="7" applyFont="1" applyFill="1" applyBorder="1" applyAlignment="1">
      <alignment horizontal="center" vertical="center"/>
    </xf>
    <xf numFmtId="0" fontId="30" fillId="24" borderId="6" xfId="7" applyFont="1" applyFill="1" applyBorder="1" applyAlignment="1">
      <alignment horizontal="center" vertical="center" wrapText="1"/>
    </xf>
    <xf numFmtId="0" fontId="29" fillId="24" borderId="6" xfId="7" applyFont="1" applyFill="1" applyBorder="1" applyAlignment="1">
      <alignment horizontal="center" vertical="center"/>
    </xf>
    <xf numFmtId="0" fontId="33" fillId="24" borderId="6" xfId="7" applyFont="1" applyFill="1" applyBorder="1" applyAlignment="1">
      <alignment horizontal="center" vertical="center"/>
    </xf>
    <xf numFmtId="0" fontId="30" fillId="25" borderId="6" xfId="7" applyFont="1" applyFill="1" applyBorder="1" applyAlignment="1">
      <alignment horizontal="center" vertical="center" wrapText="1"/>
    </xf>
    <xf numFmtId="0" fontId="29" fillId="25" borderId="6" xfId="7" applyFont="1" applyFill="1" applyBorder="1" applyAlignment="1">
      <alignment horizontal="center" vertical="center"/>
    </xf>
    <xf numFmtId="0" fontId="33" fillId="25" borderId="6" xfId="7" applyFont="1" applyFill="1" applyBorder="1" applyAlignment="1">
      <alignment horizontal="center" vertical="center"/>
    </xf>
    <xf numFmtId="0" fontId="30" fillId="26" borderId="6" xfId="7" applyFont="1" applyFill="1" applyBorder="1" applyAlignment="1">
      <alignment horizontal="center" vertical="center" wrapText="1"/>
    </xf>
    <xf numFmtId="0" fontId="29" fillId="26" borderId="6" xfId="7" applyFont="1" applyFill="1" applyBorder="1" applyAlignment="1">
      <alignment horizontal="center" vertical="center"/>
    </xf>
    <xf numFmtId="0" fontId="33" fillId="26" borderId="6" xfId="7" applyFont="1" applyFill="1" applyBorder="1" applyAlignment="1">
      <alignment horizontal="center" vertical="center"/>
    </xf>
    <xf numFmtId="0" fontId="30" fillId="27" borderId="6" xfId="7" applyFont="1" applyFill="1" applyBorder="1" applyAlignment="1">
      <alignment horizontal="center" vertical="center" wrapText="1"/>
    </xf>
    <xf numFmtId="0" fontId="29" fillId="27" borderId="6" xfId="7" applyFont="1" applyFill="1" applyBorder="1" applyAlignment="1">
      <alignment horizontal="center" vertical="center"/>
    </xf>
    <xf numFmtId="0" fontId="33" fillId="27" borderId="6" xfId="7" applyFont="1" applyFill="1" applyBorder="1" applyAlignment="1">
      <alignment horizontal="center" vertical="center"/>
    </xf>
    <xf numFmtId="0" fontId="30" fillId="28" borderId="6" xfId="7" applyFont="1" applyFill="1" applyBorder="1" applyAlignment="1">
      <alignment horizontal="center" vertical="center" wrapText="1"/>
    </xf>
    <xf numFmtId="0" fontId="29" fillId="28" borderId="6" xfId="7" applyFont="1" applyFill="1" applyBorder="1" applyAlignment="1">
      <alignment horizontal="center" vertical="center"/>
    </xf>
    <xf numFmtId="0" fontId="33" fillId="28" borderId="6" xfId="7" applyFont="1" applyFill="1" applyBorder="1" applyAlignment="1">
      <alignment horizontal="center" vertical="center"/>
    </xf>
    <xf numFmtId="0" fontId="35" fillId="2" borderId="1" xfId="1" applyFont="1" applyFill="1" applyBorder="1" applyAlignment="1">
      <alignment horizontal="center" vertical="center" wrapText="1"/>
    </xf>
    <xf numFmtId="0" fontId="35" fillId="10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 wrapText="1"/>
    </xf>
    <xf numFmtId="16" fontId="11" fillId="7" borderId="1" xfId="1" applyNumberFormat="1" applyFont="1" applyFill="1" applyBorder="1" applyAlignment="1">
      <alignment horizontal="center" vertical="center"/>
    </xf>
    <xf numFmtId="0" fontId="11" fillId="9" borderId="1" xfId="1" applyFont="1" applyFill="1" applyBorder="1" applyAlignment="1">
      <alignment horizontal="left" vertical="center" wrapText="1"/>
    </xf>
    <xf numFmtId="0" fontId="11" fillId="3" borderId="1" xfId="1" applyFont="1" applyFill="1" applyBorder="1" applyAlignment="1">
      <alignment horizontal="left" vertical="center"/>
    </xf>
    <xf numFmtId="0" fontId="21" fillId="7" borderId="1" xfId="0" applyFont="1" applyFill="1" applyBorder="1" applyAlignment="1">
      <alignment horizontal="left" vertical="center"/>
    </xf>
    <xf numFmtId="0" fontId="21" fillId="9" borderId="1" xfId="0" applyFont="1" applyFill="1" applyBorder="1" applyAlignment="1">
      <alignment horizontal="left" vertical="center"/>
    </xf>
    <xf numFmtId="0" fontId="35" fillId="12" borderId="1" xfId="1" applyFont="1" applyFill="1" applyBorder="1" applyAlignment="1">
      <alignment horizontal="center" vertical="center" wrapText="1"/>
    </xf>
    <xf numFmtId="0" fontId="13" fillId="0" borderId="0" xfId="1" applyAlignment="1">
      <alignment horizontal="center"/>
    </xf>
    <xf numFmtId="0" fontId="11" fillId="13" borderId="1" xfId="1" applyFont="1" applyFill="1" applyBorder="1" applyAlignment="1">
      <alignment horizontal="left" vertical="center"/>
    </xf>
    <xf numFmtId="0" fontId="13" fillId="0" borderId="0" xfId="1" applyAlignment="1">
      <alignment horizontal="left"/>
    </xf>
    <xf numFmtId="0" fontId="11" fillId="0" borderId="1" xfId="0" applyFont="1" applyBorder="1" applyAlignment="1">
      <alignment horizontal="left" vertical="center"/>
    </xf>
    <xf numFmtId="0" fontId="11" fillId="11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25" fillId="0" borderId="6" xfId="7" applyBorder="1" applyAlignment="1">
      <alignment horizontal="center" vertical="center"/>
    </xf>
    <xf numFmtId="0" fontId="26" fillId="29" borderId="6" xfId="0" applyFont="1" applyFill="1" applyBorder="1" applyAlignment="1">
      <alignment horizontal="center" vertical="center"/>
    </xf>
    <xf numFmtId="0" fontId="20" fillId="29" borderId="6" xfId="0" applyFont="1" applyFill="1" applyBorder="1" applyAlignment="1">
      <alignment horizontal="center" vertical="center"/>
    </xf>
    <xf numFmtId="0" fontId="38" fillId="29" borderId="6" xfId="7" applyFont="1" applyFill="1" applyBorder="1" applyAlignment="1">
      <alignment horizontal="center" vertical="center"/>
    </xf>
    <xf numFmtId="0" fontId="26" fillId="29" borderId="6" xfId="0" applyFont="1" applyFill="1" applyBorder="1" applyAlignment="1">
      <alignment horizontal="center" vertical="center" wrapText="1"/>
    </xf>
    <xf numFmtId="0" fontId="6" fillId="30" borderId="6" xfId="0" applyFont="1" applyFill="1" applyBorder="1" applyAlignment="1">
      <alignment horizontal="center" vertical="center"/>
    </xf>
    <xf numFmtId="0" fontId="16" fillId="30" borderId="6" xfId="7" applyFont="1" applyFill="1" applyBorder="1" applyAlignment="1">
      <alignment horizontal="center" vertical="center"/>
    </xf>
    <xf numFmtId="0" fontId="0" fillId="30" borderId="6" xfId="0" applyFill="1" applyBorder="1" applyAlignment="1">
      <alignment horizontal="center" vertical="center"/>
    </xf>
    <xf numFmtId="0" fontId="25" fillId="30" borderId="6" xfId="7" applyFill="1" applyBorder="1" applyAlignment="1">
      <alignment horizontal="center" vertical="center"/>
    </xf>
    <xf numFmtId="0" fontId="39" fillId="30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>
      <alignment vertical="top" wrapText="1"/>
    </xf>
    <xf numFmtId="0" fontId="11" fillId="9" borderId="1" xfId="1" applyFont="1" applyFill="1" applyBorder="1" applyAlignment="1">
      <alignment vertical="top" wrapText="1"/>
    </xf>
    <xf numFmtId="0" fontId="6" fillId="0" borderId="0" xfId="8"/>
    <xf numFmtId="0" fontId="40" fillId="14" borderId="8" xfId="0" applyFont="1" applyFill="1" applyBorder="1" applyAlignment="1">
      <alignment horizontal="center" vertical="center" wrapText="1"/>
    </xf>
    <xf numFmtId="0" fontId="24" fillId="0" borderId="0" xfId="0" applyFont="1"/>
    <xf numFmtId="0" fontId="41" fillId="0" borderId="0" xfId="7" applyFont="1"/>
    <xf numFmtId="0" fontId="11" fillId="0" borderId="0" xfId="1" applyFont="1" applyAlignment="1">
      <alignment horizontal="left" vertical="center" wrapText="1"/>
    </xf>
    <xf numFmtId="0" fontId="11" fillId="0" borderId="0" xfId="1" applyFont="1" applyAlignment="1">
      <alignment horizontal="left" vertical="center"/>
    </xf>
    <xf numFmtId="0" fontId="11" fillId="0" borderId="0" xfId="1" applyFont="1"/>
    <xf numFmtId="0" fontId="11" fillId="0" borderId="0" xfId="1" applyFont="1" applyAlignment="1">
      <alignment vertical="top"/>
    </xf>
    <xf numFmtId="0" fontId="22" fillId="0" borderId="1" xfId="0" applyFont="1" applyBorder="1" applyAlignment="1">
      <alignment horizontal="center" vertical="center"/>
    </xf>
    <xf numFmtId="0" fontId="11" fillId="0" borderId="1" xfId="1" applyFont="1" applyBorder="1" applyAlignment="1">
      <alignment vertical="top" wrapText="1"/>
    </xf>
    <xf numFmtId="0" fontId="22" fillId="9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0" fontId="15" fillId="0" borderId="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vertical="center"/>
    </xf>
    <xf numFmtId="0" fontId="14" fillId="0" borderId="8" xfId="0" applyFont="1" applyBorder="1" applyAlignment="1">
      <alignment horizontal="left" vertical="center"/>
    </xf>
    <xf numFmtId="0" fontId="11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left" vertical="center"/>
    </xf>
    <xf numFmtId="0" fontId="40" fillId="31" borderId="8" xfId="0" applyFont="1" applyFill="1" applyBorder="1" applyAlignment="1">
      <alignment horizontal="center" vertical="center" wrapText="1"/>
    </xf>
    <xf numFmtId="0" fontId="31" fillId="29" borderId="6" xfId="7" applyFont="1" applyFill="1" applyBorder="1" applyAlignment="1">
      <alignment horizontal="center" vertical="center" wrapText="1"/>
    </xf>
    <xf numFmtId="0" fontId="6" fillId="0" borderId="0" xfId="8" applyAlignment="1">
      <alignment horizontal="center" vertical="center"/>
    </xf>
    <xf numFmtId="0" fontId="6" fillId="0" borderId="0" xfId="8" applyAlignment="1">
      <alignment horizontal="left" vertical="center"/>
    </xf>
    <xf numFmtId="16" fontId="14" fillId="0" borderId="1" xfId="0" applyNumberFormat="1" applyFont="1" applyBorder="1" applyAlignment="1">
      <alignment horizontal="left" vertical="center" wrapText="1"/>
    </xf>
    <xf numFmtId="0" fontId="21" fillId="0" borderId="9" xfId="0" applyFont="1" applyBorder="1" applyAlignment="1">
      <alignment horizontal="center" vertical="center"/>
    </xf>
    <xf numFmtId="0" fontId="21" fillId="0" borderId="9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42" fillId="0" borderId="1" xfId="0" applyFont="1" applyBorder="1" applyAlignment="1">
      <alignment horizontal="center" vertical="center"/>
    </xf>
    <xf numFmtId="0" fontId="13" fillId="0" borderId="1" xfId="1" applyBorder="1" applyAlignment="1">
      <alignment horizontal="left"/>
    </xf>
    <xf numFmtId="0" fontId="15" fillId="9" borderId="1" xfId="1" applyFont="1" applyFill="1" applyBorder="1" applyAlignment="1">
      <alignment horizontal="center" vertical="center" wrapText="1"/>
    </xf>
    <xf numFmtId="0" fontId="13" fillId="0" borderId="0" xfId="1" applyAlignment="1">
      <alignment horizontal="center" vertical="center"/>
    </xf>
    <xf numFmtId="0" fontId="13" fillId="0" borderId="0" xfId="1" applyAlignment="1">
      <alignment horizontal="left" vertical="center"/>
    </xf>
    <xf numFmtId="0" fontId="21" fillId="30" borderId="9" xfId="0" applyFont="1" applyFill="1" applyBorder="1" applyAlignment="1">
      <alignment horizontal="left" vertical="center"/>
    </xf>
    <xf numFmtId="0" fontId="21" fillId="30" borderId="1" xfId="0" applyFont="1" applyFill="1" applyBorder="1" applyAlignment="1">
      <alignment horizontal="left" vertical="center"/>
    </xf>
    <xf numFmtId="0" fontId="15" fillId="7" borderId="1" xfId="1" applyFont="1" applyFill="1" applyBorder="1" applyAlignment="1">
      <alignment horizontal="center" vertical="center" wrapText="1"/>
    </xf>
    <xf numFmtId="0" fontId="18" fillId="9" borderId="1" xfId="1" applyFont="1" applyFill="1" applyBorder="1" applyAlignment="1">
      <alignment horizontal="left" vertical="center"/>
    </xf>
    <xf numFmtId="0" fontId="18" fillId="9" borderId="1" xfId="1" applyFont="1" applyFill="1" applyBorder="1" applyAlignment="1">
      <alignment vertical="center"/>
    </xf>
    <xf numFmtId="9" fontId="45" fillId="34" borderId="6" xfId="7" applyNumberFormat="1" applyFont="1" applyFill="1" applyBorder="1" applyAlignment="1">
      <alignment horizontal="center" vertical="center"/>
    </xf>
    <xf numFmtId="9" fontId="37" fillId="33" borderId="6" xfId="7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left" vertical="center"/>
    </xf>
    <xf numFmtId="0" fontId="11" fillId="0" borderId="1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3" fillId="9" borderId="1" xfId="0" applyFont="1" applyFill="1" applyBorder="1" applyAlignment="1">
      <alignment horizontal="left" vertical="center"/>
    </xf>
    <xf numFmtId="0" fontId="21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43" fillId="0" borderId="0" xfId="0" applyFont="1" applyAlignment="1">
      <alignment vertical="center"/>
    </xf>
    <xf numFmtId="0" fontId="0" fillId="0" borderId="0" xfId="0" applyAlignment="1">
      <alignment vertical="center"/>
    </xf>
    <xf numFmtId="0" fontId="11" fillId="0" borderId="0" xfId="1" applyFont="1" applyAlignment="1">
      <alignment horizontal="left"/>
    </xf>
    <xf numFmtId="0" fontId="9" fillId="8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44" fillId="29" borderId="15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3" fillId="30" borderId="1" xfId="0" applyFont="1" applyFill="1" applyBorder="1" applyAlignment="1">
      <alignment horizontal="left" vertical="center"/>
    </xf>
    <xf numFmtId="0" fontId="23" fillId="30" borderId="9" xfId="0" applyFont="1" applyFill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4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23" fillId="0" borderId="10" xfId="0" applyFont="1" applyBorder="1" applyAlignment="1">
      <alignment horizontal="left" vertical="center"/>
    </xf>
    <xf numFmtId="0" fontId="11" fillId="38" borderId="1" xfId="1" applyFont="1" applyFill="1" applyBorder="1" applyAlignment="1">
      <alignment horizontal="left" vertical="center"/>
    </xf>
    <xf numFmtId="0" fontId="11" fillId="38" borderId="1" xfId="1" applyFont="1" applyFill="1" applyBorder="1" applyAlignment="1">
      <alignment horizontal="center" vertical="center"/>
    </xf>
    <xf numFmtId="0" fontId="22" fillId="14" borderId="1" xfId="0" applyFont="1" applyFill="1" applyBorder="1" applyAlignment="1">
      <alignment horizontal="center" vertical="center"/>
    </xf>
    <xf numFmtId="0" fontId="15" fillId="14" borderId="1" xfId="1" applyFont="1" applyFill="1" applyBorder="1" applyAlignment="1">
      <alignment horizontal="center" vertical="center" wrapText="1"/>
    </xf>
    <xf numFmtId="0" fontId="11" fillId="14" borderId="1" xfId="1" applyFont="1" applyFill="1" applyBorder="1" applyAlignment="1">
      <alignment horizontal="left" vertical="center"/>
    </xf>
    <xf numFmtId="0" fontId="11" fillId="14" borderId="1" xfId="1" applyFont="1" applyFill="1" applyBorder="1" applyAlignment="1">
      <alignment horizontal="center" vertical="center"/>
    </xf>
    <xf numFmtId="0" fontId="11" fillId="14" borderId="1" xfId="1" applyFont="1" applyFill="1" applyBorder="1" applyAlignment="1">
      <alignment vertical="top" wrapText="1"/>
    </xf>
    <xf numFmtId="0" fontId="20" fillId="14" borderId="4" xfId="0" applyFont="1" applyFill="1" applyBorder="1" applyAlignment="1">
      <alignment horizontal="center" vertical="center" wrapText="1"/>
    </xf>
    <xf numFmtId="164" fontId="12" fillId="0" borderId="8" xfId="0" applyNumberFormat="1" applyFont="1" applyBorder="1" applyAlignment="1">
      <alignment horizontal="center" vertical="center"/>
    </xf>
    <xf numFmtId="0" fontId="15" fillId="37" borderId="1" xfId="1" applyFont="1" applyFill="1" applyBorder="1" applyAlignment="1">
      <alignment horizontal="center" vertical="center" wrapText="1"/>
    </xf>
    <xf numFmtId="0" fontId="22" fillId="37" borderId="1" xfId="0" applyFont="1" applyFill="1" applyBorder="1" applyAlignment="1">
      <alignment horizontal="center" vertical="center"/>
    </xf>
    <xf numFmtId="0" fontId="11" fillId="37" borderId="1" xfId="1" applyFont="1" applyFill="1" applyBorder="1" applyAlignment="1">
      <alignment horizontal="left" vertical="center"/>
    </xf>
    <xf numFmtId="0" fontId="11" fillId="37" borderId="1" xfId="1" applyFont="1" applyFill="1" applyBorder="1" applyAlignment="1">
      <alignment horizontal="center" vertical="center"/>
    </xf>
    <xf numFmtId="0" fontId="11" fillId="37" borderId="1" xfId="1" applyFont="1" applyFill="1" applyBorder="1" applyAlignment="1">
      <alignment vertical="top" wrapText="1"/>
    </xf>
    <xf numFmtId="0" fontId="21" fillId="14" borderId="1" xfId="0" applyFont="1" applyFill="1" applyBorder="1" applyAlignment="1">
      <alignment horizontal="left" vertical="center"/>
    </xf>
    <xf numFmtId="0" fontId="48" fillId="39" borderId="1" xfId="1" applyFont="1" applyFill="1" applyBorder="1" applyAlignment="1">
      <alignment horizontal="left" vertical="center"/>
    </xf>
    <xf numFmtId="9" fontId="47" fillId="33" borderId="6" xfId="7" applyNumberFormat="1" applyFont="1" applyFill="1" applyBorder="1" applyAlignment="1">
      <alignment horizontal="center" vertical="center"/>
    </xf>
    <xf numFmtId="0" fontId="11" fillId="40" borderId="1" xfId="1" applyFont="1" applyFill="1" applyBorder="1" applyAlignment="1">
      <alignment horizontal="left" vertical="center"/>
    </xf>
    <xf numFmtId="0" fontId="11" fillId="40" borderId="1" xfId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left" vertical="center"/>
    </xf>
    <xf numFmtId="0" fontId="21" fillId="37" borderId="1" xfId="0" applyFont="1" applyFill="1" applyBorder="1" applyAlignment="1">
      <alignment horizontal="left" vertical="center"/>
    </xf>
    <xf numFmtId="0" fontId="18" fillId="0" borderId="9" xfId="1" applyFont="1" applyBorder="1" applyAlignment="1">
      <alignment horizontal="left" vertical="center"/>
    </xf>
    <xf numFmtId="0" fontId="18" fillId="0" borderId="9" xfId="1" applyFont="1" applyBorder="1" applyAlignment="1">
      <alignment vertical="center"/>
    </xf>
    <xf numFmtId="0" fontId="18" fillId="0" borderId="10" xfId="1" applyFont="1" applyBorder="1" applyAlignment="1">
      <alignment horizontal="left" vertical="center"/>
    </xf>
    <xf numFmtId="0" fontId="18" fillId="0" borderId="10" xfId="1" applyFont="1" applyBorder="1" applyAlignment="1">
      <alignment vertical="center"/>
    </xf>
    <xf numFmtId="0" fontId="20" fillId="8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20" fillId="35" borderId="1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49" fillId="0" borderId="0" xfId="8" applyFont="1"/>
    <xf numFmtId="0" fontId="11" fillId="0" borderId="1" xfId="8" applyFont="1" applyBorder="1" applyAlignment="1">
      <alignment horizontal="left" vertical="center"/>
    </xf>
    <xf numFmtId="0" fontId="11" fillId="0" borderId="1" xfId="8" applyFont="1" applyBorder="1" applyAlignment="1">
      <alignment horizontal="center" vertical="center"/>
    </xf>
    <xf numFmtId="0" fontId="11" fillId="5" borderId="1" xfId="8" applyFont="1" applyFill="1" applyBorder="1" applyAlignment="1">
      <alignment horizontal="center" vertical="center"/>
    </xf>
    <xf numFmtId="0" fontId="11" fillId="6" borderId="1" xfId="8" applyFont="1" applyFill="1" applyBorder="1" applyAlignment="1">
      <alignment horizontal="center" vertical="center"/>
    </xf>
    <xf numFmtId="0" fontId="11" fillId="32" borderId="1" xfId="8" applyFont="1" applyFill="1" applyBorder="1" applyAlignment="1">
      <alignment horizontal="center" vertical="center"/>
    </xf>
    <xf numFmtId="0" fontId="11" fillId="0" borderId="0" xfId="8" applyFont="1"/>
    <xf numFmtId="0" fontId="12" fillId="0" borderId="1" xfId="0" applyFont="1" applyBorder="1" applyAlignment="1">
      <alignment horizontal="center" vertical="center"/>
    </xf>
    <xf numFmtId="0" fontId="23" fillId="36" borderId="17" xfId="0" applyFont="1" applyFill="1" applyBorder="1" applyAlignment="1">
      <alignment vertical="center"/>
    </xf>
    <xf numFmtId="0" fontId="11" fillId="36" borderId="18" xfId="0" applyFont="1" applyFill="1" applyBorder="1" applyAlignment="1">
      <alignment vertical="center"/>
    </xf>
    <xf numFmtId="0" fontId="11" fillId="36" borderId="18" xfId="0" applyFont="1" applyFill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8" xfId="0" applyFont="1" applyBorder="1" applyAlignment="1">
      <alignment vertical="center"/>
    </xf>
    <xf numFmtId="0" fontId="11" fillId="0" borderId="19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23" fillId="36" borderId="20" xfId="0" applyFont="1" applyFill="1" applyBorder="1" applyAlignment="1">
      <alignment vertical="center"/>
    </xf>
    <xf numFmtId="0" fontId="11" fillId="36" borderId="11" xfId="0" applyFont="1" applyFill="1" applyBorder="1" applyAlignment="1">
      <alignment vertical="center"/>
    </xf>
    <xf numFmtId="0" fontId="11" fillId="36" borderId="11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23" fillId="36" borderId="22" xfId="0" applyFont="1" applyFill="1" applyBorder="1" applyAlignment="1">
      <alignment vertical="center"/>
    </xf>
    <xf numFmtId="0" fontId="11" fillId="36" borderId="23" xfId="0" applyFont="1" applyFill="1" applyBorder="1" applyAlignment="1">
      <alignment vertical="center"/>
    </xf>
    <xf numFmtId="0" fontId="11" fillId="36" borderId="23" xfId="0" applyFont="1" applyFill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1" fillId="0" borderId="16" xfId="0" applyFont="1" applyBorder="1" applyAlignment="1">
      <alignment horizontal="center" vertical="center"/>
    </xf>
    <xf numFmtId="0" fontId="23" fillId="30" borderId="8" xfId="0" applyFont="1" applyFill="1" applyBorder="1" applyAlignment="1">
      <alignment vertical="center"/>
    </xf>
    <xf numFmtId="0" fontId="11" fillId="30" borderId="8" xfId="0" applyFont="1" applyFill="1" applyBorder="1" applyAlignment="1">
      <alignment vertical="center"/>
    </xf>
    <xf numFmtId="0" fontId="11" fillId="0" borderId="0" xfId="0" applyFont="1"/>
    <xf numFmtId="0" fontId="26" fillId="14" borderId="8" xfId="0" applyFont="1" applyFill="1" applyBorder="1" applyAlignment="1">
      <alignment horizontal="center" vertical="center" wrapText="1"/>
    </xf>
    <xf numFmtId="0" fontId="26" fillId="31" borderId="8" xfId="0" applyFont="1" applyFill="1" applyBorder="1" applyAlignment="1">
      <alignment horizontal="center" vertical="center" wrapText="1"/>
    </xf>
    <xf numFmtId="0" fontId="2" fillId="0" borderId="0" xfId="0" applyFont="1"/>
    <xf numFmtId="0" fontId="50" fillId="9" borderId="11" xfId="0" applyFont="1" applyFill="1" applyBorder="1" applyAlignment="1">
      <alignment vertical="center"/>
    </xf>
    <xf numFmtId="0" fontId="50" fillId="9" borderId="11" xfId="0" applyFont="1" applyFill="1" applyBorder="1" applyAlignment="1">
      <alignment horizontal="center"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9" fontId="47" fillId="41" borderId="6" xfId="7" applyNumberFormat="1" applyFont="1" applyFill="1" applyBorder="1" applyAlignment="1">
      <alignment horizontal="center" vertical="center"/>
    </xf>
    <xf numFmtId="0" fontId="51" fillId="9" borderId="1" xfId="1" applyFont="1" applyFill="1" applyBorder="1" applyAlignment="1">
      <alignment horizontal="left" vertical="center"/>
    </xf>
    <xf numFmtId="0" fontId="51" fillId="9" borderId="1" xfId="1" applyFont="1" applyFill="1" applyBorder="1" applyAlignment="1">
      <alignment vertical="center"/>
    </xf>
    <xf numFmtId="0" fontId="52" fillId="9" borderId="1" xfId="0" applyFont="1" applyFill="1" applyBorder="1" applyAlignment="1">
      <alignment horizontal="left" vertical="center"/>
    </xf>
    <xf numFmtId="0" fontId="14" fillId="37" borderId="1" xfId="0" applyFont="1" applyFill="1" applyBorder="1" applyAlignment="1">
      <alignment horizontal="left" vertical="center"/>
    </xf>
    <xf numFmtId="0" fontId="18" fillId="37" borderId="1" xfId="1" applyFont="1" applyFill="1" applyBorder="1" applyAlignment="1">
      <alignment horizontal="left" vertical="center"/>
    </xf>
    <xf numFmtId="0" fontId="18" fillId="37" borderId="1" xfId="1" applyFont="1" applyFill="1" applyBorder="1" applyAlignment="1">
      <alignment vertical="center"/>
    </xf>
    <xf numFmtId="0" fontId="11" fillId="39" borderId="11" xfId="0" applyFont="1" applyFill="1" applyBorder="1" applyAlignment="1">
      <alignment vertical="center"/>
    </xf>
    <xf numFmtId="0" fontId="11" fillId="39" borderId="11" xfId="0" applyFont="1" applyFill="1" applyBorder="1" applyAlignment="1">
      <alignment horizontal="center" vertical="center"/>
    </xf>
    <xf numFmtId="0" fontId="23" fillId="39" borderId="11" xfId="0" applyFont="1" applyFill="1" applyBorder="1" applyAlignment="1">
      <alignment vertical="center"/>
    </xf>
    <xf numFmtId="0" fontId="52" fillId="9" borderId="20" xfId="0" applyFont="1" applyFill="1" applyBorder="1" applyAlignment="1">
      <alignment vertical="center"/>
    </xf>
    <xf numFmtId="0" fontId="52" fillId="9" borderId="11" xfId="0" applyFont="1" applyFill="1" applyBorder="1" applyAlignment="1">
      <alignment vertical="center"/>
    </xf>
    <xf numFmtId="0" fontId="52" fillId="9" borderId="11" xfId="0" applyFont="1" applyFill="1" applyBorder="1" applyAlignment="1">
      <alignment horizontal="center" vertical="center"/>
    </xf>
    <xf numFmtId="0" fontId="23" fillId="31" borderId="1" xfId="0" applyFont="1" applyFill="1" applyBorder="1" applyAlignment="1">
      <alignment horizontal="left" vertical="center"/>
    </xf>
    <xf numFmtId="0" fontId="18" fillId="31" borderId="1" xfId="1" applyFont="1" applyFill="1" applyBorder="1" applyAlignment="1">
      <alignment horizontal="left" vertical="center"/>
    </xf>
    <xf numFmtId="0" fontId="18" fillId="31" borderId="1" xfId="1" applyFont="1" applyFill="1" applyBorder="1" applyAlignment="1">
      <alignment vertical="center"/>
    </xf>
    <xf numFmtId="165" fontId="11" fillId="5" borderId="1" xfId="8" applyNumberFormat="1" applyFont="1" applyFill="1" applyBorder="1" applyAlignment="1">
      <alignment horizontal="center" vertical="center"/>
    </xf>
    <xf numFmtId="0" fontId="32" fillId="18" borderId="6" xfId="7" applyFont="1" applyFill="1" applyBorder="1" applyAlignment="1">
      <alignment horizontal="center" vertical="center"/>
    </xf>
    <xf numFmtId="0" fontId="28" fillId="18" borderId="6" xfId="7" applyFont="1" applyFill="1" applyBorder="1" applyAlignment="1">
      <alignment horizontal="center" vertical="center"/>
    </xf>
    <xf numFmtId="0" fontId="36" fillId="17" borderId="5" xfId="7" applyFont="1" applyFill="1" applyBorder="1" applyAlignment="1">
      <alignment horizontal="center" vertical="center"/>
    </xf>
    <xf numFmtId="0" fontId="27" fillId="17" borderId="7" xfId="7" applyFont="1" applyFill="1" applyBorder="1" applyAlignment="1">
      <alignment horizontal="center" vertical="center"/>
    </xf>
    <xf numFmtId="0" fontId="9" fillId="21" borderId="2" xfId="0" applyFont="1" applyFill="1" applyBorder="1" applyAlignment="1">
      <alignment horizontal="center" vertical="center" wrapText="1"/>
    </xf>
    <xf numFmtId="0" fontId="9" fillId="21" borderId="3" xfId="0" applyFont="1" applyFill="1" applyBorder="1" applyAlignment="1">
      <alignment horizontal="center" vertical="center" wrapText="1"/>
    </xf>
    <xf numFmtId="0" fontId="35" fillId="2" borderId="1" xfId="1" applyFont="1" applyFill="1" applyBorder="1" applyAlignment="1">
      <alignment horizontal="center" vertical="center" wrapText="1"/>
    </xf>
    <xf numFmtId="0" fontId="6" fillId="0" borderId="14" xfId="8" applyBorder="1" applyAlignment="1">
      <alignment horizontal="center" vertical="center"/>
    </xf>
    <xf numFmtId="0" fontId="10" fillId="39" borderId="1" xfId="0" applyFont="1" applyFill="1" applyBorder="1" applyAlignment="1">
      <alignment horizontal="center" vertical="center"/>
    </xf>
    <xf numFmtId="0" fontId="42" fillId="39" borderId="1" xfId="0" applyFont="1" applyFill="1" applyBorder="1" applyAlignment="1">
      <alignment horizontal="left" vertical="center"/>
    </xf>
    <xf numFmtId="0" fontId="42" fillId="39" borderId="1" xfId="0" applyFont="1" applyFill="1" applyBorder="1" applyAlignment="1">
      <alignment horizontal="center" vertical="center"/>
    </xf>
    <xf numFmtId="0" fontId="1" fillId="0" borderId="0" xfId="0" applyFont="1"/>
    <xf numFmtId="0" fontId="42" fillId="39" borderId="9" xfId="0" applyFont="1" applyFill="1" applyBorder="1" applyAlignment="1">
      <alignment horizontal="left" vertical="center"/>
    </xf>
    <xf numFmtId="0" fontId="1" fillId="39" borderId="1" xfId="0" applyFont="1" applyFill="1" applyBorder="1" applyAlignment="1">
      <alignment horizontal="left" vertical="center"/>
    </xf>
    <xf numFmtId="0" fontId="1" fillId="39" borderId="1" xfId="0" applyFont="1" applyFill="1" applyBorder="1" applyAlignment="1">
      <alignment horizontal="center" vertical="center"/>
    </xf>
    <xf numFmtId="0" fontId="42" fillId="39" borderId="10" xfId="0" applyFont="1" applyFill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7" borderId="1" xfId="1" applyFont="1" applyFill="1" applyBorder="1" applyAlignment="1">
      <alignment horizontal="right" vertical="center"/>
    </xf>
    <xf numFmtId="0" fontId="1" fillId="7" borderId="1" xfId="1" applyFont="1" applyFill="1" applyBorder="1" applyAlignment="1">
      <alignment horizontal="center" vertical="center"/>
    </xf>
    <xf numFmtId="0" fontId="1" fillId="39" borderId="9" xfId="0" applyFont="1" applyFill="1" applyBorder="1" applyAlignment="1">
      <alignment horizontal="left" vertical="center"/>
    </xf>
    <xf numFmtId="0" fontId="24" fillId="39" borderId="1" xfId="1" applyFont="1" applyFill="1" applyBorder="1" applyAlignment="1">
      <alignment horizontal="left" vertical="center"/>
    </xf>
    <xf numFmtId="0" fontId="24" fillId="39" borderId="1" xfId="1" applyFont="1" applyFill="1" applyBorder="1" applyAlignment="1">
      <alignment vertical="center"/>
    </xf>
  </cellXfs>
  <cellStyles count="17">
    <cellStyle name="Comma 2" xfId="2" xr:uid="{0D4BE73F-B684-4CD1-8578-5852FA2A8C53}"/>
    <cellStyle name="Comma 3" xfId="4" xr:uid="{057C5A1B-393F-4687-B54B-064A7C4C85FA}"/>
    <cellStyle name="Comma 4" xfId="9" xr:uid="{C3D95A16-F6B2-4275-A5CB-16A08081339B}"/>
    <cellStyle name="Comma 5" xfId="15" xr:uid="{D8D4251C-A158-4946-B394-A97DAD5802A9}"/>
    <cellStyle name="Normal" xfId="0" builtinId="0"/>
    <cellStyle name="Normal 2" xfId="1" xr:uid="{364133B4-F4E8-4BA0-8C1E-35DA5E583666}"/>
    <cellStyle name="Normal 2 2" xfId="16" xr:uid="{514C9371-DB96-4A2F-8CC8-F2587F967CFB}"/>
    <cellStyle name="Normal 3" xfId="3" xr:uid="{5312EF39-E98E-430A-9990-0931B4F8E096}"/>
    <cellStyle name="Normal 3 2" xfId="6" xr:uid="{787DE542-2FD1-4B9A-A98D-6BA5E496BF0F}"/>
    <cellStyle name="Normal 3 2 2" xfId="11" xr:uid="{1C4555CC-A429-44E4-9CA9-B3EB6708A6C5}"/>
    <cellStyle name="Normal 4" xfId="5" xr:uid="{7CBCA7AC-B290-4C14-8F59-E1CCC0D8F5BE}"/>
    <cellStyle name="Normal 4 2" xfId="10" xr:uid="{7B5D9BB9-517D-4DDE-815C-DD964FDAB90F}"/>
    <cellStyle name="Normal 5" xfId="7" xr:uid="{CDA6466B-7F0F-434A-8ABE-C0182C400C9E}"/>
    <cellStyle name="Normal 6" xfId="8" xr:uid="{FA8DBD9A-52CF-4A6F-8F6A-023DF9F623B2}"/>
    <cellStyle name="Normal 7" xfId="12" xr:uid="{26836834-D15B-4162-ABFE-4DEEFA88BC48}"/>
    <cellStyle name="Normal 8" xfId="13" xr:uid="{FFD73068-2844-45A5-9D58-C253DD09DC99}"/>
    <cellStyle name="Normal 9" xfId="14" xr:uid="{934215EC-7AF7-4D41-825F-31956BEAD4FD}"/>
  </cellStyles>
  <dxfs count="2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C000"/>
        </patternFill>
      </fill>
    </dxf>
    <dxf>
      <font>
        <b/>
        <i val="0"/>
        <color rgb="FFFFFFFF"/>
      </font>
      <fill>
        <patternFill patternType="solid">
          <fgColor indexed="64"/>
          <bgColor rgb="FFC00000"/>
        </patternFill>
      </fill>
    </dxf>
    <dxf>
      <font>
        <b/>
        <i val="0"/>
        <color rgb="FFFFFFFF"/>
      </font>
      <fill>
        <patternFill patternType="solid">
          <fgColor indexed="64"/>
          <bgColor rgb="FFBF8F00"/>
        </patternFill>
      </fill>
    </dxf>
    <dxf>
      <font>
        <b/>
        <i val="0"/>
        <color rgb="FFFFFFFF"/>
      </font>
      <fill>
        <patternFill patternType="solid">
          <fgColor indexed="64"/>
          <bgColor rgb="FFFF0066"/>
        </patternFill>
      </fill>
    </dxf>
    <dxf>
      <font>
        <b/>
        <i val="0"/>
        <color rgb="FFFFFFFF"/>
      </font>
      <fill>
        <patternFill patternType="solid">
          <fgColor indexed="64"/>
          <bgColor rgb="FF00465A"/>
        </patternFill>
      </fill>
    </dxf>
    <dxf>
      <font>
        <b/>
        <i val="0"/>
        <color rgb="FFFFFFFF"/>
      </font>
      <fill>
        <patternFill patternType="solid">
          <fgColor indexed="64"/>
          <bgColor rgb="FF1E6B0A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92D050"/>
        </patternFill>
      </fill>
    </dxf>
    <dxf>
      <font>
        <b/>
        <i val="0"/>
        <color rgb="FFFFFFFF"/>
      </font>
      <fill>
        <patternFill patternType="solid">
          <fgColor indexed="64"/>
          <bgColor rgb="FFFFA602"/>
        </patternFill>
      </fill>
    </dxf>
    <dxf>
      <font>
        <b/>
        <i val="0"/>
        <color rgb="FFFFFFFF"/>
      </font>
      <fill>
        <patternFill patternType="solid">
          <fgColor indexed="64"/>
          <bgColor rgb="FF70AD47"/>
        </patternFill>
      </fill>
    </dxf>
    <dxf>
      <font>
        <color rgb="FF808080"/>
      </font>
      <fill>
        <patternFill patternType="solid">
          <fgColor indexed="64"/>
          <bgColor rgb="FFE7E6E6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 patternType="solid">
          <bgColor rgb="FF00465A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28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fgColor theme="0"/>
          <bgColor rgb="FF00B050"/>
        </patternFill>
      </fill>
    </dxf>
    <dxf>
      <font>
        <b/>
        <i val="0"/>
        <strike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7" tint="-0.24994659260841701"/>
        </patternFill>
      </fill>
    </dxf>
    <dxf>
      <font>
        <b/>
        <i val="0"/>
        <color theme="0"/>
      </font>
      <fill>
        <patternFill>
          <bgColor rgb="FFFF0066"/>
        </patternFill>
      </fill>
    </dxf>
    <dxf>
      <font>
        <b/>
        <i val="0"/>
        <color theme="0"/>
      </font>
      <fill>
        <patternFill>
          <bgColor rgb="FF1E6B0A"/>
        </patternFill>
      </fill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lor theme="0"/>
      </font>
      <fill>
        <patternFill>
          <bgColor rgb="FF92D050"/>
        </patternFill>
      </fill>
    </dxf>
    <dxf>
      <font>
        <b/>
        <i val="0"/>
        <strike val="0"/>
        <color theme="0"/>
      </font>
      <fill>
        <patternFill>
          <bgColor rgb="FFFFA602"/>
        </patternFill>
      </fill>
    </dxf>
    <dxf>
      <font>
        <b/>
        <i val="0"/>
        <color rgb="FFF40009"/>
      </font>
    </dxf>
  </dxfs>
  <tableStyles count="0" defaultTableStyle="TableStyleMedium2" defaultPivotStyle="PivotStyleLight16"/>
  <colors>
    <mruColors>
      <color rgb="FFFF0066"/>
      <color rgb="FFFFA602"/>
      <color rgb="FFC00000"/>
      <color rgb="FFFFFFC0"/>
      <color rgb="FFFFC000"/>
      <color rgb="FF1E6B0A"/>
      <color rgb="FF808080"/>
      <color rgb="FF1F4E79"/>
      <color rgb="FF2E75B6"/>
      <color rgb="FF8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60960</xdr:rowOff>
        </xdr:from>
        <xdr:to>
          <xdr:col>30</xdr:col>
          <xdr:colOff>708660</xdr:colOff>
          <xdr:row>0</xdr:row>
          <xdr:rowOff>579120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7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Click Here to Generate the Message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F31772-E9D2-4733-8FDA-970F9A76703D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5e473a0d-b7a4-4093-a383-71bc12717bb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B544-800A-4A2E-B661-C6EA0DDD8AFC}">
  <sheetPr codeName="Sheet1">
    <tabColor rgb="FF1F4E79"/>
  </sheetPr>
  <dimension ref="A1:I566"/>
  <sheetViews>
    <sheetView showGridLines="0" topLeftCell="A13" zoomScale="85" zoomScaleNormal="85" workbookViewId="0">
      <selection activeCell="B19" sqref="B19"/>
    </sheetView>
  </sheetViews>
  <sheetFormatPr defaultColWidth="8.6640625" defaultRowHeight="14.4"/>
  <cols>
    <col min="1" max="9" width="23.77734375" style="33" customWidth="1"/>
    <col min="10" max="16384" width="8.6640625" style="33"/>
  </cols>
  <sheetData>
    <row r="1" spans="1:9" ht="10.050000000000001" customHeight="1" thickBot="1"/>
    <row r="2" spans="1:9" ht="40.049999999999997" customHeight="1" thickBot="1">
      <c r="A2" s="265" t="s">
        <v>133</v>
      </c>
      <c r="B2" s="266"/>
      <c r="C2" s="266"/>
      <c r="D2" s="266"/>
      <c r="E2" s="266"/>
      <c r="F2" s="266"/>
      <c r="G2" s="266"/>
      <c r="H2" s="266"/>
      <c r="I2" s="266"/>
    </row>
    <row r="3" spans="1:9" ht="10.050000000000001" customHeight="1" thickBot="1"/>
    <row r="4" spans="1:9" ht="25.05" customHeight="1" thickBot="1">
      <c r="A4" s="264" t="s">
        <v>422</v>
      </c>
      <c r="B4" s="264"/>
      <c r="C4" s="264"/>
      <c r="D4" s="264"/>
      <c r="E4" s="264"/>
      <c r="F4" s="264"/>
      <c r="G4" s="264"/>
      <c r="H4" s="264"/>
      <c r="I4" s="264"/>
    </row>
    <row r="5" spans="1:9" s="48" customFormat="1" ht="30" customHeight="1" thickBot="1">
      <c r="A5" s="46" t="s">
        <v>110</v>
      </c>
      <c r="B5" s="55" t="s">
        <v>155</v>
      </c>
      <c r="C5" s="58" t="s">
        <v>108</v>
      </c>
      <c r="D5" s="67" t="s">
        <v>147</v>
      </c>
      <c r="E5" s="61" t="s">
        <v>148</v>
      </c>
      <c r="F5" s="70" t="s">
        <v>194</v>
      </c>
      <c r="G5" s="52" t="s">
        <v>17</v>
      </c>
      <c r="H5" s="64" t="s">
        <v>105</v>
      </c>
      <c r="I5" s="38" t="s">
        <v>111</v>
      </c>
    </row>
    <row r="6" spans="1:9" ht="49.95" customHeight="1" thickBot="1">
      <c r="A6" s="34">
        <v>33</v>
      </c>
      <c r="B6" s="56">
        <v>0</v>
      </c>
      <c r="C6" s="59">
        <v>2</v>
      </c>
      <c r="D6" s="68">
        <v>1</v>
      </c>
      <c r="E6" s="62">
        <v>2</v>
      </c>
      <c r="F6" s="71">
        <v>1</v>
      </c>
      <c r="G6" s="53">
        <v>26</v>
      </c>
      <c r="H6" s="65">
        <v>0</v>
      </c>
      <c r="I6" s="35">
        <v>0</v>
      </c>
    </row>
    <row r="7" spans="1:9" s="51" customFormat="1" ht="19.95" customHeight="1" thickBot="1">
      <c r="A7" s="49" t="s">
        <v>119</v>
      </c>
      <c r="B7" s="57" t="s">
        <v>124</v>
      </c>
      <c r="C7" s="60" t="s">
        <v>125</v>
      </c>
      <c r="D7" s="69" t="s">
        <v>126</v>
      </c>
      <c r="E7" s="63" t="s">
        <v>112</v>
      </c>
      <c r="F7" s="72" t="s">
        <v>114</v>
      </c>
      <c r="G7" s="54" t="s">
        <v>113</v>
      </c>
      <c r="H7" s="66" t="s">
        <v>115</v>
      </c>
      <c r="I7" s="50" t="s">
        <v>127</v>
      </c>
    </row>
    <row r="8" spans="1:9" ht="10.050000000000001" customHeight="1" thickBot="1"/>
    <row r="9" spans="1:9" ht="25.05" customHeight="1" thickBot="1">
      <c r="A9" s="263" t="s">
        <v>134</v>
      </c>
      <c r="B9" s="264"/>
      <c r="C9" s="264"/>
      <c r="D9" s="264"/>
      <c r="E9" s="264"/>
      <c r="F9" s="264"/>
      <c r="G9" s="264"/>
      <c r="H9" s="264"/>
      <c r="I9" s="264"/>
    </row>
    <row r="10" spans="1:9" s="47" customFormat="1" ht="49.95" customHeight="1" thickBot="1">
      <c r="A10" s="91" t="s">
        <v>3</v>
      </c>
      <c r="B10" s="91" t="s">
        <v>110</v>
      </c>
      <c r="C10" s="91" t="s">
        <v>117</v>
      </c>
      <c r="D10" s="91" t="s">
        <v>108</v>
      </c>
      <c r="E10" s="94" t="s">
        <v>157</v>
      </c>
      <c r="F10" s="125" t="s">
        <v>156</v>
      </c>
      <c r="G10" s="91" t="s">
        <v>17</v>
      </c>
      <c r="H10" s="91" t="s">
        <v>105</v>
      </c>
      <c r="I10" s="91" t="s">
        <v>135</v>
      </c>
    </row>
    <row r="11" spans="1:9" ht="30" customHeight="1" thickBot="1">
      <c r="A11" s="99" t="s">
        <v>86</v>
      </c>
      <c r="B11" s="95">
        <v>0</v>
      </c>
      <c r="C11" s="95">
        <v>0</v>
      </c>
      <c r="D11" s="95">
        <v>0</v>
      </c>
      <c r="E11" s="95">
        <v>0</v>
      </c>
      <c r="F11" s="96">
        <v>0</v>
      </c>
      <c r="G11" s="95">
        <v>0</v>
      </c>
      <c r="H11" s="95">
        <v>0</v>
      </c>
      <c r="I11" s="144">
        <v>0</v>
      </c>
    </row>
    <row r="12" spans="1:9" ht="30" customHeight="1" thickBot="1">
      <c r="A12" s="100" t="s">
        <v>103</v>
      </c>
      <c r="B12" s="89">
        <v>0</v>
      </c>
      <c r="C12" s="89">
        <v>0</v>
      </c>
      <c r="D12" s="89">
        <v>0</v>
      </c>
      <c r="E12" s="89">
        <v>0</v>
      </c>
      <c r="F12" s="90">
        <v>0</v>
      </c>
      <c r="G12" s="90">
        <v>0</v>
      </c>
      <c r="H12" s="90">
        <v>0</v>
      </c>
      <c r="I12" s="144">
        <v>0</v>
      </c>
    </row>
    <row r="13" spans="1:9" ht="30" customHeight="1" thickBot="1">
      <c r="A13" s="99" t="s">
        <v>9</v>
      </c>
      <c r="B13" s="97">
        <v>4</v>
      </c>
      <c r="C13" s="97">
        <v>0</v>
      </c>
      <c r="D13" s="97">
        <v>1</v>
      </c>
      <c r="E13" s="97">
        <v>1</v>
      </c>
      <c r="F13" s="98">
        <v>1</v>
      </c>
      <c r="G13" s="98">
        <v>1</v>
      </c>
      <c r="H13" s="98">
        <v>0</v>
      </c>
      <c r="I13" s="246">
        <v>0.5</v>
      </c>
    </row>
    <row r="14" spans="1:9" ht="30" customHeight="1" thickBot="1">
      <c r="A14" s="100" t="s">
        <v>12</v>
      </c>
      <c r="B14" s="89">
        <v>3</v>
      </c>
      <c r="C14" s="89">
        <v>0</v>
      </c>
      <c r="D14" s="89">
        <v>1</v>
      </c>
      <c r="E14" s="89">
        <v>0</v>
      </c>
      <c r="F14" s="90">
        <v>1</v>
      </c>
      <c r="G14" s="90">
        <v>1</v>
      </c>
      <c r="H14" s="90">
        <v>0</v>
      </c>
      <c r="I14" s="193">
        <v>0.33333333333333331</v>
      </c>
    </row>
    <row r="15" spans="1:9" ht="30" customHeight="1" thickBot="1">
      <c r="A15" s="99" t="s">
        <v>122</v>
      </c>
      <c r="B15" s="97">
        <v>0</v>
      </c>
      <c r="C15" s="97">
        <v>0</v>
      </c>
      <c r="D15" s="97">
        <v>0</v>
      </c>
      <c r="E15" s="97">
        <v>0</v>
      </c>
      <c r="F15" s="98">
        <v>0</v>
      </c>
      <c r="G15" s="98">
        <v>0</v>
      </c>
      <c r="H15" s="98">
        <v>0</v>
      </c>
      <c r="I15" s="144">
        <v>0</v>
      </c>
    </row>
    <row r="16" spans="1:9" ht="30" customHeight="1" thickBot="1">
      <c r="A16" s="100" t="s">
        <v>146</v>
      </c>
      <c r="B16" s="89">
        <v>0</v>
      </c>
      <c r="C16" s="89">
        <v>0</v>
      </c>
      <c r="D16" s="89">
        <v>0</v>
      </c>
      <c r="E16" s="89">
        <v>0</v>
      </c>
      <c r="F16" s="90">
        <v>0</v>
      </c>
      <c r="G16" s="90">
        <v>0</v>
      </c>
      <c r="H16" s="90">
        <v>0</v>
      </c>
      <c r="I16" s="144">
        <v>0</v>
      </c>
    </row>
    <row r="17" spans="1:9" ht="30" customHeight="1" thickBot="1">
      <c r="A17" s="99" t="s">
        <v>143</v>
      </c>
      <c r="B17" s="97">
        <v>0</v>
      </c>
      <c r="C17" s="97">
        <v>0</v>
      </c>
      <c r="D17" s="97">
        <v>0</v>
      </c>
      <c r="E17" s="97">
        <v>0</v>
      </c>
      <c r="F17" s="98">
        <v>0</v>
      </c>
      <c r="G17" s="98">
        <v>0</v>
      </c>
      <c r="H17" s="98">
        <v>0</v>
      </c>
      <c r="I17" s="144">
        <v>0</v>
      </c>
    </row>
    <row r="18" spans="1:9" ht="30" customHeight="1" thickBot="1">
      <c r="A18" s="100" t="s">
        <v>145</v>
      </c>
      <c r="B18" s="89">
        <v>0</v>
      </c>
      <c r="C18" s="89">
        <v>0</v>
      </c>
      <c r="D18" s="89">
        <v>0</v>
      </c>
      <c r="E18" s="89">
        <v>0</v>
      </c>
      <c r="F18" s="90">
        <v>0</v>
      </c>
      <c r="G18" s="90">
        <v>0</v>
      </c>
      <c r="H18" s="90">
        <v>0</v>
      </c>
      <c r="I18" s="144">
        <v>0</v>
      </c>
    </row>
    <row r="19" spans="1:9" ht="30" customHeight="1" thickBot="1">
      <c r="A19" s="99" t="s">
        <v>233</v>
      </c>
      <c r="B19" s="97">
        <v>26</v>
      </c>
      <c r="C19" s="97">
        <v>0</v>
      </c>
      <c r="D19" s="97">
        <v>0</v>
      </c>
      <c r="E19" s="97">
        <v>0</v>
      </c>
      <c r="F19" s="98">
        <v>0</v>
      </c>
      <c r="G19" s="98">
        <v>24</v>
      </c>
      <c r="H19" s="98">
        <v>0</v>
      </c>
      <c r="I19" s="144">
        <v>0</v>
      </c>
    </row>
    <row r="20" spans="1:9" ht="30" customHeight="1" thickBot="1">
      <c r="A20" s="100" t="s">
        <v>136</v>
      </c>
      <c r="B20" s="89">
        <v>33</v>
      </c>
      <c r="C20" s="89">
        <v>0</v>
      </c>
      <c r="D20" s="89">
        <v>2</v>
      </c>
      <c r="E20" s="89">
        <v>1</v>
      </c>
      <c r="F20" s="90">
        <v>2</v>
      </c>
      <c r="G20" s="90">
        <v>26</v>
      </c>
      <c r="H20" s="90">
        <v>0</v>
      </c>
      <c r="I20" s="193">
        <v>9.0909090909090912E-2</v>
      </c>
    </row>
    <row r="21" spans="1:9" ht="30" customHeight="1" thickBot="1">
      <c r="A21" s="91" t="s">
        <v>116</v>
      </c>
      <c r="B21" s="92">
        <v>32</v>
      </c>
      <c r="C21" s="92">
        <v>0</v>
      </c>
      <c r="D21" s="92">
        <v>0</v>
      </c>
      <c r="E21" s="92">
        <v>2</v>
      </c>
      <c r="F21" s="93">
        <v>1</v>
      </c>
      <c r="G21" s="93">
        <v>26</v>
      </c>
      <c r="H21" s="93">
        <v>0</v>
      </c>
      <c r="I21" s="145">
        <v>6.25E-2</v>
      </c>
    </row>
    <row r="22" spans="1:9">
      <c r="A22"/>
      <c r="B22"/>
      <c r="C22"/>
      <c r="D22"/>
      <c r="E22"/>
    </row>
    <row r="23" spans="1:9">
      <c r="A23"/>
      <c r="B23"/>
      <c r="C23" s="106"/>
      <c r="D23" s="106"/>
      <c r="E23" s="106"/>
      <c r="F23" s="107"/>
    </row>
    <row r="24" spans="1:9">
      <c r="A24"/>
      <c r="B24"/>
      <c r="C24" s="106"/>
      <c r="D24" s="106"/>
      <c r="E24" s="106"/>
      <c r="F24" s="107"/>
    </row>
    <row r="25" spans="1:9">
      <c r="A25"/>
      <c r="B25"/>
      <c r="C25" s="106"/>
      <c r="D25" s="106"/>
      <c r="E25" s="106"/>
      <c r="F25" s="107"/>
    </row>
    <row r="26" spans="1:9">
      <c r="A26"/>
      <c r="B26"/>
      <c r="C26" s="106"/>
      <c r="D26" s="106"/>
      <c r="E26" s="106"/>
      <c r="F26" s="107"/>
    </row>
    <row r="27" spans="1:9">
      <c r="A27"/>
      <c r="B27"/>
      <c r="C27" s="106"/>
      <c r="D27" s="106"/>
      <c r="E27" s="106"/>
      <c r="F27" s="107"/>
    </row>
    <row r="28" spans="1:9">
      <c r="A28"/>
      <c r="B28"/>
      <c r="C28" s="106"/>
      <c r="D28" s="106"/>
      <c r="E28" s="106"/>
      <c r="F28" s="107"/>
    </row>
    <row r="29" spans="1:9">
      <c r="A29"/>
      <c r="B29"/>
      <c r="C29" s="106"/>
      <c r="D29" s="106"/>
      <c r="E29" s="106"/>
      <c r="F29" s="107"/>
    </row>
    <row r="30" spans="1:9">
      <c r="A30"/>
      <c r="B30"/>
      <c r="C30" s="106"/>
      <c r="D30" s="106"/>
      <c r="E30" s="106"/>
      <c r="F30" s="107"/>
    </row>
    <row r="31" spans="1:9">
      <c r="A31"/>
      <c r="B31"/>
      <c r="C31" s="106"/>
      <c r="D31" s="106"/>
      <c r="E31" s="106"/>
      <c r="F31" s="107"/>
    </row>
    <row r="32" spans="1:9">
      <c r="A32"/>
      <c r="B32"/>
      <c r="C32" s="106"/>
      <c r="D32" s="106"/>
      <c r="E32" s="106"/>
      <c r="F32" s="107"/>
    </row>
    <row r="33" spans="1:6">
      <c r="A33"/>
      <c r="B33"/>
      <c r="C33" s="106"/>
      <c r="D33" s="106"/>
      <c r="E33" s="106"/>
      <c r="F33" s="107"/>
    </row>
    <row r="34" spans="1:6">
      <c r="A34"/>
      <c r="B34"/>
      <c r="C34" s="106"/>
      <c r="D34" s="106"/>
      <c r="E34" s="106"/>
      <c r="F34" s="107"/>
    </row>
    <row r="35" spans="1:6">
      <c r="A35"/>
      <c r="B35"/>
      <c r="C35" s="106"/>
      <c r="D35" s="106"/>
      <c r="E35" s="106"/>
      <c r="F35" s="107"/>
    </row>
    <row r="36" spans="1:6">
      <c r="A36"/>
      <c r="B36"/>
      <c r="C36" s="106"/>
      <c r="D36" s="106"/>
      <c r="E36" s="106"/>
      <c r="F36" s="107"/>
    </row>
    <row r="37" spans="1:6">
      <c r="A37"/>
      <c r="B37"/>
      <c r="C37" s="106"/>
      <c r="D37" s="106"/>
      <c r="E37" s="106"/>
      <c r="F37" s="107"/>
    </row>
    <row r="38" spans="1:6">
      <c r="A38"/>
      <c r="B38"/>
      <c r="C38" s="106"/>
      <c r="D38" s="106"/>
      <c r="E38" s="106"/>
      <c r="F38" s="107"/>
    </row>
    <row r="39" spans="1:6">
      <c r="A39"/>
      <c r="B39"/>
      <c r="C39" s="106"/>
      <c r="D39" s="106"/>
      <c r="E39" s="106"/>
      <c r="F39" s="107"/>
    </row>
    <row r="40" spans="1:6">
      <c r="A40"/>
      <c r="B40"/>
      <c r="C40" s="106"/>
      <c r="D40" s="106"/>
      <c r="E40" s="106"/>
      <c r="F40" s="107"/>
    </row>
    <row r="41" spans="1:6">
      <c r="A41"/>
      <c r="B41"/>
      <c r="C41" s="106"/>
      <c r="D41" s="106"/>
      <c r="E41" s="106"/>
      <c r="F41" s="107"/>
    </row>
    <row r="42" spans="1:6">
      <c r="A42"/>
      <c r="B42"/>
      <c r="C42" s="106"/>
      <c r="D42" s="106"/>
      <c r="E42" s="106"/>
      <c r="F42" s="107"/>
    </row>
    <row r="43" spans="1:6">
      <c r="A43"/>
      <c r="B43"/>
      <c r="C43" s="106"/>
      <c r="D43" s="106"/>
      <c r="E43" s="106"/>
      <c r="F43" s="107"/>
    </row>
    <row r="44" spans="1:6">
      <c r="A44"/>
      <c r="B44"/>
      <c r="C44" s="106"/>
      <c r="D44" s="106"/>
      <c r="E44" s="106"/>
      <c r="F44" s="107"/>
    </row>
    <row r="45" spans="1:6">
      <c r="A45"/>
      <c r="B45"/>
      <c r="C45" s="106"/>
      <c r="D45" s="106"/>
      <c r="E45" s="106"/>
      <c r="F45" s="107"/>
    </row>
    <row r="46" spans="1:6">
      <c r="A46"/>
      <c r="B46"/>
      <c r="C46" s="106"/>
      <c r="D46" s="106"/>
      <c r="E46" s="106"/>
      <c r="F46" s="107"/>
    </row>
    <row r="47" spans="1:6">
      <c r="A47"/>
      <c r="B47"/>
      <c r="C47" s="106"/>
      <c r="D47" s="106"/>
      <c r="E47" s="106"/>
      <c r="F47" s="107"/>
    </row>
    <row r="48" spans="1:6">
      <c r="A48"/>
      <c r="B48"/>
      <c r="C48" s="106"/>
      <c r="D48" s="106"/>
      <c r="E48" s="106"/>
      <c r="F48" s="107"/>
    </row>
    <row r="49" spans="1:6">
      <c r="A49"/>
      <c r="B49"/>
      <c r="C49" s="106"/>
      <c r="D49" s="106"/>
      <c r="E49" s="106"/>
      <c r="F49" s="107"/>
    </row>
    <row r="50" spans="1:6">
      <c r="A50"/>
      <c r="B50"/>
      <c r="C50" s="106"/>
      <c r="D50" s="106"/>
      <c r="E50" s="106"/>
      <c r="F50" s="107"/>
    </row>
    <row r="51" spans="1:6">
      <c r="A51"/>
      <c r="B51"/>
      <c r="C51" s="106"/>
      <c r="D51" s="106"/>
      <c r="E51" s="106"/>
      <c r="F51" s="107"/>
    </row>
    <row r="52" spans="1:6">
      <c r="A52"/>
      <c r="B52"/>
      <c r="C52" s="106"/>
      <c r="D52" s="106"/>
      <c r="E52" s="106"/>
      <c r="F52" s="107"/>
    </row>
    <row r="53" spans="1:6">
      <c r="A53"/>
      <c r="B53"/>
      <c r="C53" s="106"/>
      <c r="D53" s="106"/>
      <c r="E53" s="106"/>
      <c r="F53" s="107"/>
    </row>
    <row r="54" spans="1:6">
      <c r="A54"/>
      <c r="B54"/>
      <c r="C54" s="106"/>
      <c r="D54" s="106"/>
      <c r="E54" s="106"/>
      <c r="F54" s="107"/>
    </row>
    <row r="55" spans="1:6">
      <c r="A55"/>
      <c r="B55"/>
      <c r="C55" s="106"/>
      <c r="D55" s="106"/>
      <c r="E55" s="106"/>
      <c r="F55" s="107"/>
    </row>
    <row r="56" spans="1:6">
      <c r="A56"/>
      <c r="B56"/>
      <c r="C56" s="106"/>
      <c r="D56" s="106"/>
      <c r="E56" s="106"/>
      <c r="F56" s="107"/>
    </row>
    <row r="57" spans="1:6">
      <c r="A57"/>
      <c r="B57"/>
      <c r="C57" s="106"/>
      <c r="D57" s="106"/>
      <c r="E57" s="106"/>
      <c r="F57" s="107"/>
    </row>
    <row r="58" spans="1:6">
      <c r="A58"/>
      <c r="B58"/>
      <c r="C58" s="106"/>
      <c r="D58" s="106"/>
      <c r="E58" s="106"/>
      <c r="F58" s="107"/>
    </row>
    <row r="59" spans="1:6">
      <c r="A59"/>
      <c r="B59"/>
      <c r="C59" s="106"/>
      <c r="D59" s="106"/>
      <c r="E59" s="106"/>
      <c r="F59" s="107"/>
    </row>
    <row r="60" spans="1:6">
      <c r="A60"/>
      <c r="B60"/>
      <c r="C60" s="106"/>
      <c r="D60" s="106"/>
      <c r="E60" s="106"/>
      <c r="F60" s="107"/>
    </row>
    <row r="61" spans="1:6">
      <c r="A61"/>
      <c r="B61"/>
      <c r="C61" s="106"/>
      <c r="D61" s="106"/>
      <c r="E61" s="106"/>
      <c r="F61" s="107"/>
    </row>
    <row r="62" spans="1:6">
      <c r="A62"/>
      <c r="B62"/>
      <c r="C62" s="106"/>
      <c r="D62" s="106"/>
      <c r="E62" s="106"/>
      <c r="F62" s="107"/>
    </row>
    <row r="63" spans="1:6">
      <c r="A63"/>
      <c r="B63"/>
      <c r="C63" s="106"/>
      <c r="D63" s="106"/>
      <c r="E63" s="106"/>
      <c r="F63" s="107"/>
    </row>
    <row r="64" spans="1:6">
      <c r="A64"/>
      <c r="B64"/>
      <c r="C64" s="106"/>
      <c r="D64" s="106"/>
      <c r="E64" s="106"/>
      <c r="F64" s="107"/>
    </row>
    <row r="65" spans="1:6">
      <c r="A65"/>
      <c r="B65"/>
      <c r="C65" s="106"/>
      <c r="D65" s="106"/>
      <c r="E65" s="106"/>
      <c r="F65" s="107"/>
    </row>
    <row r="66" spans="1:6">
      <c r="A66"/>
      <c r="B66"/>
      <c r="C66" s="106"/>
      <c r="D66" s="106"/>
      <c r="E66" s="106"/>
      <c r="F66" s="107"/>
    </row>
    <row r="67" spans="1:6">
      <c r="A67"/>
      <c r="B67"/>
      <c r="C67" s="106"/>
      <c r="D67" s="106"/>
      <c r="E67" s="106"/>
      <c r="F67" s="107"/>
    </row>
    <row r="68" spans="1:6">
      <c r="A68"/>
      <c r="B68"/>
      <c r="C68" s="106"/>
      <c r="D68" s="106"/>
      <c r="E68" s="106"/>
      <c r="F68" s="107"/>
    </row>
    <row r="69" spans="1:6">
      <c r="A69"/>
      <c r="B69"/>
      <c r="C69" s="106"/>
      <c r="D69" s="106"/>
      <c r="E69" s="106"/>
      <c r="F69" s="107"/>
    </row>
    <row r="70" spans="1:6">
      <c r="A70"/>
      <c r="B70"/>
      <c r="C70" s="106"/>
      <c r="D70" s="106"/>
      <c r="E70" s="106"/>
      <c r="F70" s="107"/>
    </row>
    <row r="71" spans="1:6">
      <c r="A71"/>
      <c r="B71"/>
      <c r="C71" s="106"/>
      <c r="D71" s="106"/>
      <c r="E71" s="106"/>
      <c r="F71" s="107"/>
    </row>
    <row r="72" spans="1:6">
      <c r="A72"/>
      <c r="B72"/>
      <c r="C72" s="106"/>
      <c r="D72" s="106"/>
      <c r="E72" s="106"/>
      <c r="F72" s="107"/>
    </row>
    <row r="73" spans="1:6">
      <c r="A73"/>
      <c r="B73"/>
      <c r="C73" s="106"/>
      <c r="D73" s="106"/>
      <c r="E73" s="106"/>
      <c r="F73" s="107"/>
    </row>
    <row r="74" spans="1:6">
      <c r="A74"/>
      <c r="B74"/>
      <c r="C74" s="106"/>
      <c r="D74" s="106"/>
      <c r="E74" s="106"/>
      <c r="F74" s="107"/>
    </row>
    <row r="75" spans="1:6">
      <c r="A75"/>
      <c r="B75"/>
      <c r="C75" s="106"/>
      <c r="D75" s="106"/>
      <c r="E75" s="106"/>
      <c r="F75" s="107"/>
    </row>
    <row r="76" spans="1:6">
      <c r="A76"/>
      <c r="B76"/>
      <c r="C76" s="106"/>
      <c r="D76" s="106"/>
      <c r="E76" s="106"/>
      <c r="F76" s="107"/>
    </row>
    <row r="77" spans="1:6">
      <c r="A77"/>
      <c r="B77"/>
      <c r="C77" s="106"/>
      <c r="D77" s="106"/>
      <c r="E77" s="106"/>
      <c r="F77" s="107"/>
    </row>
    <row r="78" spans="1:6">
      <c r="A78"/>
      <c r="B78"/>
      <c r="C78" s="106"/>
      <c r="D78" s="106"/>
      <c r="E78" s="106"/>
      <c r="F78" s="107"/>
    </row>
    <row r="79" spans="1:6">
      <c r="A79"/>
      <c r="B79"/>
      <c r="C79" s="106"/>
      <c r="D79" s="106"/>
      <c r="E79" s="106"/>
      <c r="F79" s="107"/>
    </row>
    <row r="80" spans="1:6">
      <c r="A80"/>
      <c r="B80"/>
      <c r="C80" s="106"/>
      <c r="D80" s="106"/>
      <c r="E80" s="106"/>
      <c r="F80" s="107"/>
    </row>
    <row r="81" spans="1:6">
      <c r="A81"/>
      <c r="B81"/>
      <c r="C81" s="106"/>
      <c r="D81" s="106"/>
      <c r="E81" s="106"/>
      <c r="F81" s="107"/>
    </row>
    <row r="82" spans="1:6">
      <c r="A82"/>
      <c r="B82"/>
      <c r="C82" s="106"/>
      <c r="D82" s="106"/>
      <c r="E82" s="106"/>
      <c r="F82" s="107"/>
    </row>
    <row r="83" spans="1:6">
      <c r="A83"/>
      <c r="B83"/>
      <c r="C83" s="106"/>
      <c r="D83" s="106"/>
      <c r="E83" s="106"/>
      <c r="F83" s="107"/>
    </row>
    <row r="84" spans="1:6">
      <c r="A84"/>
      <c r="B84"/>
      <c r="C84" s="106"/>
      <c r="D84" s="106"/>
      <c r="E84" s="106"/>
      <c r="F84" s="107"/>
    </row>
    <row r="85" spans="1:6">
      <c r="A85"/>
      <c r="B85"/>
      <c r="C85" s="106"/>
      <c r="D85" s="106"/>
      <c r="E85" s="106"/>
      <c r="F85" s="107"/>
    </row>
    <row r="86" spans="1:6">
      <c r="A86"/>
      <c r="B86"/>
      <c r="C86" s="106"/>
      <c r="D86" s="106"/>
      <c r="E86" s="106"/>
      <c r="F86" s="107"/>
    </row>
    <row r="87" spans="1:6">
      <c r="A87"/>
      <c r="B87"/>
      <c r="C87" s="106"/>
      <c r="D87" s="106"/>
      <c r="E87" s="106"/>
      <c r="F87" s="107"/>
    </row>
    <row r="88" spans="1:6">
      <c r="A88"/>
      <c r="B88"/>
      <c r="C88" s="106"/>
      <c r="D88" s="106"/>
      <c r="E88" s="106"/>
      <c r="F88" s="107"/>
    </row>
    <row r="89" spans="1:6">
      <c r="A89"/>
      <c r="B89"/>
      <c r="C89" s="106"/>
      <c r="D89" s="106"/>
      <c r="E89" s="106"/>
      <c r="F89" s="107"/>
    </row>
    <row r="90" spans="1:6">
      <c r="A90"/>
      <c r="B90"/>
      <c r="C90" s="106"/>
      <c r="D90" s="106"/>
      <c r="E90" s="106"/>
      <c r="F90" s="107"/>
    </row>
    <row r="91" spans="1:6">
      <c r="A91"/>
      <c r="B91"/>
      <c r="C91" s="106"/>
      <c r="D91" s="106"/>
      <c r="E91" s="106"/>
      <c r="F91" s="107"/>
    </row>
    <row r="92" spans="1:6">
      <c r="A92"/>
      <c r="B92"/>
      <c r="C92" s="106"/>
      <c r="D92" s="106"/>
      <c r="E92" s="106"/>
      <c r="F92" s="107"/>
    </row>
    <row r="93" spans="1:6">
      <c r="A93"/>
      <c r="B93"/>
      <c r="C93" s="106"/>
      <c r="D93" s="106"/>
      <c r="E93" s="106"/>
      <c r="F93" s="107"/>
    </row>
    <row r="94" spans="1:6">
      <c r="A94"/>
      <c r="B94"/>
      <c r="C94" s="106"/>
      <c r="D94" s="106"/>
      <c r="E94" s="106"/>
      <c r="F94" s="107"/>
    </row>
    <row r="95" spans="1:6">
      <c r="A95"/>
      <c r="B95"/>
      <c r="C95" s="106"/>
      <c r="D95" s="106"/>
      <c r="E95" s="106"/>
      <c r="F95" s="107"/>
    </row>
    <row r="96" spans="1:6">
      <c r="A96"/>
      <c r="B96"/>
      <c r="C96" s="106"/>
      <c r="D96" s="106"/>
      <c r="E96" s="106"/>
      <c r="F96" s="107"/>
    </row>
    <row r="97" spans="1:6">
      <c r="A97"/>
      <c r="B97"/>
      <c r="C97" s="106"/>
      <c r="D97" s="106"/>
      <c r="E97" s="106"/>
      <c r="F97" s="107"/>
    </row>
    <row r="98" spans="1:6">
      <c r="A98"/>
      <c r="B98"/>
      <c r="C98" s="106"/>
      <c r="D98" s="106"/>
      <c r="E98" s="106"/>
      <c r="F98" s="107"/>
    </row>
    <row r="99" spans="1:6">
      <c r="A99"/>
      <c r="B99"/>
      <c r="C99" s="106"/>
      <c r="D99" s="106"/>
      <c r="E99" s="106"/>
      <c r="F99" s="107"/>
    </row>
    <row r="100" spans="1:6">
      <c r="A100"/>
      <c r="B100"/>
      <c r="C100" s="106"/>
      <c r="D100" s="106"/>
      <c r="E100" s="106"/>
      <c r="F100" s="107"/>
    </row>
    <row r="101" spans="1:6">
      <c r="A101"/>
      <c r="B101"/>
      <c r="C101" s="106"/>
      <c r="D101" s="106"/>
      <c r="E101" s="106"/>
      <c r="F101" s="107"/>
    </row>
    <row r="102" spans="1:6">
      <c r="A102"/>
      <c r="B102"/>
      <c r="C102" s="106"/>
      <c r="D102" s="106"/>
      <c r="E102" s="106"/>
      <c r="F102" s="107"/>
    </row>
    <row r="103" spans="1:6">
      <c r="A103"/>
      <c r="B103"/>
      <c r="C103" s="106"/>
      <c r="D103" s="106"/>
      <c r="E103" s="106"/>
      <c r="F103" s="107"/>
    </row>
    <row r="104" spans="1:6">
      <c r="A104"/>
      <c r="B104"/>
      <c r="C104" s="106"/>
      <c r="D104" s="106"/>
      <c r="E104" s="106"/>
      <c r="F104" s="107"/>
    </row>
    <row r="105" spans="1:6">
      <c r="A105"/>
      <c r="B105"/>
      <c r="C105" s="106"/>
      <c r="D105" s="106"/>
      <c r="E105" s="106"/>
      <c r="F105" s="107"/>
    </row>
    <row r="106" spans="1:6">
      <c r="A106"/>
      <c r="B106"/>
      <c r="C106" s="106"/>
      <c r="D106" s="106"/>
      <c r="E106" s="106"/>
      <c r="F106" s="107"/>
    </row>
    <row r="107" spans="1:6">
      <c r="A107"/>
      <c r="B107"/>
      <c r="C107" s="106"/>
      <c r="D107" s="106"/>
      <c r="E107" s="106"/>
      <c r="F107" s="107"/>
    </row>
    <row r="108" spans="1:6">
      <c r="A108"/>
      <c r="B108"/>
      <c r="C108" s="106"/>
      <c r="D108" s="106"/>
      <c r="E108" s="106"/>
      <c r="F108" s="107"/>
    </row>
    <row r="109" spans="1:6">
      <c r="A109"/>
      <c r="B109"/>
      <c r="C109" s="106"/>
      <c r="D109" s="106"/>
      <c r="E109" s="106"/>
      <c r="F109" s="107"/>
    </row>
    <row r="110" spans="1:6">
      <c r="A110"/>
      <c r="B110"/>
      <c r="C110" s="106"/>
      <c r="D110" s="106"/>
      <c r="E110" s="106"/>
      <c r="F110" s="107"/>
    </row>
    <row r="111" spans="1:6">
      <c r="A111"/>
      <c r="B111"/>
      <c r="C111" s="106"/>
      <c r="D111" s="106"/>
      <c r="E111" s="106"/>
      <c r="F111" s="107"/>
    </row>
    <row r="112" spans="1:6">
      <c r="A112"/>
      <c r="B112"/>
      <c r="C112" s="106"/>
      <c r="D112" s="106"/>
      <c r="E112" s="106"/>
      <c r="F112" s="107"/>
    </row>
    <row r="113" spans="1:6">
      <c r="A113"/>
      <c r="B113"/>
      <c r="C113" s="106"/>
      <c r="D113" s="106"/>
      <c r="E113" s="106"/>
      <c r="F113" s="107"/>
    </row>
    <row r="114" spans="1:6">
      <c r="A114"/>
      <c r="B114"/>
      <c r="C114" s="106"/>
      <c r="D114" s="106"/>
      <c r="E114" s="106"/>
      <c r="F114" s="107"/>
    </row>
    <row r="115" spans="1:6">
      <c r="A115"/>
      <c r="B115"/>
      <c r="C115" s="106"/>
      <c r="D115" s="106"/>
      <c r="E115" s="106"/>
      <c r="F115" s="107"/>
    </row>
    <row r="116" spans="1:6">
      <c r="A116"/>
      <c r="B116"/>
      <c r="C116" s="106"/>
      <c r="D116" s="106"/>
      <c r="E116" s="106"/>
      <c r="F116" s="107"/>
    </row>
    <row r="117" spans="1:6">
      <c r="A117"/>
      <c r="B117"/>
      <c r="C117" s="106"/>
      <c r="D117" s="106"/>
      <c r="E117" s="106"/>
      <c r="F117" s="107"/>
    </row>
    <row r="118" spans="1:6">
      <c r="A118"/>
      <c r="B118"/>
      <c r="C118" s="106"/>
      <c r="D118" s="106"/>
      <c r="E118" s="106"/>
      <c r="F118" s="107"/>
    </row>
    <row r="119" spans="1:6">
      <c r="A119"/>
      <c r="B119"/>
      <c r="C119" s="106"/>
      <c r="D119" s="106"/>
      <c r="E119" s="106"/>
      <c r="F119" s="107"/>
    </row>
    <row r="120" spans="1:6">
      <c r="A120"/>
      <c r="B120"/>
      <c r="C120" s="106"/>
      <c r="D120" s="106"/>
      <c r="E120" s="106"/>
      <c r="F120" s="107"/>
    </row>
    <row r="121" spans="1:6">
      <c r="A121"/>
      <c r="B121"/>
      <c r="C121" s="106"/>
      <c r="D121" s="106"/>
      <c r="E121" s="106"/>
      <c r="F121" s="107"/>
    </row>
    <row r="122" spans="1:6">
      <c r="A122"/>
      <c r="B122"/>
      <c r="C122" s="106"/>
      <c r="D122" s="106"/>
      <c r="E122" s="106"/>
      <c r="F122" s="107"/>
    </row>
    <row r="123" spans="1:6">
      <c r="A123"/>
      <c r="B123"/>
      <c r="C123" s="106"/>
      <c r="D123" s="106"/>
      <c r="E123" s="106"/>
      <c r="F123" s="107"/>
    </row>
    <row r="124" spans="1:6">
      <c r="A124"/>
      <c r="B124"/>
      <c r="C124" s="106"/>
      <c r="D124" s="106"/>
      <c r="E124" s="106"/>
      <c r="F124" s="107"/>
    </row>
    <row r="125" spans="1:6">
      <c r="A125"/>
      <c r="B125"/>
      <c r="C125" s="106"/>
      <c r="D125" s="106"/>
      <c r="E125" s="106"/>
      <c r="F125" s="107"/>
    </row>
    <row r="126" spans="1:6">
      <c r="A126"/>
      <c r="B126"/>
      <c r="C126" s="106"/>
      <c r="D126" s="106"/>
      <c r="E126" s="106"/>
      <c r="F126" s="107"/>
    </row>
    <row r="127" spans="1:6">
      <c r="A127"/>
      <c r="B127"/>
      <c r="C127" s="106"/>
      <c r="D127" s="106"/>
      <c r="E127" s="106"/>
      <c r="F127" s="107"/>
    </row>
    <row r="128" spans="1:6">
      <c r="A128"/>
      <c r="B128"/>
      <c r="C128" s="106"/>
      <c r="D128" s="106"/>
      <c r="E128" s="106"/>
      <c r="F128" s="107"/>
    </row>
    <row r="129" spans="1:6">
      <c r="A129"/>
      <c r="B129"/>
      <c r="C129" s="106"/>
      <c r="D129" s="106"/>
      <c r="E129" s="106"/>
      <c r="F129" s="107"/>
    </row>
    <row r="130" spans="1:6">
      <c r="A130"/>
      <c r="B130"/>
      <c r="C130" s="106"/>
      <c r="D130" s="106"/>
      <c r="E130" s="106"/>
      <c r="F130" s="107"/>
    </row>
    <row r="131" spans="1:6">
      <c r="A131"/>
      <c r="B131"/>
      <c r="C131" s="106"/>
      <c r="D131" s="106"/>
      <c r="E131" s="106"/>
      <c r="F131" s="107"/>
    </row>
    <row r="132" spans="1:6">
      <c r="A132"/>
      <c r="B132"/>
      <c r="C132" s="106"/>
      <c r="D132" s="106"/>
      <c r="E132" s="106"/>
      <c r="F132" s="107"/>
    </row>
    <row r="133" spans="1:6">
      <c r="A133"/>
      <c r="B133"/>
      <c r="C133" s="106"/>
      <c r="D133" s="106"/>
      <c r="E133" s="106"/>
      <c r="F133" s="107"/>
    </row>
    <row r="134" spans="1:6">
      <c r="A134"/>
      <c r="B134"/>
      <c r="C134" s="106"/>
      <c r="D134" s="106"/>
      <c r="E134" s="106"/>
      <c r="F134" s="107"/>
    </row>
    <row r="135" spans="1:6">
      <c r="A135"/>
      <c r="B135"/>
      <c r="C135" s="106"/>
      <c r="D135" s="106"/>
      <c r="E135" s="106"/>
      <c r="F135" s="107"/>
    </row>
    <row r="136" spans="1:6">
      <c r="A136"/>
      <c r="B136"/>
      <c r="C136" s="106"/>
      <c r="D136" s="106"/>
      <c r="E136" s="106"/>
      <c r="F136" s="107"/>
    </row>
    <row r="137" spans="1:6">
      <c r="A137"/>
      <c r="B137"/>
      <c r="C137" s="106"/>
      <c r="D137" s="106"/>
      <c r="E137" s="106"/>
      <c r="F137" s="107"/>
    </row>
    <row r="138" spans="1:6">
      <c r="A138"/>
      <c r="B138"/>
      <c r="C138" s="106"/>
      <c r="D138" s="106"/>
      <c r="E138" s="106"/>
      <c r="F138" s="107"/>
    </row>
    <row r="139" spans="1:6">
      <c r="A139"/>
      <c r="B139"/>
      <c r="C139" s="106"/>
      <c r="D139" s="106"/>
      <c r="E139" s="106"/>
      <c r="F139" s="107"/>
    </row>
    <row r="140" spans="1:6">
      <c r="A140"/>
      <c r="B140"/>
      <c r="C140" s="106"/>
      <c r="D140" s="106"/>
      <c r="E140" s="106"/>
      <c r="F140" s="107"/>
    </row>
    <row r="141" spans="1:6">
      <c r="A141"/>
      <c r="B141"/>
      <c r="C141" s="106"/>
      <c r="D141" s="106"/>
      <c r="E141" s="106"/>
      <c r="F141" s="107"/>
    </row>
    <row r="142" spans="1:6">
      <c r="A142"/>
      <c r="B142"/>
      <c r="C142" s="106"/>
      <c r="D142" s="106"/>
      <c r="E142" s="106"/>
      <c r="F142" s="107"/>
    </row>
    <row r="143" spans="1:6">
      <c r="A143"/>
      <c r="B143"/>
      <c r="C143" s="106"/>
      <c r="D143" s="106"/>
      <c r="E143" s="106"/>
      <c r="F143" s="107"/>
    </row>
    <row r="144" spans="1:6">
      <c r="A144"/>
      <c r="B144"/>
      <c r="C144" s="106"/>
      <c r="D144" s="106"/>
      <c r="E144" s="106"/>
      <c r="F144" s="107"/>
    </row>
    <row r="145" spans="1:6">
      <c r="A145"/>
      <c r="B145"/>
      <c r="C145" s="106"/>
      <c r="D145" s="106"/>
      <c r="E145" s="106"/>
      <c r="F145" s="107"/>
    </row>
    <row r="146" spans="1:6">
      <c r="A146"/>
      <c r="B146"/>
      <c r="C146" s="106"/>
      <c r="D146" s="106"/>
      <c r="E146" s="106"/>
      <c r="F146" s="107"/>
    </row>
    <row r="147" spans="1:6">
      <c r="A147"/>
      <c r="B147"/>
      <c r="C147" s="106"/>
      <c r="D147" s="106"/>
      <c r="E147" s="106"/>
      <c r="F147" s="107"/>
    </row>
    <row r="148" spans="1:6">
      <c r="A148"/>
      <c r="B148"/>
      <c r="C148" s="106"/>
      <c r="D148" s="106"/>
      <c r="E148" s="106"/>
      <c r="F148" s="107"/>
    </row>
    <row r="149" spans="1:6">
      <c r="A149"/>
      <c r="B149"/>
      <c r="C149" s="106"/>
      <c r="D149" s="106"/>
      <c r="E149" s="106"/>
      <c r="F149" s="107"/>
    </row>
    <row r="150" spans="1:6">
      <c r="A150"/>
      <c r="B150"/>
      <c r="C150" s="106"/>
      <c r="D150" s="106"/>
      <c r="E150" s="106"/>
      <c r="F150" s="107"/>
    </row>
    <row r="151" spans="1:6">
      <c r="A151"/>
      <c r="B151"/>
      <c r="C151" s="106"/>
      <c r="D151" s="106"/>
      <c r="E151" s="106"/>
      <c r="F151" s="107"/>
    </row>
    <row r="152" spans="1:6">
      <c r="A152"/>
      <c r="B152"/>
      <c r="C152" s="106"/>
      <c r="D152" s="106"/>
      <c r="E152" s="106"/>
      <c r="F152" s="107"/>
    </row>
    <row r="153" spans="1:6">
      <c r="A153"/>
      <c r="B153"/>
      <c r="C153" s="106"/>
      <c r="D153" s="106"/>
      <c r="E153" s="106"/>
      <c r="F153" s="107"/>
    </row>
    <row r="154" spans="1:6">
      <c r="A154"/>
      <c r="B154"/>
      <c r="C154" s="106"/>
      <c r="D154" s="106"/>
      <c r="E154" s="106"/>
      <c r="F154" s="107"/>
    </row>
    <row r="155" spans="1:6">
      <c r="A155"/>
      <c r="B155"/>
      <c r="C155" s="106"/>
      <c r="D155" s="106"/>
      <c r="E155" s="106"/>
      <c r="F155" s="107"/>
    </row>
    <row r="156" spans="1:6">
      <c r="A156"/>
      <c r="B156"/>
      <c r="C156" s="106"/>
      <c r="D156" s="106"/>
      <c r="E156" s="106"/>
      <c r="F156" s="107"/>
    </row>
    <row r="157" spans="1:6">
      <c r="A157"/>
      <c r="B157"/>
      <c r="C157" s="106"/>
      <c r="D157" s="106"/>
      <c r="E157" s="106"/>
      <c r="F157" s="107"/>
    </row>
    <row r="158" spans="1:6">
      <c r="A158"/>
      <c r="B158"/>
      <c r="C158" s="106"/>
      <c r="D158" s="106"/>
      <c r="E158" s="106"/>
      <c r="F158" s="107"/>
    </row>
    <row r="159" spans="1:6">
      <c r="A159"/>
      <c r="B159"/>
      <c r="C159" s="106"/>
      <c r="D159" s="106"/>
      <c r="E159" s="106"/>
      <c r="F159" s="107"/>
    </row>
    <row r="160" spans="1:6">
      <c r="A160"/>
      <c r="B160"/>
      <c r="C160" s="106"/>
      <c r="D160" s="106"/>
      <c r="E160" s="106"/>
      <c r="F160" s="107"/>
    </row>
    <row r="161" spans="1:6">
      <c r="A161"/>
      <c r="B161"/>
      <c r="C161" s="106"/>
      <c r="D161" s="106"/>
      <c r="E161" s="106"/>
      <c r="F161" s="107"/>
    </row>
    <row r="162" spans="1:6">
      <c r="A162"/>
      <c r="B162"/>
      <c r="C162" s="106"/>
      <c r="D162" s="106"/>
      <c r="E162" s="106"/>
      <c r="F162" s="107"/>
    </row>
    <row r="163" spans="1:6">
      <c r="A163"/>
      <c r="B163"/>
      <c r="C163" s="106"/>
      <c r="D163" s="106"/>
      <c r="E163" s="106"/>
      <c r="F163" s="107"/>
    </row>
    <row r="164" spans="1:6">
      <c r="A164"/>
      <c r="B164"/>
      <c r="C164" s="106"/>
      <c r="D164" s="106"/>
      <c r="E164" s="106"/>
      <c r="F164" s="107"/>
    </row>
    <row r="165" spans="1:6">
      <c r="A165"/>
      <c r="B165"/>
      <c r="C165" s="106"/>
      <c r="D165" s="106"/>
      <c r="E165" s="106"/>
      <c r="F165" s="107"/>
    </row>
    <row r="166" spans="1:6">
      <c r="A166"/>
      <c r="B166"/>
      <c r="C166" s="106"/>
      <c r="D166" s="106"/>
      <c r="E166" s="106"/>
      <c r="F166" s="107"/>
    </row>
    <row r="167" spans="1:6">
      <c r="A167"/>
      <c r="B167"/>
      <c r="C167" s="106"/>
      <c r="D167" s="106"/>
      <c r="E167" s="106"/>
      <c r="F167" s="107"/>
    </row>
    <row r="168" spans="1:6">
      <c r="A168"/>
      <c r="B168"/>
      <c r="C168" s="106"/>
      <c r="D168" s="106"/>
      <c r="E168" s="106"/>
      <c r="F168" s="107"/>
    </row>
    <row r="169" spans="1:6">
      <c r="A169"/>
      <c r="B169"/>
      <c r="C169" s="106"/>
      <c r="D169" s="106"/>
      <c r="E169" s="106"/>
      <c r="F169" s="107"/>
    </row>
    <row r="170" spans="1:6">
      <c r="A170"/>
      <c r="B170"/>
      <c r="C170" s="106"/>
      <c r="D170" s="106"/>
      <c r="E170" s="106"/>
      <c r="F170" s="107"/>
    </row>
    <row r="171" spans="1:6">
      <c r="A171"/>
      <c r="B171"/>
      <c r="C171" s="106"/>
      <c r="D171" s="106"/>
      <c r="E171" s="106"/>
      <c r="F171" s="107"/>
    </row>
    <row r="172" spans="1:6">
      <c r="A172"/>
      <c r="B172"/>
      <c r="C172" s="106"/>
      <c r="D172" s="106"/>
      <c r="E172" s="106"/>
      <c r="F172" s="107"/>
    </row>
    <row r="173" spans="1:6">
      <c r="A173"/>
      <c r="B173"/>
      <c r="C173" s="106"/>
      <c r="D173" s="106"/>
      <c r="E173" s="106"/>
      <c r="F173" s="107"/>
    </row>
    <row r="174" spans="1:6">
      <c r="A174"/>
      <c r="B174"/>
      <c r="C174" s="106"/>
      <c r="D174" s="106"/>
      <c r="E174" s="106"/>
      <c r="F174" s="107"/>
    </row>
    <row r="175" spans="1:6">
      <c r="A175"/>
      <c r="B175"/>
      <c r="C175" s="106"/>
      <c r="D175" s="106"/>
      <c r="E175" s="106"/>
      <c r="F175" s="107"/>
    </row>
    <row r="176" spans="1:6">
      <c r="A176"/>
      <c r="B176"/>
      <c r="C176" s="106"/>
      <c r="D176" s="106"/>
      <c r="E176" s="106"/>
      <c r="F176" s="107"/>
    </row>
    <row r="177" spans="1:6">
      <c r="A177"/>
      <c r="B177"/>
      <c r="C177" s="106"/>
      <c r="D177" s="106"/>
      <c r="E177" s="106"/>
      <c r="F177" s="107"/>
    </row>
    <row r="178" spans="1:6">
      <c r="A178"/>
      <c r="B178"/>
      <c r="C178" s="106"/>
      <c r="D178" s="106"/>
      <c r="E178" s="106"/>
      <c r="F178" s="107"/>
    </row>
    <row r="179" spans="1:6">
      <c r="A179"/>
      <c r="B179"/>
      <c r="C179" s="106"/>
      <c r="D179" s="106"/>
      <c r="E179" s="106"/>
      <c r="F179" s="107"/>
    </row>
    <row r="180" spans="1:6">
      <c r="A180"/>
      <c r="B180"/>
      <c r="C180" s="106"/>
      <c r="D180" s="106"/>
      <c r="E180" s="106"/>
      <c r="F180" s="107"/>
    </row>
    <row r="181" spans="1:6">
      <c r="A181"/>
      <c r="B181"/>
      <c r="C181" s="106"/>
      <c r="D181" s="106"/>
      <c r="E181" s="106"/>
      <c r="F181" s="107"/>
    </row>
    <row r="182" spans="1:6">
      <c r="A182"/>
      <c r="B182"/>
      <c r="C182" s="106"/>
      <c r="D182" s="106"/>
      <c r="E182" s="106"/>
      <c r="F182" s="107"/>
    </row>
    <row r="183" spans="1:6">
      <c r="A183"/>
      <c r="B183"/>
      <c r="C183" s="106"/>
      <c r="D183" s="106"/>
      <c r="E183" s="106"/>
      <c r="F183" s="107"/>
    </row>
    <row r="184" spans="1:6">
      <c r="A184"/>
      <c r="B184"/>
      <c r="C184" s="106"/>
      <c r="D184" s="106"/>
      <c r="E184" s="106"/>
      <c r="F184" s="107"/>
    </row>
    <row r="185" spans="1:6">
      <c r="A185"/>
      <c r="B185"/>
      <c r="C185" s="106"/>
      <c r="D185" s="106"/>
      <c r="E185" s="106"/>
      <c r="F185" s="107"/>
    </row>
    <row r="186" spans="1:6">
      <c r="A186"/>
      <c r="B186"/>
      <c r="C186" s="106"/>
      <c r="D186" s="106"/>
      <c r="E186" s="106"/>
      <c r="F186" s="107"/>
    </row>
    <row r="187" spans="1:6">
      <c r="A187"/>
      <c r="B187"/>
      <c r="C187" s="106"/>
      <c r="D187" s="106"/>
      <c r="E187" s="106"/>
      <c r="F187" s="107"/>
    </row>
    <row r="188" spans="1:6">
      <c r="A188"/>
      <c r="B188"/>
      <c r="C188" s="106"/>
      <c r="D188" s="106"/>
      <c r="E188" s="106"/>
      <c r="F188" s="107"/>
    </row>
    <row r="189" spans="1:6">
      <c r="A189"/>
      <c r="B189"/>
      <c r="C189" s="106"/>
      <c r="D189" s="106"/>
      <c r="E189" s="106"/>
      <c r="F189" s="107"/>
    </row>
    <row r="190" spans="1:6">
      <c r="A190"/>
      <c r="B190"/>
      <c r="C190" s="106"/>
      <c r="D190" s="106"/>
      <c r="E190" s="106"/>
      <c r="F190" s="107"/>
    </row>
    <row r="191" spans="1:6">
      <c r="A191"/>
      <c r="B191"/>
      <c r="C191" s="106"/>
      <c r="D191" s="106"/>
      <c r="E191" s="106"/>
      <c r="F191" s="107"/>
    </row>
    <row r="192" spans="1:6">
      <c r="A192"/>
      <c r="B192"/>
      <c r="C192" s="106"/>
      <c r="D192" s="106"/>
      <c r="E192" s="106"/>
      <c r="F192" s="107"/>
    </row>
    <row r="193" spans="1:6">
      <c r="A193"/>
      <c r="B193"/>
      <c r="C193" s="106"/>
      <c r="D193" s="106"/>
      <c r="E193" s="106"/>
      <c r="F193" s="107"/>
    </row>
    <row r="194" spans="1:6">
      <c r="A194"/>
      <c r="B194"/>
      <c r="C194" s="106"/>
      <c r="D194" s="106"/>
      <c r="E194" s="106"/>
      <c r="F194" s="107"/>
    </row>
    <row r="195" spans="1:6">
      <c r="A195"/>
      <c r="B195"/>
      <c r="C195" s="106"/>
      <c r="D195" s="106"/>
      <c r="E195" s="106"/>
      <c r="F195" s="107"/>
    </row>
    <row r="196" spans="1:6">
      <c r="A196"/>
      <c r="B196"/>
      <c r="C196" s="106"/>
      <c r="D196" s="106"/>
      <c r="E196" s="106"/>
      <c r="F196" s="107"/>
    </row>
    <row r="197" spans="1:6">
      <c r="A197"/>
      <c r="B197"/>
      <c r="C197" s="106"/>
      <c r="D197" s="106"/>
      <c r="E197" s="106"/>
      <c r="F197" s="107"/>
    </row>
    <row r="198" spans="1:6">
      <c r="A198"/>
      <c r="B198"/>
      <c r="C198" s="106"/>
      <c r="D198" s="106"/>
      <c r="E198" s="106"/>
      <c r="F198" s="107"/>
    </row>
    <row r="199" spans="1:6">
      <c r="A199"/>
      <c r="B199"/>
      <c r="C199" s="106"/>
      <c r="D199" s="106"/>
      <c r="E199" s="106"/>
      <c r="F199" s="107"/>
    </row>
    <row r="200" spans="1:6">
      <c r="A200"/>
      <c r="B200"/>
      <c r="C200" s="106"/>
      <c r="D200" s="106"/>
      <c r="E200" s="106"/>
      <c r="F200" s="107"/>
    </row>
    <row r="201" spans="1:6">
      <c r="A201"/>
      <c r="B201"/>
      <c r="C201" s="106"/>
      <c r="D201" s="106"/>
      <c r="E201" s="106"/>
      <c r="F201" s="107"/>
    </row>
    <row r="202" spans="1:6">
      <c r="A202"/>
      <c r="B202"/>
      <c r="C202" s="106"/>
      <c r="D202" s="106"/>
      <c r="E202" s="106"/>
      <c r="F202" s="107"/>
    </row>
    <row r="203" spans="1:6">
      <c r="A203"/>
      <c r="B203"/>
      <c r="C203" s="106"/>
      <c r="D203" s="106"/>
      <c r="E203" s="106"/>
      <c r="F203" s="107"/>
    </row>
    <row r="204" spans="1:6">
      <c r="A204"/>
      <c r="B204"/>
      <c r="C204" s="106"/>
      <c r="D204" s="106"/>
      <c r="E204" s="106"/>
      <c r="F204" s="107"/>
    </row>
    <row r="205" spans="1:6">
      <c r="A205"/>
      <c r="B205"/>
      <c r="C205" s="106"/>
      <c r="D205" s="106"/>
      <c r="E205" s="106"/>
      <c r="F205" s="107"/>
    </row>
    <row r="206" spans="1:6">
      <c r="A206"/>
      <c r="B206"/>
      <c r="C206" s="106"/>
      <c r="D206" s="106"/>
      <c r="E206" s="106"/>
      <c r="F206" s="107"/>
    </row>
    <row r="207" spans="1:6">
      <c r="A207"/>
      <c r="B207"/>
      <c r="C207" s="106"/>
      <c r="D207" s="106"/>
      <c r="E207" s="106"/>
      <c r="F207" s="107"/>
    </row>
    <row r="208" spans="1:6">
      <c r="A208"/>
      <c r="B208"/>
      <c r="C208" s="106"/>
      <c r="D208" s="106"/>
      <c r="E208" s="106"/>
      <c r="F208" s="107"/>
    </row>
    <row r="209" spans="1:6">
      <c r="A209"/>
      <c r="B209"/>
      <c r="C209" s="106"/>
      <c r="D209" s="106"/>
      <c r="E209" s="106"/>
      <c r="F209" s="107"/>
    </row>
    <row r="210" spans="1:6">
      <c r="A210"/>
      <c r="B210"/>
      <c r="C210" s="106"/>
      <c r="D210" s="106"/>
      <c r="E210" s="106"/>
      <c r="F210" s="107"/>
    </row>
    <row r="211" spans="1:6">
      <c r="A211"/>
      <c r="B211"/>
      <c r="C211" s="106"/>
      <c r="D211" s="106"/>
      <c r="E211" s="106"/>
      <c r="F211" s="107"/>
    </row>
    <row r="212" spans="1:6">
      <c r="A212"/>
      <c r="B212"/>
      <c r="C212" s="106"/>
      <c r="D212" s="106"/>
      <c r="E212" s="106"/>
      <c r="F212" s="107"/>
    </row>
    <row r="213" spans="1:6">
      <c r="A213"/>
      <c r="B213"/>
      <c r="C213" s="106"/>
      <c r="D213" s="106"/>
      <c r="E213" s="106"/>
      <c r="F213" s="107"/>
    </row>
    <row r="214" spans="1:6">
      <c r="A214"/>
      <c r="B214"/>
      <c r="C214" s="106"/>
      <c r="D214" s="106"/>
      <c r="E214" s="106"/>
      <c r="F214" s="107"/>
    </row>
    <row r="215" spans="1:6">
      <c r="A215"/>
      <c r="B215"/>
      <c r="C215" s="106"/>
      <c r="D215" s="106"/>
      <c r="E215" s="106"/>
      <c r="F215" s="107"/>
    </row>
    <row r="216" spans="1:6">
      <c r="A216"/>
      <c r="B216"/>
      <c r="C216" s="106"/>
      <c r="D216" s="106"/>
      <c r="E216" s="106"/>
      <c r="F216" s="107"/>
    </row>
    <row r="217" spans="1:6">
      <c r="A217"/>
      <c r="B217"/>
      <c r="C217" s="106"/>
      <c r="D217" s="106"/>
      <c r="E217" s="106"/>
      <c r="F217" s="107"/>
    </row>
    <row r="218" spans="1:6">
      <c r="A218"/>
      <c r="B218"/>
      <c r="C218" s="106"/>
      <c r="D218" s="106"/>
      <c r="E218" s="106"/>
      <c r="F218" s="107"/>
    </row>
    <row r="219" spans="1:6">
      <c r="A219"/>
      <c r="B219"/>
      <c r="C219" s="106"/>
      <c r="D219" s="106"/>
      <c r="E219" s="106"/>
      <c r="F219" s="107"/>
    </row>
    <row r="220" spans="1:6">
      <c r="A220"/>
      <c r="B220"/>
      <c r="C220" s="106"/>
      <c r="D220" s="106"/>
      <c r="E220" s="106"/>
      <c r="F220" s="107"/>
    </row>
    <row r="221" spans="1:6">
      <c r="A221"/>
      <c r="B221"/>
      <c r="C221" s="106"/>
      <c r="D221" s="106"/>
      <c r="E221" s="106"/>
      <c r="F221" s="107"/>
    </row>
    <row r="222" spans="1:6">
      <c r="A222"/>
      <c r="B222"/>
      <c r="C222" s="106"/>
      <c r="D222" s="106"/>
      <c r="E222" s="106"/>
      <c r="F222" s="107"/>
    </row>
    <row r="223" spans="1:6">
      <c r="A223"/>
      <c r="B223"/>
      <c r="C223" s="106"/>
      <c r="D223" s="106"/>
      <c r="E223" s="106"/>
      <c r="F223" s="107"/>
    </row>
    <row r="224" spans="1:6">
      <c r="A224"/>
      <c r="B224"/>
      <c r="C224" s="106"/>
      <c r="D224" s="106"/>
      <c r="E224" s="106"/>
      <c r="F224" s="107"/>
    </row>
    <row r="225" spans="1:6">
      <c r="A225"/>
      <c r="B225"/>
      <c r="C225" s="106"/>
      <c r="D225" s="106"/>
      <c r="E225" s="106"/>
      <c r="F225" s="107"/>
    </row>
    <row r="226" spans="1:6">
      <c r="A226"/>
      <c r="B226"/>
      <c r="C226" s="106"/>
      <c r="D226" s="106"/>
      <c r="E226" s="106"/>
      <c r="F226" s="107"/>
    </row>
    <row r="227" spans="1:6">
      <c r="A227"/>
      <c r="B227"/>
      <c r="C227" s="106"/>
      <c r="D227" s="106"/>
      <c r="E227" s="106"/>
      <c r="F227" s="107"/>
    </row>
    <row r="228" spans="1:6">
      <c r="A228"/>
      <c r="B228"/>
      <c r="C228" s="106"/>
      <c r="D228" s="106"/>
      <c r="E228" s="106"/>
      <c r="F228" s="107"/>
    </row>
    <row r="229" spans="1:6">
      <c r="A229"/>
      <c r="B229"/>
      <c r="C229" s="106"/>
      <c r="D229" s="106"/>
      <c r="E229" s="106"/>
      <c r="F229" s="107"/>
    </row>
    <row r="230" spans="1:6">
      <c r="A230"/>
      <c r="B230"/>
      <c r="C230" s="106"/>
      <c r="D230" s="106"/>
      <c r="E230" s="106"/>
      <c r="F230" s="107"/>
    </row>
    <row r="231" spans="1:6">
      <c r="A231"/>
      <c r="B231"/>
      <c r="C231" s="106"/>
      <c r="D231" s="106"/>
      <c r="E231" s="106"/>
      <c r="F231" s="107"/>
    </row>
    <row r="232" spans="1:6">
      <c r="A232"/>
      <c r="B232"/>
      <c r="C232" s="106"/>
      <c r="D232" s="106"/>
      <c r="E232" s="106"/>
      <c r="F232" s="107"/>
    </row>
    <row r="233" spans="1:6">
      <c r="A233"/>
      <c r="B233"/>
      <c r="C233" s="106"/>
      <c r="D233" s="106"/>
      <c r="E233" s="106"/>
      <c r="F233" s="107"/>
    </row>
    <row r="234" spans="1:6">
      <c r="A234"/>
      <c r="B234"/>
      <c r="C234" s="106"/>
      <c r="D234" s="106"/>
      <c r="E234" s="106"/>
      <c r="F234" s="107"/>
    </row>
    <row r="235" spans="1:6">
      <c r="A235"/>
      <c r="B235"/>
      <c r="C235" s="106"/>
      <c r="D235" s="106"/>
      <c r="E235" s="106"/>
      <c r="F235" s="107"/>
    </row>
    <row r="236" spans="1:6">
      <c r="A236"/>
      <c r="B236"/>
      <c r="C236" s="106"/>
      <c r="D236" s="106"/>
      <c r="E236" s="106"/>
      <c r="F236" s="107"/>
    </row>
    <row r="237" spans="1:6">
      <c r="A237"/>
      <c r="B237"/>
      <c r="C237" s="106"/>
      <c r="D237" s="106"/>
      <c r="E237" s="106"/>
      <c r="F237" s="107"/>
    </row>
    <row r="238" spans="1:6">
      <c r="A238"/>
      <c r="B238"/>
      <c r="C238" s="106"/>
      <c r="D238" s="106"/>
      <c r="E238" s="106"/>
      <c r="F238" s="107"/>
    </row>
    <row r="239" spans="1:6">
      <c r="A239"/>
      <c r="B239"/>
      <c r="C239" s="106"/>
      <c r="D239" s="106"/>
      <c r="E239" s="106"/>
      <c r="F239" s="107"/>
    </row>
    <row r="240" spans="1:6">
      <c r="A240"/>
      <c r="B240"/>
      <c r="C240" s="106"/>
      <c r="D240" s="106"/>
      <c r="E240" s="106"/>
      <c r="F240" s="107"/>
    </row>
    <row r="241" spans="1:6">
      <c r="A241"/>
      <c r="B241"/>
      <c r="C241" s="106"/>
      <c r="D241" s="106"/>
      <c r="E241" s="106"/>
      <c r="F241" s="107"/>
    </row>
    <row r="242" spans="1:6">
      <c r="A242"/>
      <c r="B242"/>
      <c r="C242" s="106"/>
      <c r="D242" s="106"/>
      <c r="E242" s="106"/>
      <c r="F242" s="107"/>
    </row>
    <row r="243" spans="1:6">
      <c r="A243"/>
      <c r="B243"/>
      <c r="C243" s="106"/>
      <c r="D243" s="106"/>
      <c r="E243" s="106"/>
      <c r="F243" s="107"/>
    </row>
    <row r="244" spans="1:6">
      <c r="A244"/>
      <c r="B244"/>
      <c r="C244" s="106"/>
      <c r="D244" s="106"/>
      <c r="E244" s="106"/>
      <c r="F244" s="107"/>
    </row>
    <row r="245" spans="1:6">
      <c r="A245"/>
      <c r="B245"/>
      <c r="C245" s="106"/>
      <c r="D245" s="106"/>
      <c r="E245" s="106"/>
      <c r="F245" s="107"/>
    </row>
    <row r="246" spans="1:6">
      <c r="A246"/>
      <c r="B246"/>
      <c r="C246" s="106"/>
      <c r="D246" s="106"/>
      <c r="E246" s="106"/>
      <c r="F246" s="107"/>
    </row>
    <row r="247" spans="1:6">
      <c r="A247"/>
      <c r="B247"/>
      <c r="C247" s="106"/>
      <c r="D247" s="106"/>
      <c r="E247" s="106"/>
      <c r="F247" s="107"/>
    </row>
    <row r="248" spans="1:6">
      <c r="A248"/>
      <c r="B248"/>
      <c r="C248" s="106"/>
      <c r="D248" s="106"/>
      <c r="E248" s="106"/>
      <c r="F248" s="107"/>
    </row>
    <row r="249" spans="1:6">
      <c r="A249"/>
      <c r="B249"/>
      <c r="C249" s="106"/>
      <c r="D249" s="106"/>
      <c r="E249" s="106"/>
      <c r="F249" s="107"/>
    </row>
    <row r="250" spans="1:6">
      <c r="A250"/>
      <c r="B250"/>
      <c r="C250" s="106"/>
      <c r="D250" s="106"/>
      <c r="E250" s="106"/>
      <c r="F250" s="107"/>
    </row>
    <row r="251" spans="1:6">
      <c r="A251"/>
      <c r="B251"/>
      <c r="C251" s="106"/>
      <c r="D251" s="106"/>
      <c r="E251" s="106"/>
      <c r="F251" s="107"/>
    </row>
    <row r="252" spans="1:6">
      <c r="A252"/>
      <c r="B252"/>
      <c r="C252" s="106"/>
      <c r="D252" s="106"/>
      <c r="E252" s="106"/>
      <c r="F252" s="107"/>
    </row>
    <row r="253" spans="1:6">
      <c r="A253"/>
      <c r="B253"/>
      <c r="C253" s="106"/>
      <c r="D253" s="106"/>
      <c r="E253" s="106"/>
      <c r="F253" s="107"/>
    </row>
    <row r="254" spans="1:6">
      <c r="A254"/>
      <c r="B254"/>
      <c r="C254" s="106"/>
      <c r="D254" s="106"/>
      <c r="E254" s="106"/>
      <c r="F254" s="107"/>
    </row>
    <row r="255" spans="1:6">
      <c r="A255"/>
      <c r="B255"/>
      <c r="C255" s="106"/>
      <c r="D255" s="106"/>
      <c r="E255" s="106"/>
      <c r="F255" s="107"/>
    </row>
    <row r="256" spans="1:6">
      <c r="A256"/>
      <c r="B256"/>
      <c r="C256" s="106"/>
      <c r="D256" s="106"/>
      <c r="E256" s="106"/>
      <c r="F256" s="107"/>
    </row>
    <row r="257" spans="1:6">
      <c r="A257"/>
      <c r="B257"/>
      <c r="C257" s="106"/>
      <c r="D257" s="106"/>
      <c r="E257" s="106"/>
      <c r="F257" s="107"/>
    </row>
    <row r="258" spans="1:6">
      <c r="A258"/>
      <c r="B258"/>
      <c r="C258" s="106"/>
      <c r="D258" s="106"/>
      <c r="E258" s="106"/>
      <c r="F258" s="107"/>
    </row>
    <row r="259" spans="1:6">
      <c r="A259"/>
      <c r="B259"/>
      <c r="C259" s="106"/>
      <c r="D259" s="106"/>
      <c r="E259" s="106"/>
      <c r="F259" s="107"/>
    </row>
    <row r="260" spans="1:6">
      <c r="A260"/>
      <c r="B260"/>
      <c r="C260" s="106"/>
      <c r="D260" s="106"/>
      <c r="E260" s="106"/>
      <c r="F260" s="107"/>
    </row>
    <row r="261" spans="1:6">
      <c r="A261"/>
      <c r="B261"/>
      <c r="C261" s="106"/>
      <c r="D261" s="106"/>
      <c r="E261" s="106"/>
      <c r="F261" s="107"/>
    </row>
    <row r="262" spans="1:6">
      <c r="A262"/>
      <c r="B262"/>
      <c r="C262" s="106"/>
      <c r="D262" s="106"/>
      <c r="E262" s="106"/>
      <c r="F262" s="107"/>
    </row>
    <row r="263" spans="1:6">
      <c r="A263"/>
      <c r="B263"/>
      <c r="C263" s="106"/>
      <c r="D263" s="106"/>
      <c r="E263" s="106"/>
      <c r="F263" s="107"/>
    </row>
    <row r="264" spans="1:6">
      <c r="A264"/>
      <c r="B264"/>
      <c r="C264" s="106"/>
      <c r="D264" s="106"/>
      <c r="E264" s="106"/>
      <c r="F264" s="107"/>
    </row>
    <row r="265" spans="1:6">
      <c r="A265"/>
      <c r="B265"/>
      <c r="C265" s="106"/>
      <c r="D265" s="106"/>
      <c r="E265" s="106"/>
      <c r="F265" s="107"/>
    </row>
    <row r="266" spans="1:6">
      <c r="A266"/>
      <c r="B266"/>
      <c r="C266" s="106"/>
      <c r="D266" s="106"/>
      <c r="E266" s="106"/>
      <c r="F266" s="107"/>
    </row>
    <row r="267" spans="1:6">
      <c r="A267"/>
      <c r="B267"/>
      <c r="C267" s="106"/>
      <c r="D267" s="106"/>
      <c r="E267" s="106"/>
      <c r="F267" s="107"/>
    </row>
    <row r="268" spans="1:6">
      <c r="A268"/>
      <c r="B268"/>
      <c r="C268" s="106"/>
      <c r="D268" s="106"/>
      <c r="E268" s="106"/>
      <c r="F268" s="107"/>
    </row>
    <row r="269" spans="1:6">
      <c r="A269"/>
      <c r="B269"/>
      <c r="C269" s="106"/>
      <c r="D269" s="106"/>
      <c r="E269" s="106"/>
      <c r="F269" s="107"/>
    </row>
    <row r="270" spans="1:6">
      <c r="A270"/>
      <c r="B270"/>
      <c r="C270" s="106"/>
      <c r="D270" s="106"/>
      <c r="E270" s="106"/>
      <c r="F270" s="107"/>
    </row>
    <row r="271" spans="1:6">
      <c r="A271"/>
      <c r="B271"/>
      <c r="C271" s="106"/>
      <c r="D271" s="106"/>
      <c r="E271" s="106"/>
      <c r="F271" s="107"/>
    </row>
    <row r="272" spans="1:6">
      <c r="A272"/>
      <c r="B272"/>
      <c r="C272" s="106"/>
      <c r="D272" s="106"/>
      <c r="E272" s="106"/>
      <c r="F272" s="107"/>
    </row>
    <row r="273" spans="1:6">
      <c r="A273"/>
      <c r="B273"/>
      <c r="C273" s="106"/>
      <c r="D273" s="106"/>
      <c r="E273" s="106"/>
      <c r="F273" s="107"/>
    </row>
    <row r="274" spans="1:6">
      <c r="A274"/>
      <c r="B274"/>
      <c r="C274" s="106"/>
      <c r="D274" s="106"/>
      <c r="E274" s="106"/>
      <c r="F274" s="107"/>
    </row>
    <row r="275" spans="1:6">
      <c r="A275"/>
      <c r="B275"/>
      <c r="C275" s="106"/>
      <c r="D275" s="106"/>
      <c r="E275" s="106"/>
      <c r="F275" s="107"/>
    </row>
    <row r="276" spans="1:6">
      <c r="A276"/>
      <c r="B276"/>
      <c r="C276" s="106"/>
      <c r="D276" s="106"/>
      <c r="E276" s="106"/>
      <c r="F276" s="107"/>
    </row>
    <row r="277" spans="1:6">
      <c r="A277"/>
      <c r="B277"/>
      <c r="C277" s="106"/>
      <c r="D277" s="106"/>
      <c r="E277" s="106"/>
      <c r="F277" s="107"/>
    </row>
    <row r="278" spans="1:6">
      <c r="A278"/>
      <c r="B278"/>
      <c r="C278" s="106"/>
      <c r="D278" s="106"/>
      <c r="E278" s="106"/>
      <c r="F278" s="107"/>
    </row>
    <row r="279" spans="1:6">
      <c r="A279"/>
      <c r="B279"/>
      <c r="C279" s="106"/>
      <c r="D279" s="106"/>
      <c r="E279" s="106"/>
      <c r="F279" s="107"/>
    </row>
    <row r="280" spans="1:6">
      <c r="A280"/>
      <c r="B280"/>
      <c r="C280" s="106"/>
      <c r="D280" s="106"/>
      <c r="E280" s="106"/>
      <c r="F280" s="107"/>
    </row>
    <row r="281" spans="1:6">
      <c r="A281"/>
      <c r="B281"/>
      <c r="C281" s="106"/>
      <c r="D281" s="106"/>
      <c r="E281" s="106"/>
      <c r="F281" s="107"/>
    </row>
    <row r="282" spans="1:6">
      <c r="A282"/>
      <c r="B282"/>
      <c r="C282" s="106"/>
      <c r="D282" s="106"/>
      <c r="E282" s="106"/>
      <c r="F282" s="107"/>
    </row>
    <row r="283" spans="1:6">
      <c r="A283"/>
      <c r="B283"/>
      <c r="C283" s="106"/>
      <c r="D283" s="106"/>
      <c r="E283" s="106"/>
      <c r="F283" s="107"/>
    </row>
    <row r="284" spans="1:6">
      <c r="A284"/>
      <c r="B284"/>
      <c r="C284" s="106"/>
      <c r="D284" s="106"/>
      <c r="E284" s="106"/>
      <c r="F284" s="107"/>
    </row>
    <row r="285" spans="1:6">
      <c r="A285"/>
      <c r="B285"/>
      <c r="C285" s="106"/>
      <c r="D285" s="106"/>
      <c r="E285" s="106"/>
      <c r="F285" s="107"/>
    </row>
    <row r="286" spans="1:6">
      <c r="A286"/>
      <c r="B286"/>
      <c r="C286" s="106"/>
      <c r="D286" s="106"/>
      <c r="E286" s="106"/>
      <c r="F286" s="107"/>
    </row>
    <row r="287" spans="1:6">
      <c r="A287"/>
      <c r="B287"/>
      <c r="C287" s="106"/>
      <c r="D287" s="106"/>
      <c r="E287" s="106"/>
      <c r="F287" s="107"/>
    </row>
    <row r="288" spans="1:6">
      <c r="A288"/>
      <c r="B288"/>
      <c r="C288" s="106"/>
      <c r="D288" s="106"/>
      <c r="E288" s="106"/>
      <c r="F288" s="107"/>
    </row>
    <row r="289" spans="1:6">
      <c r="A289"/>
      <c r="B289"/>
      <c r="C289" s="106"/>
      <c r="D289" s="106"/>
      <c r="E289" s="106"/>
      <c r="F289" s="107"/>
    </row>
    <row r="290" spans="1:6">
      <c r="A290"/>
      <c r="B290"/>
      <c r="C290" s="106"/>
      <c r="D290" s="106"/>
      <c r="E290" s="106"/>
      <c r="F290" s="107"/>
    </row>
    <row r="291" spans="1:6">
      <c r="A291"/>
      <c r="B291"/>
      <c r="C291" s="106"/>
      <c r="D291" s="106"/>
      <c r="E291" s="106"/>
      <c r="F291" s="107"/>
    </row>
    <row r="292" spans="1:6">
      <c r="A292"/>
      <c r="B292"/>
      <c r="C292" s="106"/>
      <c r="D292" s="106"/>
      <c r="E292" s="106"/>
      <c r="F292" s="107"/>
    </row>
    <row r="293" spans="1:6">
      <c r="A293"/>
      <c r="B293"/>
      <c r="C293" s="106"/>
      <c r="D293" s="106"/>
      <c r="E293" s="106"/>
      <c r="F293" s="107"/>
    </row>
    <row r="294" spans="1:6">
      <c r="A294"/>
      <c r="B294"/>
      <c r="C294" s="106"/>
      <c r="D294" s="106"/>
      <c r="E294" s="106"/>
      <c r="F294" s="107"/>
    </row>
    <row r="295" spans="1:6">
      <c r="A295"/>
      <c r="B295"/>
      <c r="C295" s="106"/>
      <c r="D295" s="106"/>
      <c r="E295" s="106"/>
      <c r="F295" s="107"/>
    </row>
    <row r="296" spans="1:6">
      <c r="A296"/>
      <c r="B296"/>
      <c r="C296" s="106"/>
      <c r="D296" s="106"/>
      <c r="E296" s="106"/>
      <c r="F296" s="107"/>
    </row>
    <row r="297" spans="1:6">
      <c r="A297"/>
      <c r="B297"/>
      <c r="C297" s="106"/>
      <c r="D297" s="106"/>
      <c r="E297" s="106"/>
      <c r="F297" s="107"/>
    </row>
    <row r="298" spans="1:6">
      <c r="A298"/>
      <c r="B298"/>
      <c r="C298" s="106"/>
      <c r="D298" s="106"/>
      <c r="E298" s="106"/>
      <c r="F298" s="107"/>
    </row>
    <row r="299" spans="1:6">
      <c r="A299"/>
      <c r="B299"/>
      <c r="C299" s="106"/>
      <c r="D299" s="106"/>
      <c r="E299" s="106"/>
      <c r="F299" s="107"/>
    </row>
    <row r="300" spans="1:6">
      <c r="A300"/>
      <c r="B300"/>
      <c r="C300" s="106"/>
      <c r="D300" s="106"/>
      <c r="E300" s="106"/>
      <c r="F300" s="107"/>
    </row>
    <row r="301" spans="1:6">
      <c r="A301"/>
      <c r="B301"/>
      <c r="C301" s="106"/>
      <c r="D301" s="106"/>
      <c r="E301" s="106"/>
      <c r="F301" s="107"/>
    </row>
    <row r="302" spans="1:6">
      <c r="A302"/>
      <c r="B302"/>
      <c r="C302" s="106"/>
      <c r="D302" s="106"/>
      <c r="E302" s="106"/>
      <c r="F302" s="107"/>
    </row>
    <row r="303" spans="1:6">
      <c r="A303"/>
      <c r="B303"/>
      <c r="C303" s="106"/>
      <c r="D303" s="106"/>
      <c r="E303" s="106"/>
      <c r="F303" s="107"/>
    </row>
    <row r="304" spans="1:6">
      <c r="A304"/>
      <c r="B304"/>
      <c r="C304" s="106"/>
      <c r="D304" s="106"/>
      <c r="E304" s="106"/>
      <c r="F304" s="107"/>
    </row>
    <row r="305" spans="1:6">
      <c r="A305"/>
      <c r="B305"/>
      <c r="C305" s="106"/>
      <c r="D305" s="106"/>
      <c r="E305" s="106"/>
      <c r="F305" s="107"/>
    </row>
    <row r="306" spans="1:6">
      <c r="A306"/>
      <c r="B306"/>
      <c r="C306" s="106"/>
      <c r="D306" s="106"/>
      <c r="E306" s="106"/>
      <c r="F306" s="107"/>
    </row>
    <row r="307" spans="1:6">
      <c r="A307"/>
      <c r="B307"/>
      <c r="C307" s="106"/>
      <c r="D307" s="106"/>
      <c r="E307" s="106"/>
      <c r="F307" s="107"/>
    </row>
    <row r="308" spans="1:6">
      <c r="A308"/>
      <c r="B308"/>
      <c r="C308" s="106"/>
      <c r="D308" s="106"/>
      <c r="E308" s="106"/>
      <c r="F308" s="107"/>
    </row>
    <row r="309" spans="1:6">
      <c r="A309"/>
      <c r="B309"/>
      <c r="C309" s="106"/>
      <c r="D309" s="106"/>
      <c r="E309" s="106"/>
      <c r="F309" s="107"/>
    </row>
    <row r="310" spans="1:6">
      <c r="A310"/>
      <c r="B310"/>
      <c r="C310" s="106"/>
      <c r="D310" s="106"/>
      <c r="E310" s="106"/>
      <c r="F310" s="107"/>
    </row>
    <row r="311" spans="1:6">
      <c r="A311"/>
      <c r="B311"/>
      <c r="C311" s="106"/>
      <c r="D311" s="106"/>
      <c r="E311" s="106"/>
      <c r="F311" s="107"/>
    </row>
    <row r="312" spans="1:6">
      <c r="A312"/>
      <c r="B312"/>
      <c r="C312" s="106"/>
      <c r="D312" s="106"/>
      <c r="E312" s="106"/>
      <c r="F312" s="107"/>
    </row>
    <row r="313" spans="1:6">
      <c r="A313"/>
      <c r="B313"/>
      <c r="C313" s="106"/>
      <c r="D313" s="106"/>
      <c r="E313" s="106"/>
      <c r="F313" s="107"/>
    </row>
    <row r="314" spans="1:6">
      <c r="A314"/>
      <c r="B314"/>
      <c r="C314" s="106"/>
      <c r="D314" s="106"/>
      <c r="E314" s="106"/>
      <c r="F314" s="107"/>
    </row>
    <row r="315" spans="1:6">
      <c r="A315"/>
      <c r="B315"/>
      <c r="C315" s="106"/>
      <c r="D315" s="106"/>
      <c r="E315" s="106"/>
      <c r="F315" s="107"/>
    </row>
    <row r="316" spans="1:6">
      <c r="A316"/>
      <c r="B316"/>
      <c r="C316" s="106"/>
      <c r="D316" s="106"/>
      <c r="E316" s="106"/>
      <c r="F316" s="107"/>
    </row>
    <row r="317" spans="1:6">
      <c r="C317" s="107"/>
      <c r="D317" s="107"/>
      <c r="E317" s="107"/>
      <c r="F317" s="107"/>
    </row>
    <row r="318" spans="1:6">
      <c r="C318" s="107"/>
      <c r="D318" s="107"/>
      <c r="E318" s="107"/>
      <c r="F318" s="107"/>
    </row>
    <row r="319" spans="1:6">
      <c r="C319" s="107"/>
      <c r="D319" s="107"/>
      <c r="E319" s="107"/>
      <c r="F319" s="107"/>
    </row>
    <row r="320" spans="1:6">
      <c r="C320" s="107"/>
      <c r="D320" s="107"/>
      <c r="E320" s="107"/>
      <c r="F320" s="107"/>
    </row>
    <row r="321" spans="3:6">
      <c r="C321" s="107"/>
      <c r="D321" s="107"/>
      <c r="E321" s="107"/>
      <c r="F321" s="107"/>
    </row>
    <row r="322" spans="3:6">
      <c r="C322" s="107"/>
      <c r="D322" s="107"/>
      <c r="E322" s="107"/>
      <c r="F322" s="107"/>
    </row>
    <row r="323" spans="3:6">
      <c r="C323" s="107"/>
      <c r="D323" s="107"/>
      <c r="E323" s="107"/>
      <c r="F323" s="107"/>
    </row>
    <row r="324" spans="3:6">
      <c r="C324" s="107"/>
      <c r="D324" s="107"/>
      <c r="E324" s="107"/>
      <c r="F324" s="107"/>
    </row>
    <row r="325" spans="3:6">
      <c r="C325" s="107"/>
      <c r="D325" s="107"/>
      <c r="E325" s="107"/>
      <c r="F325" s="107"/>
    </row>
    <row r="326" spans="3:6">
      <c r="C326" s="107"/>
      <c r="D326" s="107"/>
      <c r="E326" s="107"/>
      <c r="F326" s="107"/>
    </row>
    <row r="327" spans="3:6">
      <c r="C327" s="107"/>
      <c r="D327" s="107"/>
      <c r="E327" s="107"/>
      <c r="F327" s="107"/>
    </row>
    <row r="328" spans="3:6">
      <c r="C328" s="107"/>
      <c r="D328" s="107"/>
      <c r="E328" s="107"/>
      <c r="F328" s="107"/>
    </row>
    <row r="329" spans="3:6">
      <c r="C329" s="107"/>
      <c r="D329" s="107"/>
      <c r="E329" s="107"/>
      <c r="F329" s="107"/>
    </row>
    <row r="330" spans="3:6">
      <c r="C330" s="107"/>
      <c r="D330" s="107"/>
      <c r="E330" s="107"/>
      <c r="F330" s="107"/>
    </row>
    <row r="331" spans="3:6">
      <c r="C331" s="107"/>
      <c r="D331" s="107"/>
      <c r="E331" s="107"/>
      <c r="F331" s="107"/>
    </row>
    <row r="332" spans="3:6">
      <c r="C332" s="107"/>
      <c r="D332" s="107"/>
      <c r="E332" s="107"/>
      <c r="F332" s="107"/>
    </row>
    <row r="333" spans="3:6">
      <c r="C333" s="107"/>
      <c r="D333" s="107"/>
      <c r="E333" s="107"/>
      <c r="F333" s="107"/>
    </row>
    <row r="334" spans="3:6">
      <c r="C334" s="107"/>
      <c r="D334" s="107"/>
      <c r="E334" s="107"/>
      <c r="F334" s="107"/>
    </row>
    <row r="335" spans="3:6">
      <c r="C335" s="107"/>
      <c r="D335" s="107"/>
      <c r="E335" s="107"/>
      <c r="F335" s="107"/>
    </row>
    <row r="336" spans="3:6">
      <c r="C336" s="107"/>
      <c r="D336" s="107"/>
      <c r="E336" s="107"/>
      <c r="F336" s="107"/>
    </row>
    <row r="337" spans="3:6">
      <c r="C337" s="107"/>
      <c r="D337" s="107"/>
      <c r="E337" s="107"/>
      <c r="F337" s="107"/>
    </row>
    <row r="338" spans="3:6">
      <c r="C338" s="107"/>
      <c r="D338" s="107"/>
      <c r="E338" s="107"/>
      <c r="F338" s="107"/>
    </row>
    <row r="339" spans="3:6">
      <c r="C339" s="107"/>
      <c r="D339" s="107"/>
      <c r="E339" s="107"/>
      <c r="F339" s="107"/>
    </row>
    <row r="340" spans="3:6">
      <c r="C340" s="107"/>
      <c r="D340" s="107"/>
      <c r="E340" s="107"/>
      <c r="F340" s="107"/>
    </row>
    <row r="341" spans="3:6">
      <c r="C341" s="107"/>
      <c r="D341" s="107"/>
      <c r="E341" s="107"/>
      <c r="F341" s="107"/>
    </row>
    <row r="342" spans="3:6">
      <c r="C342" s="107"/>
      <c r="D342" s="107"/>
      <c r="E342" s="107"/>
      <c r="F342" s="107"/>
    </row>
    <row r="343" spans="3:6">
      <c r="C343" s="107"/>
      <c r="D343" s="107"/>
      <c r="E343" s="107"/>
      <c r="F343" s="107"/>
    </row>
    <row r="344" spans="3:6">
      <c r="C344" s="107"/>
      <c r="D344" s="107"/>
      <c r="E344" s="107"/>
      <c r="F344" s="107"/>
    </row>
    <row r="345" spans="3:6">
      <c r="C345" s="107"/>
      <c r="D345" s="107"/>
      <c r="E345" s="107"/>
      <c r="F345" s="107"/>
    </row>
    <row r="346" spans="3:6">
      <c r="C346" s="107"/>
      <c r="D346" s="107"/>
      <c r="E346" s="107"/>
      <c r="F346" s="107"/>
    </row>
    <row r="347" spans="3:6">
      <c r="C347" s="107"/>
      <c r="D347" s="107"/>
      <c r="E347" s="107"/>
      <c r="F347" s="107"/>
    </row>
    <row r="348" spans="3:6">
      <c r="C348" s="107"/>
      <c r="D348" s="107"/>
      <c r="E348" s="107"/>
      <c r="F348" s="107"/>
    </row>
    <row r="349" spans="3:6">
      <c r="C349" s="107"/>
      <c r="D349" s="107"/>
      <c r="E349" s="107"/>
      <c r="F349" s="107"/>
    </row>
    <row r="350" spans="3:6">
      <c r="C350" s="107"/>
      <c r="D350" s="107"/>
      <c r="E350" s="107"/>
      <c r="F350" s="107"/>
    </row>
    <row r="351" spans="3:6">
      <c r="C351" s="107"/>
      <c r="D351" s="107"/>
      <c r="E351" s="107"/>
      <c r="F351" s="107"/>
    </row>
    <row r="352" spans="3:6">
      <c r="C352" s="107"/>
      <c r="D352" s="107"/>
      <c r="E352" s="107"/>
      <c r="F352" s="107"/>
    </row>
    <row r="353" spans="3:6">
      <c r="C353" s="107"/>
      <c r="D353" s="107"/>
      <c r="E353" s="107"/>
      <c r="F353" s="107"/>
    </row>
    <row r="354" spans="3:6">
      <c r="C354" s="107"/>
      <c r="D354" s="107"/>
      <c r="E354" s="107"/>
      <c r="F354" s="107"/>
    </row>
    <row r="355" spans="3:6">
      <c r="C355" s="107"/>
      <c r="D355" s="107"/>
      <c r="E355" s="107"/>
      <c r="F355" s="107"/>
    </row>
    <row r="356" spans="3:6">
      <c r="C356" s="107"/>
      <c r="D356" s="107"/>
      <c r="E356" s="107"/>
      <c r="F356" s="107"/>
    </row>
    <row r="357" spans="3:6">
      <c r="C357" s="107"/>
      <c r="D357" s="107"/>
      <c r="E357" s="107"/>
      <c r="F357" s="107"/>
    </row>
    <row r="358" spans="3:6">
      <c r="C358" s="107"/>
      <c r="D358" s="107"/>
      <c r="E358" s="107"/>
      <c r="F358" s="107"/>
    </row>
    <row r="359" spans="3:6">
      <c r="C359" s="107"/>
      <c r="D359" s="107"/>
      <c r="E359" s="107"/>
      <c r="F359" s="107"/>
    </row>
    <row r="360" spans="3:6">
      <c r="C360" s="107"/>
      <c r="D360" s="107"/>
      <c r="E360" s="107"/>
      <c r="F360" s="107"/>
    </row>
    <row r="361" spans="3:6">
      <c r="C361" s="107"/>
      <c r="D361" s="107"/>
      <c r="E361" s="107"/>
      <c r="F361" s="107"/>
    </row>
    <row r="362" spans="3:6">
      <c r="C362" s="107"/>
      <c r="D362" s="107"/>
      <c r="E362" s="107"/>
      <c r="F362" s="107"/>
    </row>
    <row r="363" spans="3:6">
      <c r="C363" s="107"/>
      <c r="D363" s="107"/>
      <c r="E363" s="107"/>
      <c r="F363" s="107"/>
    </row>
    <row r="364" spans="3:6">
      <c r="C364" s="107"/>
      <c r="D364" s="107"/>
      <c r="E364" s="107"/>
      <c r="F364" s="107"/>
    </row>
    <row r="365" spans="3:6">
      <c r="C365" s="107"/>
      <c r="D365" s="107"/>
      <c r="E365" s="107"/>
      <c r="F365" s="107"/>
    </row>
    <row r="366" spans="3:6">
      <c r="C366" s="107"/>
      <c r="D366" s="107"/>
      <c r="E366" s="107"/>
      <c r="F366" s="107"/>
    </row>
    <row r="367" spans="3:6">
      <c r="C367" s="107"/>
      <c r="D367" s="107"/>
      <c r="E367" s="107"/>
      <c r="F367" s="107"/>
    </row>
    <row r="368" spans="3:6">
      <c r="C368" s="107"/>
      <c r="D368" s="107"/>
      <c r="E368" s="107"/>
      <c r="F368" s="107"/>
    </row>
    <row r="369" spans="3:6">
      <c r="C369" s="107"/>
      <c r="D369" s="107"/>
      <c r="E369" s="107"/>
      <c r="F369" s="107"/>
    </row>
    <row r="370" spans="3:6">
      <c r="C370" s="107"/>
      <c r="D370" s="107"/>
      <c r="E370" s="107"/>
      <c r="F370" s="107"/>
    </row>
    <row r="371" spans="3:6">
      <c r="C371" s="107"/>
      <c r="D371" s="107"/>
      <c r="E371" s="107"/>
      <c r="F371" s="107"/>
    </row>
    <row r="372" spans="3:6">
      <c r="C372" s="107"/>
      <c r="D372" s="107"/>
      <c r="E372" s="107"/>
      <c r="F372" s="107"/>
    </row>
    <row r="373" spans="3:6">
      <c r="C373" s="107"/>
      <c r="D373" s="107"/>
      <c r="E373" s="107"/>
      <c r="F373" s="107"/>
    </row>
    <row r="374" spans="3:6">
      <c r="C374" s="107"/>
      <c r="D374" s="107"/>
      <c r="E374" s="107"/>
      <c r="F374" s="107"/>
    </row>
    <row r="375" spans="3:6">
      <c r="C375" s="107"/>
      <c r="D375" s="107"/>
      <c r="E375" s="107"/>
      <c r="F375" s="107"/>
    </row>
    <row r="376" spans="3:6">
      <c r="C376" s="107"/>
      <c r="D376" s="107"/>
      <c r="E376" s="107"/>
      <c r="F376" s="107"/>
    </row>
    <row r="377" spans="3:6">
      <c r="C377" s="107"/>
      <c r="D377" s="107"/>
      <c r="E377" s="107"/>
      <c r="F377" s="107"/>
    </row>
    <row r="378" spans="3:6">
      <c r="C378" s="107"/>
      <c r="D378" s="107"/>
      <c r="E378" s="107"/>
      <c r="F378" s="107"/>
    </row>
    <row r="379" spans="3:6">
      <c r="C379" s="107"/>
      <c r="D379" s="107"/>
      <c r="E379" s="107"/>
      <c r="F379" s="107"/>
    </row>
    <row r="380" spans="3:6">
      <c r="C380" s="107"/>
      <c r="D380" s="107"/>
      <c r="E380" s="107"/>
      <c r="F380" s="107"/>
    </row>
    <row r="381" spans="3:6">
      <c r="C381" s="107"/>
      <c r="D381" s="107"/>
      <c r="E381" s="107"/>
      <c r="F381" s="107"/>
    </row>
    <row r="382" spans="3:6">
      <c r="C382" s="107"/>
      <c r="D382" s="107"/>
      <c r="E382" s="107"/>
      <c r="F382" s="107"/>
    </row>
    <row r="383" spans="3:6">
      <c r="C383" s="107"/>
      <c r="D383" s="107"/>
      <c r="E383" s="107"/>
      <c r="F383" s="107"/>
    </row>
    <row r="384" spans="3:6">
      <c r="C384" s="107"/>
      <c r="D384" s="107"/>
      <c r="E384" s="107"/>
      <c r="F384" s="107"/>
    </row>
    <row r="385" spans="3:6">
      <c r="C385" s="107"/>
      <c r="D385" s="107"/>
      <c r="E385" s="107"/>
      <c r="F385" s="107"/>
    </row>
    <row r="386" spans="3:6">
      <c r="C386" s="107"/>
      <c r="D386" s="107"/>
      <c r="E386" s="107"/>
      <c r="F386" s="107"/>
    </row>
    <row r="387" spans="3:6">
      <c r="C387" s="107"/>
      <c r="D387" s="107"/>
      <c r="E387" s="107"/>
      <c r="F387" s="107"/>
    </row>
    <row r="388" spans="3:6">
      <c r="C388" s="107"/>
      <c r="D388" s="107"/>
      <c r="E388" s="107"/>
      <c r="F388" s="107"/>
    </row>
    <row r="389" spans="3:6">
      <c r="C389" s="107"/>
      <c r="D389" s="107"/>
      <c r="E389" s="107"/>
      <c r="F389" s="107"/>
    </row>
    <row r="390" spans="3:6">
      <c r="C390" s="107"/>
      <c r="D390" s="107"/>
      <c r="E390" s="107"/>
      <c r="F390" s="107"/>
    </row>
    <row r="391" spans="3:6">
      <c r="C391" s="107"/>
      <c r="D391" s="107"/>
      <c r="E391" s="107"/>
      <c r="F391" s="107"/>
    </row>
    <row r="392" spans="3:6">
      <c r="C392" s="107"/>
      <c r="D392" s="107"/>
      <c r="E392" s="107"/>
      <c r="F392" s="107"/>
    </row>
    <row r="393" spans="3:6">
      <c r="C393" s="107"/>
      <c r="D393" s="107"/>
      <c r="E393" s="107"/>
      <c r="F393" s="107"/>
    </row>
    <row r="394" spans="3:6">
      <c r="C394" s="107"/>
      <c r="D394" s="107"/>
      <c r="E394" s="107"/>
      <c r="F394" s="107"/>
    </row>
    <row r="395" spans="3:6">
      <c r="C395" s="107"/>
      <c r="D395" s="107"/>
      <c r="E395" s="107"/>
      <c r="F395" s="107"/>
    </row>
    <row r="396" spans="3:6">
      <c r="C396" s="107"/>
      <c r="D396" s="107"/>
      <c r="E396" s="107"/>
      <c r="F396" s="107"/>
    </row>
    <row r="397" spans="3:6">
      <c r="C397" s="107"/>
      <c r="D397" s="107"/>
      <c r="E397" s="107"/>
      <c r="F397" s="107"/>
    </row>
    <row r="398" spans="3:6">
      <c r="C398" s="107"/>
      <c r="D398" s="107"/>
      <c r="E398" s="107"/>
      <c r="F398" s="107"/>
    </row>
    <row r="399" spans="3:6">
      <c r="C399" s="107"/>
      <c r="D399" s="107"/>
      <c r="E399" s="107"/>
      <c r="F399" s="107"/>
    </row>
    <row r="400" spans="3:6">
      <c r="C400" s="107"/>
      <c r="D400" s="107"/>
      <c r="E400" s="107"/>
      <c r="F400" s="107"/>
    </row>
    <row r="401" spans="3:6">
      <c r="C401" s="107"/>
      <c r="D401" s="107"/>
      <c r="E401" s="107"/>
      <c r="F401" s="107"/>
    </row>
    <row r="402" spans="3:6">
      <c r="C402" s="107"/>
      <c r="D402" s="107"/>
      <c r="E402" s="107"/>
      <c r="F402" s="107"/>
    </row>
    <row r="403" spans="3:6">
      <c r="C403" s="107"/>
      <c r="D403" s="107"/>
      <c r="E403" s="107"/>
      <c r="F403" s="107"/>
    </row>
    <row r="404" spans="3:6">
      <c r="C404" s="107"/>
      <c r="D404" s="107"/>
      <c r="E404" s="107"/>
      <c r="F404" s="107"/>
    </row>
    <row r="405" spans="3:6">
      <c r="C405" s="107"/>
      <c r="D405" s="107"/>
      <c r="E405" s="107"/>
      <c r="F405" s="107"/>
    </row>
    <row r="406" spans="3:6">
      <c r="C406" s="107"/>
      <c r="D406" s="107"/>
      <c r="E406" s="107"/>
      <c r="F406" s="107"/>
    </row>
    <row r="407" spans="3:6">
      <c r="C407" s="107"/>
      <c r="D407" s="107"/>
      <c r="E407" s="107"/>
      <c r="F407" s="107"/>
    </row>
    <row r="408" spans="3:6">
      <c r="C408" s="107"/>
      <c r="D408" s="107"/>
      <c r="E408" s="107"/>
      <c r="F408" s="107"/>
    </row>
    <row r="409" spans="3:6">
      <c r="C409" s="107"/>
      <c r="D409" s="107"/>
      <c r="E409" s="107"/>
      <c r="F409" s="107"/>
    </row>
    <row r="410" spans="3:6">
      <c r="C410" s="107"/>
      <c r="D410" s="107"/>
      <c r="E410" s="107"/>
      <c r="F410" s="107"/>
    </row>
    <row r="411" spans="3:6">
      <c r="C411" s="107"/>
      <c r="D411" s="107"/>
      <c r="E411" s="107"/>
      <c r="F411" s="107"/>
    </row>
    <row r="412" spans="3:6">
      <c r="C412" s="107"/>
      <c r="D412" s="107"/>
      <c r="E412" s="107"/>
      <c r="F412" s="107"/>
    </row>
    <row r="413" spans="3:6">
      <c r="C413" s="107"/>
      <c r="D413" s="107"/>
      <c r="E413" s="107"/>
      <c r="F413" s="107"/>
    </row>
    <row r="414" spans="3:6">
      <c r="C414" s="107"/>
      <c r="D414" s="107"/>
      <c r="E414" s="107"/>
      <c r="F414" s="107"/>
    </row>
    <row r="415" spans="3:6">
      <c r="C415" s="107"/>
      <c r="D415" s="107"/>
      <c r="E415" s="107"/>
      <c r="F415" s="107"/>
    </row>
    <row r="416" spans="3:6">
      <c r="C416" s="107"/>
      <c r="D416" s="107"/>
      <c r="E416" s="107"/>
      <c r="F416" s="107"/>
    </row>
    <row r="417" spans="3:6">
      <c r="C417" s="107"/>
      <c r="D417" s="107"/>
      <c r="E417" s="107"/>
      <c r="F417" s="107"/>
    </row>
    <row r="418" spans="3:6">
      <c r="C418" s="107"/>
      <c r="D418" s="107"/>
      <c r="E418" s="107"/>
      <c r="F418" s="107"/>
    </row>
    <row r="419" spans="3:6">
      <c r="C419" s="107"/>
      <c r="D419" s="107"/>
      <c r="E419" s="107"/>
      <c r="F419" s="107"/>
    </row>
    <row r="420" spans="3:6">
      <c r="C420" s="107"/>
      <c r="D420" s="107"/>
      <c r="E420" s="107"/>
      <c r="F420" s="107"/>
    </row>
    <row r="421" spans="3:6">
      <c r="C421" s="107"/>
      <c r="D421" s="107"/>
      <c r="E421" s="107"/>
      <c r="F421" s="107"/>
    </row>
    <row r="422" spans="3:6">
      <c r="C422" s="107"/>
      <c r="D422" s="107"/>
      <c r="E422" s="107"/>
      <c r="F422" s="107"/>
    </row>
    <row r="423" spans="3:6">
      <c r="C423" s="107"/>
      <c r="D423" s="107"/>
      <c r="E423" s="107"/>
      <c r="F423" s="107"/>
    </row>
    <row r="424" spans="3:6">
      <c r="C424" s="107"/>
      <c r="D424" s="107"/>
      <c r="E424" s="107"/>
      <c r="F424" s="107"/>
    </row>
    <row r="425" spans="3:6">
      <c r="C425" s="107"/>
      <c r="D425" s="107"/>
      <c r="E425" s="107"/>
      <c r="F425" s="107"/>
    </row>
    <row r="426" spans="3:6">
      <c r="C426" s="107"/>
      <c r="D426" s="107"/>
      <c r="E426" s="107"/>
      <c r="F426" s="107"/>
    </row>
    <row r="427" spans="3:6">
      <c r="C427" s="107"/>
      <c r="D427" s="107"/>
      <c r="E427" s="107"/>
      <c r="F427" s="107"/>
    </row>
    <row r="428" spans="3:6">
      <c r="C428" s="107"/>
      <c r="D428" s="107"/>
      <c r="E428" s="107"/>
      <c r="F428" s="107"/>
    </row>
    <row r="429" spans="3:6">
      <c r="C429" s="107"/>
      <c r="D429" s="107"/>
      <c r="E429" s="107"/>
      <c r="F429" s="107"/>
    </row>
    <row r="430" spans="3:6">
      <c r="C430" s="107"/>
      <c r="D430" s="107"/>
      <c r="E430" s="107"/>
      <c r="F430" s="107"/>
    </row>
    <row r="431" spans="3:6">
      <c r="C431" s="107"/>
      <c r="D431" s="107"/>
      <c r="E431" s="107"/>
      <c r="F431" s="107"/>
    </row>
    <row r="432" spans="3:6">
      <c r="C432" s="107"/>
      <c r="D432" s="107"/>
      <c r="E432" s="107"/>
      <c r="F432" s="107"/>
    </row>
    <row r="433" spans="3:6">
      <c r="C433" s="107"/>
      <c r="D433" s="107"/>
      <c r="E433" s="107"/>
      <c r="F433" s="107"/>
    </row>
    <row r="434" spans="3:6">
      <c r="C434" s="107"/>
      <c r="D434" s="107"/>
      <c r="E434" s="107"/>
      <c r="F434" s="107"/>
    </row>
    <row r="435" spans="3:6">
      <c r="C435" s="107"/>
      <c r="D435" s="107"/>
      <c r="E435" s="107"/>
      <c r="F435" s="107"/>
    </row>
    <row r="436" spans="3:6">
      <c r="C436" s="107"/>
      <c r="D436" s="107"/>
      <c r="E436" s="107"/>
      <c r="F436" s="107"/>
    </row>
    <row r="437" spans="3:6">
      <c r="C437" s="107"/>
      <c r="D437" s="107"/>
      <c r="E437" s="107"/>
      <c r="F437" s="107"/>
    </row>
    <row r="438" spans="3:6">
      <c r="C438" s="107"/>
      <c r="D438" s="107"/>
      <c r="E438" s="107"/>
      <c r="F438" s="107"/>
    </row>
    <row r="439" spans="3:6">
      <c r="C439" s="107"/>
      <c r="D439" s="107"/>
      <c r="E439" s="107"/>
      <c r="F439" s="107"/>
    </row>
    <row r="440" spans="3:6">
      <c r="C440" s="107"/>
      <c r="D440" s="107"/>
      <c r="E440" s="107"/>
      <c r="F440" s="107"/>
    </row>
    <row r="441" spans="3:6">
      <c r="C441" s="107"/>
      <c r="D441" s="107"/>
      <c r="E441" s="107"/>
      <c r="F441" s="107"/>
    </row>
    <row r="442" spans="3:6">
      <c r="C442" s="107"/>
      <c r="D442" s="107"/>
      <c r="E442" s="107"/>
      <c r="F442" s="107"/>
    </row>
    <row r="443" spans="3:6">
      <c r="C443" s="107"/>
      <c r="D443" s="107"/>
      <c r="E443" s="107"/>
      <c r="F443" s="107"/>
    </row>
    <row r="444" spans="3:6">
      <c r="C444" s="107"/>
      <c r="D444" s="107"/>
      <c r="E444" s="107"/>
      <c r="F444" s="107"/>
    </row>
    <row r="445" spans="3:6">
      <c r="C445" s="107"/>
      <c r="D445" s="107"/>
      <c r="E445" s="107"/>
      <c r="F445" s="107"/>
    </row>
    <row r="446" spans="3:6">
      <c r="C446" s="107"/>
      <c r="D446" s="107"/>
      <c r="E446" s="107"/>
      <c r="F446" s="107"/>
    </row>
    <row r="447" spans="3:6">
      <c r="C447" s="107"/>
      <c r="D447" s="107"/>
      <c r="E447" s="107"/>
      <c r="F447" s="107"/>
    </row>
    <row r="448" spans="3:6">
      <c r="C448" s="107"/>
      <c r="D448" s="107"/>
      <c r="E448" s="107"/>
      <c r="F448" s="107"/>
    </row>
    <row r="449" spans="3:6">
      <c r="C449" s="107"/>
      <c r="D449" s="107"/>
      <c r="E449" s="107"/>
      <c r="F449" s="107"/>
    </row>
    <row r="450" spans="3:6">
      <c r="C450" s="107"/>
      <c r="D450" s="107"/>
      <c r="E450" s="107"/>
      <c r="F450" s="107"/>
    </row>
    <row r="451" spans="3:6">
      <c r="C451" s="107"/>
      <c r="D451" s="107"/>
      <c r="E451" s="107"/>
      <c r="F451" s="107"/>
    </row>
    <row r="452" spans="3:6">
      <c r="C452" s="107"/>
      <c r="D452" s="107"/>
      <c r="E452" s="107"/>
      <c r="F452" s="107"/>
    </row>
    <row r="453" spans="3:6">
      <c r="C453" s="107"/>
      <c r="D453" s="107"/>
      <c r="E453" s="107"/>
      <c r="F453" s="107"/>
    </row>
    <row r="454" spans="3:6">
      <c r="C454" s="107"/>
      <c r="D454" s="107"/>
      <c r="E454" s="107"/>
      <c r="F454" s="107"/>
    </row>
    <row r="455" spans="3:6">
      <c r="C455" s="107"/>
      <c r="D455" s="107"/>
      <c r="E455" s="107"/>
      <c r="F455" s="107"/>
    </row>
    <row r="456" spans="3:6">
      <c r="C456" s="107"/>
      <c r="D456" s="107"/>
      <c r="E456" s="107"/>
      <c r="F456" s="107"/>
    </row>
    <row r="457" spans="3:6">
      <c r="C457" s="107"/>
      <c r="D457" s="107"/>
      <c r="E457" s="107"/>
      <c r="F457" s="107"/>
    </row>
    <row r="458" spans="3:6">
      <c r="C458" s="107"/>
      <c r="D458" s="107"/>
      <c r="E458" s="107"/>
      <c r="F458" s="107"/>
    </row>
    <row r="459" spans="3:6">
      <c r="C459" s="107"/>
      <c r="D459" s="107"/>
      <c r="E459" s="107"/>
      <c r="F459" s="107"/>
    </row>
    <row r="460" spans="3:6">
      <c r="C460" s="107"/>
      <c r="D460" s="107"/>
      <c r="E460" s="107"/>
      <c r="F460" s="107"/>
    </row>
    <row r="461" spans="3:6">
      <c r="C461" s="107"/>
      <c r="D461" s="107"/>
      <c r="E461" s="107"/>
      <c r="F461" s="107"/>
    </row>
    <row r="462" spans="3:6">
      <c r="C462" s="107"/>
      <c r="D462" s="107"/>
      <c r="E462" s="107"/>
      <c r="F462" s="107"/>
    </row>
    <row r="463" spans="3:6">
      <c r="C463" s="107"/>
      <c r="D463" s="107"/>
      <c r="E463" s="107"/>
      <c r="F463" s="107"/>
    </row>
    <row r="464" spans="3:6">
      <c r="C464" s="107"/>
      <c r="D464" s="107"/>
      <c r="E464" s="107"/>
      <c r="F464" s="107"/>
    </row>
    <row r="465" spans="3:6">
      <c r="C465" s="107"/>
      <c r="D465" s="107"/>
      <c r="E465" s="107"/>
      <c r="F465" s="107"/>
    </row>
    <row r="466" spans="3:6">
      <c r="C466" s="107"/>
      <c r="D466" s="107"/>
      <c r="E466" s="107"/>
      <c r="F466" s="107"/>
    </row>
    <row r="467" spans="3:6">
      <c r="C467" s="107"/>
      <c r="D467" s="107"/>
      <c r="E467" s="107"/>
      <c r="F467" s="107"/>
    </row>
    <row r="468" spans="3:6">
      <c r="C468" s="107"/>
      <c r="D468" s="107"/>
      <c r="E468" s="107"/>
      <c r="F468" s="107"/>
    </row>
    <row r="469" spans="3:6">
      <c r="C469" s="107"/>
      <c r="D469" s="107"/>
      <c r="E469" s="107"/>
      <c r="F469" s="107"/>
    </row>
    <row r="470" spans="3:6">
      <c r="C470" s="107"/>
      <c r="D470" s="107"/>
      <c r="E470" s="107"/>
      <c r="F470" s="107"/>
    </row>
    <row r="471" spans="3:6">
      <c r="C471" s="107"/>
      <c r="D471" s="107"/>
      <c r="E471" s="107"/>
      <c r="F471" s="107"/>
    </row>
    <row r="472" spans="3:6">
      <c r="C472" s="107"/>
      <c r="D472" s="107"/>
      <c r="E472" s="107"/>
      <c r="F472" s="107"/>
    </row>
    <row r="473" spans="3:6">
      <c r="C473" s="107"/>
      <c r="D473" s="107"/>
      <c r="E473" s="107"/>
      <c r="F473" s="107"/>
    </row>
    <row r="474" spans="3:6">
      <c r="C474" s="107"/>
      <c r="D474" s="107"/>
      <c r="E474" s="107"/>
      <c r="F474" s="107"/>
    </row>
    <row r="475" spans="3:6">
      <c r="C475" s="107"/>
      <c r="D475" s="107"/>
      <c r="E475" s="107"/>
      <c r="F475" s="107"/>
    </row>
    <row r="476" spans="3:6">
      <c r="C476" s="107"/>
      <c r="D476" s="107"/>
      <c r="E476" s="107"/>
      <c r="F476" s="107"/>
    </row>
    <row r="477" spans="3:6">
      <c r="C477" s="107"/>
      <c r="D477" s="107"/>
      <c r="E477" s="107"/>
      <c r="F477" s="107"/>
    </row>
    <row r="478" spans="3:6">
      <c r="C478" s="107"/>
      <c r="D478" s="107"/>
      <c r="E478" s="107"/>
      <c r="F478" s="107"/>
    </row>
    <row r="479" spans="3:6">
      <c r="C479" s="107"/>
      <c r="D479" s="107"/>
      <c r="E479" s="107"/>
      <c r="F479" s="107"/>
    </row>
    <row r="480" spans="3:6">
      <c r="C480" s="107"/>
      <c r="D480" s="107"/>
      <c r="E480" s="107"/>
      <c r="F480" s="107"/>
    </row>
    <row r="481" spans="3:6">
      <c r="C481" s="107"/>
      <c r="D481" s="107"/>
      <c r="E481" s="107"/>
      <c r="F481" s="107"/>
    </row>
    <row r="482" spans="3:6">
      <c r="C482" s="107"/>
      <c r="D482" s="107"/>
      <c r="E482" s="107"/>
      <c r="F482" s="107"/>
    </row>
    <row r="483" spans="3:6">
      <c r="C483" s="107"/>
      <c r="D483" s="107"/>
      <c r="E483" s="107"/>
      <c r="F483" s="107"/>
    </row>
    <row r="484" spans="3:6">
      <c r="C484" s="107"/>
      <c r="D484" s="107"/>
      <c r="E484" s="107"/>
      <c r="F484" s="107"/>
    </row>
    <row r="485" spans="3:6">
      <c r="C485" s="107"/>
      <c r="D485" s="107"/>
      <c r="E485" s="107"/>
      <c r="F485" s="107"/>
    </row>
    <row r="486" spans="3:6">
      <c r="C486" s="107"/>
      <c r="D486" s="107"/>
      <c r="E486" s="107"/>
      <c r="F486" s="107"/>
    </row>
    <row r="487" spans="3:6">
      <c r="C487" s="107"/>
      <c r="D487" s="107"/>
      <c r="E487" s="107"/>
      <c r="F487" s="107"/>
    </row>
    <row r="488" spans="3:6">
      <c r="C488" s="107"/>
      <c r="D488" s="107"/>
      <c r="E488" s="107"/>
      <c r="F488" s="107"/>
    </row>
    <row r="489" spans="3:6">
      <c r="C489" s="107"/>
      <c r="D489" s="107"/>
      <c r="E489" s="107"/>
      <c r="F489" s="107"/>
    </row>
    <row r="490" spans="3:6">
      <c r="C490" s="107"/>
      <c r="D490" s="107"/>
      <c r="E490" s="107"/>
      <c r="F490" s="107"/>
    </row>
    <row r="491" spans="3:6">
      <c r="C491" s="107"/>
      <c r="D491" s="107"/>
      <c r="E491" s="107"/>
      <c r="F491" s="107"/>
    </row>
    <row r="492" spans="3:6">
      <c r="C492" s="107"/>
      <c r="D492" s="107"/>
      <c r="E492" s="107"/>
      <c r="F492" s="107"/>
    </row>
    <row r="493" spans="3:6">
      <c r="C493" s="107"/>
      <c r="D493" s="107"/>
      <c r="E493" s="107"/>
      <c r="F493" s="107"/>
    </row>
    <row r="494" spans="3:6">
      <c r="C494" s="107"/>
      <c r="D494" s="107"/>
      <c r="E494" s="107"/>
      <c r="F494" s="107"/>
    </row>
    <row r="495" spans="3:6">
      <c r="C495" s="107"/>
      <c r="D495" s="107"/>
      <c r="E495" s="107"/>
      <c r="F495" s="107"/>
    </row>
    <row r="496" spans="3:6">
      <c r="C496" s="107"/>
      <c r="D496" s="107"/>
      <c r="E496" s="107"/>
      <c r="F496" s="107"/>
    </row>
    <row r="497" spans="3:6">
      <c r="C497" s="107"/>
      <c r="D497" s="107"/>
      <c r="E497" s="107"/>
      <c r="F497" s="107"/>
    </row>
    <row r="498" spans="3:6">
      <c r="C498" s="107"/>
      <c r="D498" s="107"/>
      <c r="E498" s="107"/>
      <c r="F498" s="107"/>
    </row>
    <row r="499" spans="3:6">
      <c r="C499" s="107"/>
      <c r="D499" s="107"/>
      <c r="E499" s="107"/>
      <c r="F499" s="107"/>
    </row>
    <row r="500" spans="3:6">
      <c r="C500" s="107"/>
      <c r="D500" s="107"/>
      <c r="E500" s="107"/>
      <c r="F500" s="107"/>
    </row>
    <row r="501" spans="3:6">
      <c r="C501" s="107"/>
      <c r="D501" s="107"/>
      <c r="E501" s="107"/>
      <c r="F501" s="107"/>
    </row>
    <row r="502" spans="3:6">
      <c r="C502" s="107"/>
      <c r="D502" s="107"/>
      <c r="E502" s="107"/>
      <c r="F502" s="107"/>
    </row>
    <row r="503" spans="3:6">
      <c r="C503" s="107"/>
      <c r="D503" s="107"/>
      <c r="E503" s="107"/>
      <c r="F503" s="107"/>
    </row>
    <row r="504" spans="3:6">
      <c r="C504" s="107"/>
      <c r="D504" s="107"/>
      <c r="E504" s="107"/>
      <c r="F504" s="107"/>
    </row>
    <row r="505" spans="3:6">
      <c r="C505" s="107"/>
      <c r="D505" s="107"/>
      <c r="E505" s="107"/>
      <c r="F505" s="107"/>
    </row>
    <row r="506" spans="3:6">
      <c r="C506" s="107"/>
      <c r="D506" s="107"/>
      <c r="E506" s="107"/>
      <c r="F506" s="107"/>
    </row>
    <row r="507" spans="3:6">
      <c r="C507" s="107"/>
      <c r="D507" s="107"/>
      <c r="E507" s="107"/>
      <c r="F507" s="107"/>
    </row>
    <row r="508" spans="3:6">
      <c r="C508" s="107"/>
      <c r="D508" s="107"/>
      <c r="E508" s="107"/>
      <c r="F508" s="107"/>
    </row>
    <row r="509" spans="3:6">
      <c r="C509" s="107"/>
      <c r="D509" s="107"/>
      <c r="E509" s="107"/>
      <c r="F509" s="107"/>
    </row>
    <row r="510" spans="3:6">
      <c r="C510" s="107"/>
      <c r="D510" s="107"/>
      <c r="E510" s="107"/>
      <c r="F510" s="107"/>
    </row>
    <row r="511" spans="3:6">
      <c r="C511" s="107"/>
      <c r="D511" s="107"/>
      <c r="E511" s="107"/>
      <c r="F511" s="107"/>
    </row>
    <row r="512" spans="3:6">
      <c r="C512" s="107"/>
      <c r="D512" s="107"/>
      <c r="E512" s="107"/>
      <c r="F512" s="107"/>
    </row>
    <row r="513" spans="3:6">
      <c r="C513" s="107"/>
      <c r="D513" s="107"/>
      <c r="E513" s="107"/>
      <c r="F513" s="107"/>
    </row>
    <row r="514" spans="3:6">
      <c r="C514" s="107"/>
      <c r="D514" s="107"/>
      <c r="E514" s="107"/>
      <c r="F514" s="107"/>
    </row>
    <row r="515" spans="3:6">
      <c r="C515" s="107"/>
      <c r="D515" s="107"/>
      <c r="E515" s="107"/>
      <c r="F515" s="107"/>
    </row>
    <row r="516" spans="3:6">
      <c r="C516" s="107"/>
      <c r="D516" s="107"/>
      <c r="E516" s="107"/>
      <c r="F516" s="107"/>
    </row>
    <row r="517" spans="3:6">
      <c r="C517" s="107"/>
      <c r="D517" s="107"/>
      <c r="E517" s="107"/>
      <c r="F517" s="107"/>
    </row>
    <row r="518" spans="3:6">
      <c r="C518" s="107"/>
      <c r="D518" s="107"/>
      <c r="E518" s="107"/>
      <c r="F518" s="107"/>
    </row>
    <row r="519" spans="3:6">
      <c r="C519" s="107"/>
      <c r="D519" s="107"/>
      <c r="E519" s="107"/>
      <c r="F519" s="107"/>
    </row>
    <row r="520" spans="3:6">
      <c r="C520" s="107"/>
      <c r="D520" s="107"/>
      <c r="E520" s="107"/>
      <c r="F520" s="107"/>
    </row>
    <row r="521" spans="3:6">
      <c r="C521" s="107"/>
      <c r="D521" s="107"/>
      <c r="E521" s="107"/>
      <c r="F521" s="107"/>
    </row>
    <row r="522" spans="3:6">
      <c r="C522" s="107"/>
      <c r="D522" s="107"/>
      <c r="E522" s="107"/>
      <c r="F522" s="107"/>
    </row>
    <row r="523" spans="3:6">
      <c r="C523" s="107"/>
      <c r="D523" s="107"/>
      <c r="E523" s="107"/>
      <c r="F523" s="107"/>
    </row>
    <row r="524" spans="3:6">
      <c r="C524" s="107"/>
      <c r="D524" s="107"/>
      <c r="E524" s="107"/>
      <c r="F524" s="107"/>
    </row>
    <row r="525" spans="3:6">
      <c r="C525" s="107"/>
      <c r="D525" s="107"/>
      <c r="E525" s="107"/>
      <c r="F525" s="107"/>
    </row>
    <row r="526" spans="3:6">
      <c r="C526" s="107"/>
      <c r="D526" s="107"/>
      <c r="E526" s="107"/>
      <c r="F526" s="107"/>
    </row>
    <row r="527" spans="3:6">
      <c r="C527" s="107"/>
      <c r="D527" s="107"/>
      <c r="E527" s="107"/>
      <c r="F527" s="107"/>
    </row>
    <row r="528" spans="3:6">
      <c r="C528" s="107"/>
      <c r="D528" s="107"/>
      <c r="E528" s="107"/>
      <c r="F528" s="107"/>
    </row>
    <row r="529" spans="3:6">
      <c r="C529" s="107"/>
      <c r="D529" s="107"/>
      <c r="E529" s="107"/>
      <c r="F529" s="107"/>
    </row>
    <row r="530" spans="3:6">
      <c r="C530" s="107"/>
      <c r="D530" s="107"/>
      <c r="E530" s="107"/>
      <c r="F530" s="107"/>
    </row>
    <row r="531" spans="3:6">
      <c r="C531" s="107"/>
      <c r="D531" s="107"/>
      <c r="E531" s="107"/>
      <c r="F531" s="107"/>
    </row>
    <row r="532" spans="3:6">
      <c r="C532" s="107"/>
      <c r="D532" s="107"/>
      <c r="E532" s="107"/>
      <c r="F532" s="107"/>
    </row>
    <row r="533" spans="3:6">
      <c r="C533" s="107"/>
      <c r="D533" s="107"/>
      <c r="E533" s="107"/>
      <c r="F533" s="107"/>
    </row>
    <row r="534" spans="3:6">
      <c r="C534" s="107"/>
      <c r="D534" s="107"/>
      <c r="E534" s="107"/>
      <c r="F534" s="107"/>
    </row>
    <row r="535" spans="3:6">
      <c r="C535" s="107"/>
      <c r="D535" s="107"/>
      <c r="E535" s="107"/>
      <c r="F535" s="107"/>
    </row>
    <row r="536" spans="3:6">
      <c r="C536" s="107"/>
      <c r="D536" s="107"/>
      <c r="E536" s="107"/>
      <c r="F536" s="107"/>
    </row>
    <row r="537" spans="3:6">
      <c r="C537" s="107"/>
      <c r="D537" s="107"/>
      <c r="E537" s="107"/>
      <c r="F537" s="107"/>
    </row>
    <row r="538" spans="3:6">
      <c r="C538" s="107"/>
      <c r="D538" s="107"/>
      <c r="E538" s="107"/>
      <c r="F538" s="107"/>
    </row>
    <row r="539" spans="3:6">
      <c r="C539" s="107"/>
      <c r="D539" s="107"/>
      <c r="E539" s="107"/>
      <c r="F539" s="107"/>
    </row>
    <row r="540" spans="3:6">
      <c r="C540" s="107"/>
      <c r="D540" s="107"/>
      <c r="E540" s="107"/>
      <c r="F540" s="107"/>
    </row>
    <row r="541" spans="3:6">
      <c r="C541" s="107"/>
      <c r="D541" s="107"/>
      <c r="E541" s="107"/>
      <c r="F541" s="107"/>
    </row>
    <row r="542" spans="3:6">
      <c r="C542" s="107"/>
      <c r="D542" s="107"/>
      <c r="E542" s="107"/>
      <c r="F542" s="107"/>
    </row>
    <row r="543" spans="3:6">
      <c r="C543" s="107"/>
      <c r="D543" s="107"/>
      <c r="E543" s="107"/>
      <c r="F543" s="107"/>
    </row>
    <row r="544" spans="3:6">
      <c r="C544" s="107"/>
      <c r="D544" s="107"/>
      <c r="E544" s="107"/>
      <c r="F544" s="107"/>
    </row>
    <row r="545" spans="3:6">
      <c r="C545" s="107"/>
      <c r="D545" s="107"/>
      <c r="E545" s="107"/>
      <c r="F545" s="107"/>
    </row>
    <row r="546" spans="3:6">
      <c r="C546" s="107"/>
      <c r="D546" s="107"/>
      <c r="E546" s="107"/>
      <c r="F546" s="107"/>
    </row>
    <row r="547" spans="3:6">
      <c r="C547" s="107"/>
      <c r="D547" s="107"/>
      <c r="E547" s="107"/>
      <c r="F547" s="107"/>
    </row>
    <row r="548" spans="3:6">
      <c r="C548" s="107"/>
      <c r="D548" s="107"/>
      <c r="E548" s="107"/>
      <c r="F548" s="107"/>
    </row>
    <row r="549" spans="3:6">
      <c r="C549" s="107"/>
      <c r="D549" s="107"/>
      <c r="E549" s="107"/>
      <c r="F549" s="107"/>
    </row>
    <row r="550" spans="3:6">
      <c r="C550" s="107"/>
      <c r="D550" s="107"/>
      <c r="E550" s="107"/>
      <c r="F550" s="107"/>
    </row>
    <row r="551" spans="3:6">
      <c r="C551" s="107"/>
      <c r="D551" s="107"/>
      <c r="E551" s="107"/>
      <c r="F551" s="107"/>
    </row>
    <row r="552" spans="3:6">
      <c r="C552" s="107"/>
      <c r="D552" s="107"/>
      <c r="E552" s="107"/>
      <c r="F552" s="107"/>
    </row>
    <row r="553" spans="3:6">
      <c r="C553" s="107"/>
      <c r="D553" s="107"/>
      <c r="E553" s="107"/>
      <c r="F553" s="107"/>
    </row>
    <row r="554" spans="3:6">
      <c r="C554" s="107"/>
      <c r="D554" s="107"/>
      <c r="E554" s="107"/>
      <c r="F554" s="107"/>
    </row>
    <row r="555" spans="3:6">
      <c r="C555" s="107"/>
      <c r="D555" s="107"/>
      <c r="E555" s="107"/>
      <c r="F555" s="107"/>
    </row>
    <row r="556" spans="3:6">
      <c r="C556" s="107"/>
      <c r="D556" s="107"/>
      <c r="E556" s="107"/>
      <c r="F556" s="107"/>
    </row>
    <row r="557" spans="3:6">
      <c r="C557" s="107"/>
      <c r="D557" s="107"/>
      <c r="E557" s="107"/>
      <c r="F557" s="107"/>
    </row>
    <row r="558" spans="3:6">
      <c r="C558" s="107"/>
      <c r="D558" s="107"/>
      <c r="E558" s="107"/>
      <c r="F558" s="107"/>
    </row>
    <row r="559" spans="3:6">
      <c r="C559" s="107"/>
      <c r="D559" s="107"/>
      <c r="E559" s="107"/>
      <c r="F559" s="107"/>
    </row>
    <row r="560" spans="3:6">
      <c r="C560" s="107"/>
      <c r="D560" s="107"/>
      <c r="E560" s="107"/>
      <c r="F560" s="107"/>
    </row>
    <row r="561" spans="3:6">
      <c r="C561" s="107"/>
      <c r="D561" s="107"/>
      <c r="E561" s="107"/>
      <c r="F561" s="107"/>
    </row>
    <row r="562" spans="3:6">
      <c r="C562" s="107"/>
      <c r="D562" s="107"/>
      <c r="E562" s="107"/>
      <c r="F562" s="107"/>
    </row>
    <row r="563" spans="3:6">
      <c r="C563" s="107"/>
      <c r="D563" s="107"/>
      <c r="E563" s="107"/>
      <c r="F563" s="107"/>
    </row>
    <row r="564" spans="3:6">
      <c r="C564" s="107"/>
      <c r="D564" s="107"/>
      <c r="E564" s="107"/>
      <c r="F564" s="107"/>
    </row>
    <row r="565" spans="3:6">
      <c r="C565" s="107"/>
      <c r="D565" s="107"/>
      <c r="E565" s="107"/>
      <c r="F565" s="107"/>
    </row>
    <row r="566" spans="3:6">
      <c r="C566" s="107"/>
      <c r="D566" s="107"/>
      <c r="E566" s="107"/>
      <c r="F566" s="107"/>
    </row>
  </sheetData>
  <mergeCells count="3">
    <mergeCell ref="A9:I9"/>
    <mergeCell ref="A2:I2"/>
    <mergeCell ref="A4:I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89955-B654-4648-A6E4-FD67CBA54DDA}">
  <sheetPr codeName="Sheet2">
    <tabColor rgb="FFFF3399"/>
  </sheetPr>
  <dimension ref="A1:AZ273"/>
  <sheetViews>
    <sheetView tabSelected="1" zoomScale="70" zoomScaleNormal="70" workbookViewId="0">
      <pane xSplit="10" ySplit="2" topLeftCell="K3" activePane="bottomRight" state="frozen"/>
      <selection pane="topRight" activeCell="I1" sqref="I1"/>
      <selection pane="bottomLeft" activeCell="A3" sqref="A3"/>
      <selection pane="bottomRight" activeCell="J8" sqref="J8"/>
    </sheetView>
  </sheetViews>
  <sheetFormatPr defaultColWidth="9" defaultRowHeight="14.4"/>
  <cols>
    <col min="1" max="1" width="10.77734375" style="16" customWidth="1"/>
    <col min="2" max="2" width="33.109375" style="16" bestFit="1" customWidth="1"/>
    <col min="3" max="3" width="35.5546875" style="2" bestFit="1" customWidth="1"/>
    <col min="4" max="6" width="10.77734375" style="1" customWidth="1"/>
    <col min="7" max="7" width="10.77734375" style="149" customWidth="1"/>
    <col min="8" max="8" width="15.77734375" style="1" customWidth="1"/>
    <col min="9" max="9" width="10.77734375" style="1" customWidth="1"/>
    <col min="10" max="10" width="20.77734375" style="1" customWidth="1"/>
    <col min="11" max="11" width="39.21875" style="16" customWidth="1"/>
    <col min="12" max="12" width="32.77734375" style="2" customWidth="1"/>
    <col min="13" max="13" width="25.77734375" style="2" customWidth="1"/>
    <col min="14" max="14" width="25.5546875" style="3" bestFit="1" customWidth="1"/>
    <col min="15" max="15" width="20.77734375" style="1" customWidth="1"/>
    <col min="16" max="19" width="15.77734375" style="1" customWidth="1"/>
    <col min="20" max="20" width="20.77734375" customWidth="1"/>
    <col min="21" max="21" width="16" style="1" bestFit="1" customWidth="1"/>
    <col min="22" max="23" width="16" style="1" customWidth="1"/>
    <col min="24" max="24" width="41.5546875" style="1" bestFit="1" customWidth="1"/>
    <col min="25" max="30" width="15.77734375" customWidth="1"/>
    <col min="31" max="32" width="15.77734375" style="1" customWidth="1"/>
    <col min="33" max="33" width="23.77734375" style="1" bestFit="1" customWidth="1"/>
    <col min="34" max="34" width="23.77734375" style="1" customWidth="1"/>
    <col min="35" max="37" width="15.77734375" style="1" customWidth="1"/>
    <col min="38" max="38" width="21.21875" bestFit="1" customWidth="1"/>
    <col min="39" max="46" width="15.77734375" customWidth="1"/>
    <col min="47" max="47" width="35" bestFit="1" customWidth="1"/>
  </cols>
  <sheetData>
    <row r="1" spans="1:52" s="4" customFormat="1" ht="49.95" customHeight="1">
      <c r="A1" s="7" t="s">
        <v>0</v>
      </c>
      <c r="B1" s="7" t="s">
        <v>1</v>
      </c>
      <c r="C1" s="7" t="s">
        <v>118</v>
      </c>
      <c r="D1" s="7" t="s">
        <v>2</v>
      </c>
      <c r="E1" s="7" t="s">
        <v>3</v>
      </c>
      <c r="F1" s="7" t="s">
        <v>84</v>
      </c>
      <c r="G1" s="7" t="s">
        <v>74</v>
      </c>
      <c r="H1" s="7" t="s">
        <v>4</v>
      </c>
      <c r="I1" s="7" t="s">
        <v>100</v>
      </c>
      <c r="J1" s="25" t="s">
        <v>15</v>
      </c>
      <c r="K1" s="25" t="s">
        <v>141</v>
      </c>
      <c r="L1" s="25" t="s">
        <v>144</v>
      </c>
      <c r="M1" s="25" t="s">
        <v>140</v>
      </c>
      <c r="N1" s="25" t="s">
        <v>70</v>
      </c>
      <c r="O1" s="25" t="s">
        <v>95</v>
      </c>
      <c r="P1" s="25" t="s">
        <v>98</v>
      </c>
      <c r="Q1" s="25" t="s">
        <v>96</v>
      </c>
      <c r="R1" s="25" t="s">
        <v>97</v>
      </c>
      <c r="S1" s="25" t="s">
        <v>101</v>
      </c>
      <c r="T1" s="25" t="s">
        <v>78</v>
      </c>
      <c r="U1" s="25" t="s">
        <v>106</v>
      </c>
      <c r="V1" s="25" t="s">
        <v>424</v>
      </c>
      <c r="W1" s="25" t="s">
        <v>439</v>
      </c>
      <c r="X1" s="25" t="s">
        <v>296</v>
      </c>
      <c r="Y1" s="18" t="s">
        <v>80</v>
      </c>
      <c r="Z1" s="18" t="s">
        <v>82</v>
      </c>
      <c r="AA1" s="18" t="s">
        <v>81</v>
      </c>
      <c r="AB1" s="18" t="s">
        <v>102</v>
      </c>
      <c r="AC1" s="18" t="s">
        <v>104</v>
      </c>
      <c r="AD1" s="18" t="s">
        <v>438</v>
      </c>
      <c r="AE1" s="18" t="s">
        <v>83</v>
      </c>
      <c r="AF1" s="18" t="s">
        <v>68</v>
      </c>
      <c r="AG1" s="18" t="s">
        <v>109</v>
      </c>
      <c r="AH1" s="18" t="s">
        <v>149</v>
      </c>
      <c r="AI1" s="18" t="s">
        <v>151</v>
      </c>
      <c r="AJ1" s="18" t="s">
        <v>152</v>
      </c>
      <c r="AK1" s="18" t="s">
        <v>64</v>
      </c>
      <c r="AL1" s="18" t="s">
        <v>5</v>
      </c>
      <c r="AM1" s="18" t="s">
        <v>159</v>
      </c>
      <c r="AN1" s="44" t="s">
        <v>160</v>
      </c>
      <c r="AO1" s="44" t="s">
        <v>123</v>
      </c>
      <c r="AP1" s="44" t="s">
        <v>69</v>
      </c>
      <c r="AQ1" s="44" t="s">
        <v>65</v>
      </c>
      <c r="AR1" s="44" t="s">
        <v>66</v>
      </c>
      <c r="AS1" s="44" t="s">
        <v>67</v>
      </c>
      <c r="AT1" s="267" t="s">
        <v>142</v>
      </c>
      <c r="AU1" s="268"/>
      <c r="AX1"/>
    </row>
    <row r="2" spans="1:52" s="3" customFormat="1" ht="19.95" customHeight="1">
      <c r="A2" s="17">
        <f t="shared" ref="A2:AU2" si="0">SUBTOTAL(103, A3:A118)</f>
        <v>33</v>
      </c>
      <c r="B2" s="17">
        <f t="shared" si="0"/>
        <v>32</v>
      </c>
      <c r="C2" s="17">
        <f t="shared" si="0"/>
        <v>32</v>
      </c>
      <c r="D2" s="17">
        <f t="shared" si="0"/>
        <v>32</v>
      </c>
      <c r="E2" s="39">
        <f t="shared" si="0"/>
        <v>9</v>
      </c>
      <c r="F2" s="39">
        <f t="shared" si="0"/>
        <v>32</v>
      </c>
      <c r="G2" s="39">
        <f t="shared" si="0"/>
        <v>32</v>
      </c>
      <c r="H2" s="39">
        <f t="shared" si="0"/>
        <v>32</v>
      </c>
      <c r="I2" s="39">
        <f t="shared" si="0"/>
        <v>32</v>
      </c>
      <c r="J2" s="26">
        <f t="shared" si="0"/>
        <v>32</v>
      </c>
      <c r="K2" s="26">
        <f t="shared" si="0"/>
        <v>22</v>
      </c>
      <c r="L2" s="26">
        <f t="shared" si="0"/>
        <v>9</v>
      </c>
      <c r="M2" s="26">
        <f t="shared" si="0"/>
        <v>5</v>
      </c>
      <c r="N2" s="26">
        <f t="shared" si="0"/>
        <v>32</v>
      </c>
      <c r="O2" s="26">
        <f t="shared" si="0"/>
        <v>32</v>
      </c>
      <c r="P2" s="26">
        <f t="shared" si="0"/>
        <v>32</v>
      </c>
      <c r="Q2" s="26">
        <f t="shared" si="0"/>
        <v>32</v>
      </c>
      <c r="R2" s="26">
        <f t="shared" si="0"/>
        <v>32</v>
      </c>
      <c r="S2" s="26">
        <f t="shared" si="0"/>
        <v>32</v>
      </c>
      <c r="T2" s="26">
        <f t="shared" si="0"/>
        <v>30</v>
      </c>
      <c r="U2" s="26">
        <f t="shared" si="0"/>
        <v>32</v>
      </c>
      <c r="V2" s="26">
        <f t="shared" si="0"/>
        <v>21</v>
      </c>
      <c r="W2" s="26">
        <f>SUBTOTAL(103, W3:W118)</f>
        <v>3</v>
      </c>
      <c r="X2" s="26">
        <f t="shared" si="0"/>
        <v>17</v>
      </c>
      <c r="Y2" s="19">
        <f t="shared" si="0"/>
        <v>6</v>
      </c>
      <c r="Z2" s="19">
        <f t="shared" si="0"/>
        <v>5</v>
      </c>
      <c r="AA2" s="19">
        <f t="shared" si="0"/>
        <v>3</v>
      </c>
      <c r="AB2" s="19">
        <f t="shared" si="0"/>
        <v>17</v>
      </c>
      <c r="AC2" s="19">
        <f t="shared" si="0"/>
        <v>5</v>
      </c>
      <c r="AD2" s="19">
        <f>SUBTOTAL(103, AD3:AD118)</f>
        <v>3</v>
      </c>
      <c r="AE2" s="19">
        <f t="shared" si="0"/>
        <v>2</v>
      </c>
      <c r="AF2" s="19">
        <f t="shared" si="0"/>
        <v>2</v>
      </c>
      <c r="AG2" s="19">
        <f t="shared" si="0"/>
        <v>2</v>
      </c>
      <c r="AH2" s="19">
        <f t="shared" si="0"/>
        <v>1</v>
      </c>
      <c r="AI2" s="19">
        <f t="shared" si="0"/>
        <v>3</v>
      </c>
      <c r="AJ2" s="19">
        <f t="shared" si="0"/>
        <v>3</v>
      </c>
      <c r="AK2" s="19">
        <f t="shared" si="0"/>
        <v>3</v>
      </c>
      <c r="AL2" s="19">
        <f t="shared" si="0"/>
        <v>3</v>
      </c>
      <c r="AM2" s="19">
        <f t="shared" si="0"/>
        <v>3</v>
      </c>
      <c r="AN2" s="45">
        <f t="shared" si="0"/>
        <v>32</v>
      </c>
      <c r="AO2" s="45">
        <f t="shared" si="0"/>
        <v>32</v>
      </c>
      <c r="AP2" s="45">
        <f t="shared" si="0"/>
        <v>32</v>
      </c>
      <c r="AQ2" s="45">
        <f t="shared" si="0"/>
        <v>32</v>
      </c>
      <c r="AR2" s="45">
        <f t="shared" si="0"/>
        <v>32</v>
      </c>
      <c r="AS2" s="45">
        <f t="shared" si="0"/>
        <v>32</v>
      </c>
      <c r="AT2" s="45">
        <f t="shared" si="0"/>
        <v>32</v>
      </c>
      <c r="AU2" s="45">
        <f t="shared" si="0"/>
        <v>0</v>
      </c>
      <c r="AX2"/>
    </row>
    <row r="3" spans="1:52" s="16" customFormat="1" ht="19.95" customHeight="1">
      <c r="A3" s="167" t="s">
        <v>167</v>
      </c>
      <c r="B3" s="140" t="s">
        <v>168</v>
      </c>
      <c r="C3" s="21" t="s">
        <v>185</v>
      </c>
      <c r="D3" s="20" t="s">
        <v>121</v>
      </c>
      <c r="E3" s="10" t="s">
        <v>12</v>
      </c>
      <c r="F3" s="20">
        <v>25</v>
      </c>
      <c r="G3" s="112" t="s">
        <v>61</v>
      </c>
      <c r="H3" s="40" t="s">
        <v>8</v>
      </c>
      <c r="I3" s="11" t="s">
        <v>61</v>
      </c>
      <c r="J3" s="8" t="s">
        <v>108</v>
      </c>
      <c r="K3" s="9" t="s">
        <v>504</v>
      </c>
      <c r="L3" s="9" t="s">
        <v>493</v>
      </c>
      <c r="M3" s="9" t="s">
        <v>505</v>
      </c>
      <c r="N3" s="32" t="s">
        <v>94</v>
      </c>
      <c r="O3" s="32" t="s">
        <v>90</v>
      </c>
      <c r="P3" s="32" t="s">
        <v>94</v>
      </c>
      <c r="Q3" s="32" t="s">
        <v>94</v>
      </c>
      <c r="R3" s="32" t="s">
        <v>94</v>
      </c>
      <c r="S3" s="32" t="s">
        <v>77</v>
      </c>
      <c r="T3" s="9" t="s">
        <v>197</v>
      </c>
      <c r="U3" s="8" t="s">
        <v>107</v>
      </c>
      <c r="V3" s="8" t="s">
        <v>94</v>
      </c>
      <c r="W3" s="8" t="s">
        <v>440</v>
      </c>
      <c r="X3" s="12" t="s">
        <v>169</v>
      </c>
      <c r="Y3" s="41">
        <v>46227</v>
      </c>
      <c r="Z3" s="41">
        <v>46227</v>
      </c>
      <c r="AA3" s="41">
        <v>46229</v>
      </c>
      <c r="AB3" s="41">
        <v>46218</v>
      </c>
      <c r="AC3" s="41">
        <v>46228</v>
      </c>
      <c r="AD3" s="41">
        <v>46229</v>
      </c>
      <c r="AE3" s="41">
        <v>46229</v>
      </c>
      <c r="AF3" s="41">
        <v>46230</v>
      </c>
      <c r="AG3" s="43" t="s">
        <v>514</v>
      </c>
      <c r="AH3" s="43"/>
      <c r="AI3" s="43">
        <v>46229</v>
      </c>
      <c r="AJ3" s="43">
        <v>46229</v>
      </c>
      <c r="AK3" s="43" t="s">
        <v>484</v>
      </c>
      <c r="AL3" s="43" t="s">
        <v>515</v>
      </c>
      <c r="AM3" s="43">
        <v>46227</v>
      </c>
      <c r="AN3" s="27" t="s">
        <v>496</v>
      </c>
      <c r="AO3" s="27">
        <v>46229</v>
      </c>
      <c r="AP3" s="27">
        <v>46229</v>
      </c>
      <c r="AQ3" s="27" t="s">
        <v>77</v>
      </c>
      <c r="AR3" s="27" t="s">
        <v>77</v>
      </c>
      <c r="AS3" s="27" t="s">
        <v>77</v>
      </c>
      <c r="AT3" s="27" t="s">
        <v>77</v>
      </c>
      <c r="AU3" s="128"/>
      <c r="AV3"/>
      <c r="AW3"/>
      <c r="AX3"/>
    </row>
    <row r="4" spans="1:52" ht="19.95" customHeight="1">
      <c r="A4" s="168" t="s">
        <v>170</v>
      </c>
      <c r="B4" s="139" t="s">
        <v>171</v>
      </c>
      <c r="C4" s="130" t="s">
        <v>187</v>
      </c>
      <c r="D4" s="129" t="s">
        <v>121</v>
      </c>
      <c r="E4" s="10" t="s">
        <v>9</v>
      </c>
      <c r="F4" s="154">
        <v>25</v>
      </c>
      <c r="G4" s="112" t="s">
        <v>61</v>
      </c>
      <c r="H4" s="40" t="s">
        <v>10</v>
      </c>
      <c r="I4" s="11" t="s">
        <v>91</v>
      </c>
      <c r="J4" s="8" t="s">
        <v>108</v>
      </c>
      <c r="K4" s="9" t="s">
        <v>482</v>
      </c>
      <c r="L4" s="9"/>
      <c r="M4" s="9" t="s">
        <v>464</v>
      </c>
      <c r="N4" s="32" t="s">
        <v>94</v>
      </c>
      <c r="O4" s="32" t="s">
        <v>90</v>
      </c>
      <c r="P4" s="32" t="s">
        <v>94</v>
      </c>
      <c r="Q4" s="32" t="s">
        <v>94</v>
      </c>
      <c r="R4" s="32" t="s">
        <v>94</v>
      </c>
      <c r="S4" s="32" t="s">
        <v>77</v>
      </c>
      <c r="T4" s="9" t="s">
        <v>199</v>
      </c>
      <c r="U4" s="8" t="s">
        <v>107</v>
      </c>
      <c r="V4" s="8" t="s">
        <v>94</v>
      </c>
      <c r="W4" s="8"/>
      <c r="X4" s="12" t="s">
        <v>286</v>
      </c>
      <c r="Y4" s="41">
        <v>46228</v>
      </c>
      <c r="Z4" s="41">
        <v>46228</v>
      </c>
      <c r="AA4" s="41">
        <v>46230</v>
      </c>
      <c r="AB4" s="41">
        <v>46218</v>
      </c>
      <c r="AC4" s="41">
        <v>46225</v>
      </c>
      <c r="AD4" s="41">
        <v>46229</v>
      </c>
      <c r="AE4" s="41">
        <v>46230</v>
      </c>
      <c r="AF4" s="41">
        <v>46230</v>
      </c>
      <c r="AG4" s="43" t="s">
        <v>516</v>
      </c>
      <c r="AH4" s="43"/>
      <c r="AI4" s="43">
        <v>46230</v>
      </c>
      <c r="AJ4" s="43">
        <v>46230</v>
      </c>
      <c r="AK4" s="43" t="s">
        <v>436</v>
      </c>
      <c r="AL4" s="43" t="s">
        <v>437</v>
      </c>
      <c r="AM4" s="43">
        <v>46228</v>
      </c>
      <c r="AN4" s="27" t="s">
        <v>77</v>
      </c>
      <c r="AO4" s="27">
        <v>46231</v>
      </c>
      <c r="AP4" s="27">
        <v>46231</v>
      </c>
      <c r="AQ4" s="27" t="s">
        <v>77</v>
      </c>
      <c r="AR4" s="27" t="s">
        <v>77</v>
      </c>
      <c r="AS4" s="27" t="s">
        <v>77</v>
      </c>
      <c r="AT4" s="27" t="s">
        <v>77</v>
      </c>
      <c r="AU4" s="128"/>
    </row>
    <row r="5" spans="1:52" s="16" customFormat="1" ht="19.95" customHeight="1">
      <c r="A5" s="167" t="s">
        <v>182</v>
      </c>
      <c r="B5" s="140" t="s">
        <v>190</v>
      </c>
      <c r="C5" s="21" t="s">
        <v>187</v>
      </c>
      <c r="D5" s="20" t="s">
        <v>121</v>
      </c>
      <c r="E5" s="10" t="s">
        <v>9</v>
      </c>
      <c r="F5" s="20">
        <v>30</v>
      </c>
      <c r="G5" s="112" t="s">
        <v>61</v>
      </c>
      <c r="H5" s="40" t="s">
        <v>8</v>
      </c>
      <c r="I5" s="11" t="s">
        <v>61</v>
      </c>
      <c r="J5" s="8" t="s">
        <v>457</v>
      </c>
      <c r="K5" s="9" t="s">
        <v>481</v>
      </c>
      <c r="L5" s="9"/>
      <c r="M5" s="9" t="s">
        <v>508</v>
      </c>
      <c r="N5" s="32" t="s">
        <v>94</v>
      </c>
      <c r="O5" s="32" t="s">
        <v>90</v>
      </c>
      <c r="P5" s="32" t="s">
        <v>94</v>
      </c>
      <c r="Q5" s="32" t="s">
        <v>94</v>
      </c>
      <c r="R5" s="32" t="s">
        <v>94</v>
      </c>
      <c r="S5" s="32" t="s">
        <v>77</v>
      </c>
      <c r="T5" s="9" t="s">
        <v>198</v>
      </c>
      <c r="U5" s="8" t="s">
        <v>107</v>
      </c>
      <c r="V5" s="8" t="s">
        <v>94</v>
      </c>
      <c r="W5" s="8" t="s">
        <v>440</v>
      </c>
      <c r="X5" s="12" t="s">
        <v>276</v>
      </c>
      <c r="Y5" s="41">
        <v>46224</v>
      </c>
      <c r="Z5" s="41">
        <v>46225</v>
      </c>
      <c r="AA5" s="41">
        <v>46227</v>
      </c>
      <c r="AB5" s="41">
        <v>46218</v>
      </c>
      <c r="AC5" s="41">
        <v>46225</v>
      </c>
      <c r="AD5" s="41">
        <v>46227</v>
      </c>
      <c r="AE5" s="43"/>
      <c r="AF5" s="43"/>
      <c r="AG5" s="43"/>
      <c r="AH5" s="43">
        <v>46228</v>
      </c>
      <c r="AI5" s="43">
        <v>46227</v>
      </c>
      <c r="AJ5" s="43">
        <v>46227</v>
      </c>
      <c r="AK5" s="43" t="s">
        <v>436</v>
      </c>
      <c r="AL5" s="43" t="s">
        <v>437</v>
      </c>
      <c r="AM5" s="43">
        <v>46225</v>
      </c>
      <c r="AN5" s="27" t="s">
        <v>496</v>
      </c>
      <c r="AO5" s="27" t="s">
        <v>77</v>
      </c>
      <c r="AP5" s="27" t="s">
        <v>77</v>
      </c>
      <c r="AQ5" s="27" t="s">
        <v>77</v>
      </c>
      <c r="AR5" s="27" t="s">
        <v>77</v>
      </c>
      <c r="AS5" s="27" t="s">
        <v>77</v>
      </c>
      <c r="AT5" s="27" t="s">
        <v>77</v>
      </c>
      <c r="AU5" s="128"/>
      <c r="AY5"/>
      <c r="AZ5"/>
    </row>
    <row r="6" spans="1:52" s="16" customFormat="1" ht="19.95" customHeight="1">
      <c r="A6" s="167" t="s">
        <v>165</v>
      </c>
      <c r="B6" s="140" t="s">
        <v>166</v>
      </c>
      <c r="C6" s="21" t="s">
        <v>185</v>
      </c>
      <c r="D6" s="20" t="s">
        <v>121</v>
      </c>
      <c r="E6" s="10" t="s">
        <v>12</v>
      </c>
      <c r="F6" s="20">
        <v>30</v>
      </c>
      <c r="G6" s="112" t="s">
        <v>61</v>
      </c>
      <c r="H6" s="40" t="s">
        <v>8</v>
      </c>
      <c r="I6" s="11" t="s">
        <v>61</v>
      </c>
      <c r="J6" s="8" t="s">
        <v>441</v>
      </c>
      <c r="K6" s="9"/>
      <c r="L6" s="9"/>
      <c r="M6" s="9" t="s">
        <v>509</v>
      </c>
      <c r="N6" s="32" t="s">
        <v>94</v>
      </c>
      <c r="O6" s="32" t="s">
        <v>90</v>
      </c>
      <c r="P6" s="32" t="s">
        <v>94</v>
      </c>
      <c r="Q6" s="32" t="s">
        <v>94</v>
      </c>
      <c r="R6" s="32" t="s">
        <v>94</v>
      </c>
      <c r="S6" s="32" t="s">
        <v>77</v>
      </c>
      <c r="T6" s="9" t="s">
        <v>196</v>
      </c>
      <c r="U6" s="8" t="s">
        <v>107</v>
      </c>
      <c r="V6" s="8" t="s">
        <v>94</v>
      </c>
      <c r="W6" s="8"/>
      <c r="X6" s="12" t="s">
        <v>495</v>
      </c>
      <c r="Y6" s="41">
        <v>46230</v>
      </c>
      <c r="Z6" s="41">
        <v>46230</v>
      </c>
      <c r="AA6" s="41"/>
      <c r="AB6" s="41">
        <v>46218</v>
      </c>
      <c r="AC6" s="41">
        <v>46230</v>
      </c>
      <c r="AD6" s="41"/>
      <c r="AE6" s="43"/>
      <c r="AF6" s="43"/>
      <c r="AG6" s="43"/>
      <c r="AH6" s="43"/>
      <c r="AI6" s="43"/>
      <c r="AJ6" s="43"/>
      <c r="AK6" s="43"/>
      <c r="AL6" s="43"/>
      <c r="AM6" s="43"/>
      <c r="AN6" s="27" t="s">
        <v>77</v>
      </c>
      <c r="AO6" s="27" t="s">
        <v>77</v>
      </c>
      <c r="AP6" s="27" t="s">
        <v>77</v>
      </c>
      <c r="AQ6" s="27" t="s">
        <v>77</v>
      </c>
      <c r="AR6" s="27" t="s">
        <v>77</v>
      </c>
      <c r="AS6" s="27" t="s">
        <v>77</v>
      </c>
      <c r="AT6" s="27" t="s">
        <v>77</v>
      </c>
      <c r="AU6" s="128"/>
    </row>
    <row r="7" spans="1:52" s="16" customFormat="1" ht="19.95" customHeight="1">
      <c r="A7" s="167" t="s">
        <v>163</v>
      </c>
      <c r="B7" s="140" t="s">
        <v>164</v>
      </c>
      <c r="C7" s="21" t="s">
        <v>185</v>
      </c>
      <c r="D7" s="20" t="s">
        <v>121</v>
      </c>
      <c r="E7" s="10" t="s">
        <v>9</v>
      </c>
      <c r="F7" s="20">
        <v>30</v>
      </c>
      <c r="G7" s="112" t="s">
        <v>61</v>
      </c>
      <c r="H7" s="40" t="s">
        <v>8</v>
      </c>
      <c r="I7" s="11" t="s">
        <v>61</v>
      </c>
      <c r="J7" s="8" t="s">
        <v>441</v>
      </c>
      <c r="K7" s="9" t="s">
        <v>507</v>
      </c>
      <c r="L7" s="9"/>
      <c r="M7" s="9" t="s">
        <v>527</v>
      </c>
      <c r="N7" s="32" t="s">
        <v>94</v>
      </c>
      <c r="O7" s="32" t="s">
        <v>90</v>
      </c>
      <c r="P7" s="32" t="s">
        <v>94</v>
      </c>
      <c r="Q7" s="32" t="s">
        <v>94</v>
      </c>
      <c r="R7" s="32" t="s">
        <v>94</v>
      </c>
      <c r="S7" s="32" t="s">
        <v>77</v>
      </c>
      <c r="T7" s="9" t="s">
        <v>195</v>
      </c>
      <c r="U7" s="8" t="s">
        <v>107</v>
      </c>
      <c r="V7" s="8" t="s">
        <v>94</v>
      </c>
      <c r="W7" s="8"/>
      <c r="X7" s="12" t="s">
        <v>495</v>
      </c>
      <c r="Y7" s="41">
        <v>46230</v>
      </c>
      <c r="Z7" s="41">
        <v>46230</v>
      </c>
      <c r="AA7" s="41"/>
      <c r="AB7" s="41">
        <v>46218</v>
      </c>
      <c r="AC7" s="41">
        <v>46230</v>
      </c>
      <c r="AD7" s="41"/>
      <c r="AE7" s="43"/>
      <c r="AF7" s="43"/>
      <c r="AG7" s="43"/>
      <c r="AH7" s="43"/>
      <c r="AI7" s="43"/>
      <c r="AJ7" s="43"/>
      <c r="AK7" s="43"/>
      <c r="AL7" s="43"/>
      <c r="AM7" s="43"/>
      <c r="AN7" s="27" t="s">
        <v>77</v>
      </c>
      <c r="AO7" s="27" t="s">
        <v>77</v>
      </c>
      <c r="AP7" s="27" t="s">
        <v>77</v>
      </c>
      <c r="AQ7" s="27" t="s">
        <v>77</v>
      </c>
      <c r="AR7" s="27" t="s">
        <v>77</v>
      </c>
      <c r="AS7" s="27" t="s">
        <v>77</v>
      </c>
      <c r="AT7" s="27" t="s">
        <v>77</v>
      </c>
      <c r="AU7" s="128"/>
    </row>
    <row r="8" spans="1:52" s="16" customFormat="1" ht="19.95" customHeight="1">
      <c r="A8" s="167" t="s">
        <v>180</v>
      </c>
      <c r="B8" s="140" t="s">
        <v>188</v>
      </c>
      <c r="C8" s="21" t="s">
        <v>187</v>
      </c>
      <c r="D8" s="20" t="s">
        <v>121</v>
      </c>
      <c r="E8" s="10" t="s">
        <v>233</v>
      </c>
      <c r="F8" s="20">
        <v>20</v>
      </c>
      <c r="G8" s="112" t="s">
        <v>61</v>
      </c>
      <c r="H8" s="40" t="s">
        <v>8</v>
      </c>
      <c r="I8" s="11" t="s">
        <v>61</v>
      </c>
      <c r="J8" s="8" t="s">
        <v>194</v>
      </c>
      <c r="K8" s="9" t="s">
        <v>506</v>
      </c>
      <c r="L8" s="12" t="s">
        <v>483</v>
      </c>
      <c r="M8" s="9"/>
      <c r="N8" s="32" t="s">
        <v>94</v>
      </c>
      <c r="O8" s="32" t="s">
        <v>94</v>
      </c>
      <c r="P8" s="32" t="s">
        <v>94</v>
      </c>
      <c r="Q8" s="32" t="s">
        <v>94</v>
      </c>
      <c r="R8" s="32" t="s">
        <v>94</v>
      </c>
      <c r="S8" s="32" t="s">
        <v>77</v>
      </c>
      <c r="T8" s="9" t="s">
        <v>328</v>
      </c>
      <c r="U8" s="8" t="s">
        <v>107</v>
      </c>
      <c r="V8" s="8" t="s">
        <v>94</v>
      </c>
      <c r="W8" s="8"/>
      <c r="X8" s="12" t="s">
        <v>480</v>
      </c>
      <c r="Y8" s="41">
        <v>46229</v>
      </c>
      <c r="Z8" s="41"/>
      <c r="AA8" s="41"/>
      <c r="AB8" s="41">
        <v>46218</v>
      </c>
      <c r="AC8" s="41"/>
      <c r="AD8" s="41"/>
      <c r="AE8" s="43"/>
      <c r="AF8" s="43"/>
      <c r="AG8" s="43"/>
      <c r="AH8" s="43"/>
      <c r="AI8" s="43"/>
      <c r="AJ8" s="43"/>
      <c r="AK8" s="43"/>
      <c r="AL8" s="43"/>
      <c r="AM8" s="43"/>
      <c r="AN8" s="27" t="s">
        <v>77</v>
      </c>
      <c r="AO8" s="27" t="s">
        <v>77</v>
      </c>
      <c r="AP8" s="27" t="s">
        <v>77</v>
      </c>
      <c r="AQ8" s="27" t="s">
        <v>77</v>
      </c>
      <c r="AR8" s="27" t="s">
        <v>77</v>
      </c>
      <c r="AS8" s="27" t="s">
        <v>77</v>
      </c>
      <c r="AT8" s="27" t="s">
        <v>77</v>
      </c>
      <c r="AU8" s="128"/>
    </row>
    <row r="9" spans="1:52" s="16" customFormat="1" ht="19.95" customHeight="1">
      <c r="A9" s="80" t="s">
        <v>203</v>
      </c>
      <c r="B9" s="80" t="s">
        <v>204</v>
      </c>
      <c r="C9" s="21" t="s">
        <v>187</v>
      </c>
      <c r="D9" s="20" t="s">
        <v>121</v>
      </c>
      <c r="E9" s="10"/>
      <c r="F9" s="134">
        <v>30</v>
      </c>
      <c r="G9" s="112" t="s">
        <v>61</v>
      </c>
      <c r="H9" s="112" t="s">
        <v>8</v>
      </c>
      <c r="I9" s="11" t="s">
        <v>61</v>
      </c>
      <c r="J9" s="8" t="s">
        <v>17</v>
      </c>
      <c r="K9" s="9" t="s">
        <v>512</v>
      </c>
      <c r="L9" s="12" t="s">
        <v>494</v>
      </c>
      <c r="M9" s="9"/>
      <c r="N9" s="32" t="s">
        <v>94</v>
      </c>
      <c r="O9" s="32" t="s">
        <v>77</v>
      </c>
      <c r="P9" s="32" t="s">
        <v>94</v>
      </c>
      <c r="Q9" s="32" t="s">
        <v>77</v>
      </c>
      <c r="R9" s="32" t="s">
        <v>77</v>
      </c>
      <c r="S9" s="32" t="s">
        <v>77</v>
      </c>
      <c r="T9" s="9" t="s">
        <v>421</v>
      </c>
      <c r="U9" s="8" t="s">
        <v>200</v>
      </c>
      <c r="V9" s="8" t="s">
        <v>94</v>
      </c>
      <c r="W9" s="8"/>
      <c r="X9" s="12" t="s">
        <v>480</v>
      </c>
      <c r="Y9" s="42"/>
      <c r="Z9" s="41"/>
      <c r="AA9" s="41"/>
      <c r="AB9" s="41">
        <v>46224</v>
      </c>
      <c r="AC9" s="41"/>
      <c r="AD9" s="41"/>
      <c r="AE9" s="43"/>
      <c r="AF9" s="43"/>
      <c r="AG9" s="43"/>
      <c r="AH9" s="43"/>
      <c r="AI9" s="43"/>
      <c r="AJ9" s="43"/>
      <c r="AK9" s="43"/>
      <c r="AL9" s="43"/>
      <c r="AM9" s="43"/>
      <c r="AN9" s="27" t="s">
        <v>77</v>
      </c>
      <c r="AO9" s="27" t="s">
        <v>77</v>
      </c>
      <c r="AP9" s="27" t="s">
        <v>77</v>
      </c>
      <c r="AQ9" s="27" t="s">
        <v>77</v>
      </c>
      <c r="AR9" s="27" t="s">
        <v>77</v>
      </c>
      <c r="AS9" s="27" t="s">
        <v>77</v>
      </c>
      <c r="AT9" s="27" t="s">
        <v>77</v>
      </c>
      <c r="AU9" s="128"/>
    </row>
    <row r="10" spans="1:52" s="16" customFormat="1" ht="19.95" customHeight="1">
      <c r="A10" s="140" t="s">
        <v>205</v>
      </c>
      <c r="B10" s="140" t="s">
        <v>206</v>
      </c>
      <c r="C10" s="21" t="s">
        <v>187</v>
      </c>
      <c r="D10" s="20" t="s">
        <v>137</v>
      </c>
      <c r="E10" s="10" t="s">
        <v>425</v>
      </c>
      <c r="F10" s="134">
        <v>25</v>
      </c>
      <c r="G10" s="112" t="s">
        <v>61</v>
      </c>
      <c r="H10" s="112" t="s">
        <v>10</v>
      </c>
      <c r="I10" s="112" t="s">
        <v>10</v>
      </c>
      <c r="J10" s="8" t="s">
        <v>17</v>
      </c>
      <c r="K10" s="9"/>
      <c r="L10" s="9"/>
      <c r="M10" s="9"/>
      <c r="N10" s="32" t="s">
        <v>94</v>
      </c>
      <c r="O10" s="32" t="s">
        <v>90</v>
      </c>
      <c r="P10" s="32" t="s">
        <v>94</v>
      </c>
      <c r="Q10" s="32" t="s">
        <v>94</v>
      </c>
      <c r="R10" s="32" t="s">
        <v>94</v>
      </c>
      <c r="S10" s="32" t="s">
        <v>77</v>
      </c>
      <c r="T10" s="9" t="s">
        <v>231</v>
      </c>
      <c r="U10" s="8" t="s">
        <v>107</v>
      </c>
      <c r="V10" s="8" t="s">
        <v>94</v>
      </c>
      <c r="W10" s="8" t="s">
        <v>440</v>
      </c>
      <c r="X10" s="12" t="s">
        <v>445</v>
      </c>
      <c r="Y10" s="41"/>
      <c r="Z10" s="41"/>
      <c r="AA10" s="41"/>
      <c r="AB10" s="41"/>
      <c r="AC10" s="41"/>
      <c r="AD10" s="41"/>
      <c r="AE10" s="43"/>
      <c r="AF10" s="43"/>
      <c r="AG10" s="43"/>
      <c r="AH10" s="43"/>
      <c r="AI10" s="43"/>
      <c r="AJ10" s="43"/>
      <c r="AK10" s="43"/>
      <c r="AL10" s="43"/>
      <c r="AM10" s="43"/>
      <c r="AN10" s="27" t="s">
        <v>77</v>
      </c>
      <c r="AO10" s="27" t="s">
        <v>77</v>
      </c>
      <c r="AP10" s="27" t="s">
        <v>77</v>
      </c>
      <c r="AQ10" s="27" t="s">
        <v>77</v>
      </c>
      <c r="AR10" s="27" t="s">
        <v>77</v>
      </c>
      <c r="AS10" s="27" t="s">
        <v>77</v>
      </c>
      <c r="AT10" s="27" t="s">
        <v>77</v>
      </c>
      <c r="AU10" s="128"/>
    </row>
    <row r="11" spans="1:52" s="16" customFormat="1" ht="19.95" customHeight="1">
      <c r="A11" s="140" t="s">
        <v>213</v>
      </c>
      <c r="B11" s="140" t="s">
        <v>214</v>
      </c>
      <c r="C11" s="21" t="s">
        <v>229</v>
      </c>
      <c r="D11" s="20" t="s">
        <v>137</v>
      </c>
      <c r="E11" s="10"/>
      <c r="F11" s="151">
        <v>30</v>
      </c>
      <c r="G11" s="112" t="s">
        <v>61</v>
      </c>
      <c r="H11" s="112" t="s">
        <v>8</v>
      </c>
      <c r="I11" s="11" t="s">
        <v>61</v>
      </c>
      <c r="J11" s="8" t="s">
        <v>17</v>
      </c>
      <c r="K11" s="9" t="s">
        <v>465</v>
      </c>
      <c r="L11" s="9"/>
      <c r="M11" s="9"/>
      <c r="N11" s="32" t="s">
        <v>345</v>
      </c>
      <c r="O11" s="32" t="s">
        <v>90</v>
      </c>
      <c r="P11" s="32" t="s">
        <v>94</v>
      </c>
      <c r="Q11" s="32" t="s">
        <v>77</v>
      </c>
      <c r="R11" s="32" t="s">
        <v>94</v>
      </c>
      <c r="S11" s="32" t="s">
        <v>77</v>
      </c>
      <c r="T11" s="9" t="s">
        <v>332</v>
      </c>
      <c r="U11" s="8" t="s">
        <v>200</v>
      </c>
      <c r="V11" s="8" t="s">
        <v>77</v>
      </c>
      <c r="W11" s="8"/>
      <c r="X11" s="12" t="s">
        <v>429</v>
      </c>
      <c r="Y11" s="42"/>
      <c r="Z11" s="41"/>
      <c r="AA11" s="41"/>
      <c r="AB11" s="41">
        <v>46224</v>
      </c>
      <c r="AC11" s="41"/>
      <c r="AD11" s="41"/>
      <c r="AE11" s="43"/>
      <c r="AF11" s="43"/>
      <c r="AG11" s="43"/>
      <c r="AH11" s="43"/>
      <c r="AI11" s="43"/>
      <c r="AJ11" s="43"/>
      <c r="AK11" s="43"/>
      <c r="AL11" s="43"/>
      <c r="AM11" s="43"/>
      <c r="AN11" s="27" t="s">
        <v>77</v>
      </c>
      <c r="AO11" s="27" t="s">
        <v>77</v>
      </c>
      <c r="AP11" s="27" t="s">
        <v>77</v>
      </c>
      <c r="AQ11" s="27" t="s">
        <v>77</v>
      </c>
      <c r="AR11" s="27" t="s">
        <v>77</v>
      </c>
      <c r="AS11" s="27" t="s">
        <v>77</v>
      </c>
      <c r="AT11" s="27" t="s">
        <v>77</v>
      </c>
      <c r="AU11" s="27"/>
    </row>
    <row r="12" spans="1:52" s="16" customFormat="1" ht="19.95" customHeight="1">
      <c r="A12" s="140" t="s">
        <v>211</v>
      </c>
      <c r="B12" s="140" t="s">
        <v>212</v>
      </c>
      <c r="C12" s="21" t="s">
        <v>229</v>
      </c>
      <c r="D12" s="20" t="s">
        <v>137</v>
      </c>
      <c r="E12" s="10"/>
      <c r="F12" s="151">
        <v>30</v>
      </c>
      <c r="G12" s="112" t="s">
        <v>61</v>
      </c>
      <c r="H12" s="112" t="s">
        <v>8</v>
      </c>
      <c r="I12" s="11" t="s">
        <v>61</v>
      </c>
      <c r="J12" s="8" t="s">
        <v>17</v>
      </c>
      <c r="K12" s="9" t="s">
        <v>465</v>
      </c>
      <c r="L12" s="9"/>
      <c r="M12" s="9"/>
      <c r="N12" s="32" t="s">
        <v>345</v>
      </c>
      <c r="O12" s="32" t="s">
        <v>90</v>
      </c>
      <c r="P12" s="32" t="s">
        <v>94</v>
      </c>
      <c r="Q12" s="32" t="s">
        <v>77</v>
      </c>
      <c r="R12" s="32" t="s">
        <v>94</v>
      </c>
      <c r="S12" s="32" t="s">
        <v>77</v>
      </c>
      <c r="T12" s="9"/>
      <c r="U12" s="8" t="s">
        <v>200</v>
      </c>
      <c r="V12" s="8" t="s">
        <v>77</v>
      </c>
      <c r="W12" s="8"/>
      <c r="X12" s="12"/>
      <c r="Y12" s="42"/>
      <c r="Z12" s="41"/>
      <c r="AA12" s="41"/>
      <c r="AB12" s="41"/>
      <c r="AC12" s="41"/>
      <c r="AD12" s="41"/>
      <c r="AE12" s="43"/>
      <c r="AF12" s="43"/>
      <c r="AG12" s="43"/>
      <c r="AH12" s="43"/>
      <c r="AI12" s="43"/>
      <c r="AJ12" s="43"/>
      <c r="AK12" s="43"/>
      <c r="AL12" s="43"/>
      <c r="AM12" s="43"/>
      <c r="AN12" s="27" t="s">
        <v>77</v>
      </c>
      <c r="AO12" s="27" t="s">
        <v>77</v>
      </c>
      <c r="AP12" s="27" t="s">
        <v>77</v>
      </c>
      <c r="AQ12" s="27" t="s">
        <v>77</v>
      </c>
      <c r="AR12" s="27" t="s">
        <v>77</v>
      </c>
      <c r="AS12" s="27" t="s">
        <v>77</v>
      </c>
      <c r="AT12" s="27" t="s">
        <v>77</v>
      </c>
      <c r="AU12" s="27"/>
    </row>
    <row r="13" spans="1:52" s="16" customFormat="1" ht="19.95" customHeight="1">
      <c r="A13" s="140" t="s">
        <v>215</v>
      </c>
      <c r="B13" s="140" t="s">
        <v>216</v>
      </c>
      <c r="C13" s="21" t="s">
        <v>229</v>
      </c>
      <c r="D13" s="20" t="s">
        <v>137</v>
      </c>
      <c r="E13" s="10"/>
      <c r="F13" s="151">
        <v>20</v>
      </c>
      <c r="G13" s="112" t="s">
        <v>61</v>
      </c>
      <c r="H13" s="112" t="s">
        <v>10</v>
      </c>
      <c r="I13" s="112" t="s">
        <v>10</v>
      </c>
      <c r="J13" s="8" t="s">
        <v>17</v>
      </c>
      <c r="K13" s="9" t="s">
        <v>465</v>
      </c>
      <c r="L13" s="9"/>
      <c r="M13" s="166"/>
      <c r="N13" s="32" t="s">
        <v>77</v>
      </c>
      <c r="O13" s="32" t="s">
        <v>94</v>
      </c>
      <c r="P13" s="32" t="s">
        <v>94</v>
      </c>
      <c r="Q13" s="32" t="s">
        <v>94</v>
      </c>
      <c r="R13" s="32" t="s">
        <v>94</v>
      </c>
      <c r="S13" s="32" t="s">
        <v>77</v>
      </c>
      <c r="T13" s="9"/>
      <c r="U13" s="8" t="s">
        <v>200</v>
      </c>
      <c r="V13" s="8" t="s">
        <v>77</v>
      </c>
      <c r="W13" s="8"/>
      <c r="X13" s="12"/>
      <c r="Y13" s="42"/>
      <c r="Z13" s="41"/>
      <c r="AA13" s="41"/>
      <c r="AB13" s="41"/>
      <c r="AC13" s="41"/>
      <c r="AD13" s="41"/>
      <c r="AE13" s="43"/>
      <c r="AF13" s="43"/>
      <c r="AG13" s="43"/>
      <c r="AH13" s="43"/>
      <c r="AI13" s="43"/>
      <c r="AJ13" s="43"/>
      <c r="AK13" s="43"/>
      <c r="AL13" s="43"/>
      <c r="AM13" s="43"/>
      <c r="AN13" s="27" t="s">
        <v>77</v>
      </c>
      <c r="AO13" s="27" t="s">
        <v>77</v>
      </c>
      <c r="AP13" s="27" t="s">
        <v>77</v>
      </c>
      <c r="AQ13" s="27" t="s">
        <v>77</v>
      </c>
      <c r="AR13" s="27" t="s">
        <v>77</v>
      </c>
      <c r="AS13" s="27" t="s">
        <v>77</v>
      </c>
      <c r="AT13" s="27" t="s">
        <v>77</v>
      </c>
      <c r="AU13" s="27"/>
    </row>
    <row r="14" spans="1:52" s="16" customFormat="1" ht="19.95" customHeight="1">
      <c r="A14" s="158" t="s">
        <v>181</v>
      </c>
      <c r="B14" s="130" t="s">
        <v>189</v>
      </c>
      <c r="C14" s="130" t="s">
        <v>187</v>
      </c>
      <c r="D14" s="129" t="s">
        <v>120</v>
      </c>
      <c r="E14" s="10"/>
      <c r="F14" s="154">
        <v>30</v>
      </c>
      <c r="G14" s="112" t="s">
        <v>87</v>
      </c>
      <c r="H14" s="40" t="s">
        <v>7</v>
      </c>
      <c r="I14" s="40" t="s">
        <v>7</v>
      </c>
      <c r="J14" s="8" t="s">
        <v>17</v>
      </c>
      <c r="K14" s="9"/>
      <c r="L14" s="9"/>
      <c r="M14" s="166"/>
      <c r="N14" s="32" t="s">
        <v>77</v>
      </c>
      <c r="O14" s="32" t="s">
        <v>90</v>
      </c>
      <c r="P14" s="32" t="s">
        <v>94</v>
      </c>
      <c r="Q14" s="32" t="s">
        <v>77</v>
      </c>
      <c r="R14" s="32" t="s">
        <v>76</v>
      </c>
      <c r="S14" s="32" t="s">
        <v>77</v>
      </c>
      <c r="T14" s="9" t="s">
        <v>7</v>
      </c>
      <c r="U14" s="8" t="s">
        <v>105</v>
      </c>
      <c r="V14" s="8"/>
      <c r="W14" s="8"/>
      <c r="X14" s="12"/>
      <c r="Y14" s="42"/>
      <c r="Z14" s="41"/>
      <c r="AA14" s="41"/>
      <c r="AB14" s="41">
        <v>46218</v>
      </c>
      <c r="AC14" s="41"/>
      <c r="AD14" s="41"/>
      <c r="AE14" s="43"/>
      <c r="AF14" s="43"/>
      <c r="AG14" s="43"/>
      <c r="AH14" s="43"/>
      <c r="AI14" s="43"/>
      <c r="AJ14" s="43"/>
      <c r="AK14" s="43"/>
      <c r="AL14" s="43"/>
      <c r="AM14" s="43"/>
      <c r="AN14" s="27" t="s">
        <v>77</v>
      </c>
      <c r="AO14" s="27" t="s">
        <v>77</v>
      </c>
      <c r="AP14" s="27" t="s">
        <v>77</v>
      </c>
      <c r="AQ14" s="27" t="s">
        <v>77</v>
      </c>
      <c r="AR14" s="27" t="s">
        <v>77</v>
      </c>
      <c r="AS14" s="27" t="s">
        <v>77</v>
      </c>
      <c r="AT14" s="27" t="s">
        <v>77</v>
      </c>
      <c r="AU14" s="128"/>
    </row>
    <row r="15" spans="1:52" s="16" customFormat="1" ht="19.95" customHeight="1">
      <c r="A15" s="132" t="s">
        <v>225</v>
      </c>
      <c r="B15" s="132" t="s">
        <v>226</v>
      </c>
      <c r="C15" s="133" t="s">
        <v>229</v>
      </c>
      <c r="D15" s="171" t="s">
        <v>6</v>
      </c>
      <c r="E15" s="10"/>
      <c r="F15" s="173">
        <v>22</v>
      </c>
      <c r="G15" s="112" t="s">
        <v>87</v>
      </c>
      <c r="H15" s="112" t="s">
        <v>8</v>
      </c>
      <c r="I15" s="11" t="s">
        <v>61</v>
      </c>
      <c r="J15" s="8" t="s">
        <v>17</v>
      </c>
      <c r="K15" s="9"/>
      <c r="L15" s="9"/>
      <c r="M15" s="166"/>
      <c r="N15" s="32" t="s">
        <v>77</v>
      </c>
      <c r="O15" s="32" t="s">
        <v>90</v>
      </c>
      <c r="P15" s="32" t="s">
        <v>94</v>
      </c>
      <c r="Q15" s="32" t="s">
        <v>94</v>
      </c>
      <c r="R15" s="32" t="s">
        <v>94</v>
      </c>
      <c r="S15" s="32" t="s">
        <v>77</v>
      </c>
      <c r="T15" s="9" t="s">
        <v>330</v>
      </c>
      <c r="U15" s="8" t="s">
        <v>200</v>
      </c>
      <c r="V15" s="8" t="s">
        <v>77</v>
      </c>
      <c r="W15" s="8"/>
      <c r="X15" s="12" t="s">
        <v>428</v>
      </c>
      <c r="Y15" s="42"/>
      <c r="Z15" s="41"/>
      <c r="AA15" s="41"/>
      <c r="AB15" s="41">
        <v>46224</v>
      </c>
      <c r="AC15" s="41"/>
      <c r="AD15" s="41"/>
      <c r="AE15" s="43"/>
      <c r="AF15" s="43"/>
      <c r="AG15" s="43"/>
      <c r="AH15" s="43"/>
      <c r="AI15" s="43"/>
      <c r="AJ15" s="43"/>
      <c r="AK15" s="43"/>
      <c r="AL15" s="43"/>
      <c r="AM15" s="43"/>
      <c r="AN15" s="27" t="s">
        <v>77</v>
      </c>
      <c r="AO15" s="27" t="s">
        <v>77</v>
      </c>
      <c r="AP15" s="27" t="s">
        <v>77</v>
      </c>
      <c r="AQ15" s="27" t="s">
        <v>77</v>
      </c>
      <c r="AR15" s="27" t="s">
        <v>77</v>
      </c>
      <c r="AS15" s="27" t="s">
        <v>77</v>
      </c>
      <c r="AT15" s="27" t="s">
        <v>77</v>
      </c>
      <c r="AU15" s="27"/>
      <c r="AV15"/>
      <c r="AW15"/>
      <c r="AX15"/>
      <c r="AY15"/>
      <c r="AZ15"/>
    </row>
    <row r="16" spans="1:52" s="16" customFormat="1" ht="19.95" customHeight="1">
      <c r="A16" s="198" t="s">
        <v>201</v>
      </c>
      <c r="B16" s="199" t="s">
        <v>202</v>
      </c>
      <c r="C16" s="146" t="s">
        <v>187</v>
      </c>
      <c r="D16" s="148" t="s">
        <v>120</v>
      </c>
      <c r="E16" s="10"/>
      <c r="F16" s="153">
        <v>30</v>
      </c>
      <c r="G16" s="112" t="s">
        <v>87</v>
      </c>
      <c r="H16" s="40" t="s">
        <v>8</v>
      </c>
      <c r="I16" s="11" t="s">
        <v>61</v>
      </c>
      <c r="J16" s="8" t="s">
        <v>17</v>
      </c>
      <c r="K16" s="9"/>
      <c r="L16" s="9"/>
      <c r="M16" s="166"/>
      <c r="N16" s="32" t="s">
        <v>77</v>
      </c>
      <c r="O16" s="32" t="s">
        <v>77</v>
      </c>
      <c r="P16" s="32" t="s">
        <v>94</v>
      </c>
      <c r="Q16" s="32" t="s">
        <v>77</v>
      </c>
      <c r="R16" s="32" t="s">
        <v>77</v>
      </c>
      <c r="S16" s="32" t="s">
        <v>77</v>
      </c>
      <c r="T16" s="9" t="s">
        <v>230</v>
      </c>
      <c r="U16" s="8" t="s">
        <v>200</v>
      </c>
      <c r="V16" s="8" t="s">
        <v>77</v>
      </c>
      <c r="W16" s="8"/>
      <c r="X16" s="12" t="s">
        <v>423</v>
      </c>
      <c r="Y16" s="42"/>
      <c r="Z16" s="41"/>
      <c r="AA16" s="41"/>
      <c r="AB16" s="41">
        <v>46224</v>
      </c>
      <c r="AC16" s="41"/>
      <c r="AD16" s="41"/>
      <c r="AE16" s="43"/>
      <c r="AF16" s="43"/>
      <c r="AG16" s="43"/>
      <c r="AH16" s="43"/>
      <c r="AI16" s="43"/>
      <c r="AJ16" s="43"/>
      <c r="AK16" s="43"/>
      <c r="AL16" s="43"/>
      <c r="AM16" s="43"/>
      <c r="AN16" s="27" t="s">
        <v>77</v>
      </c>
      <c r="AO16" s="27" t="s">
        <v>77</v>
      </c>
      <c r="AP16" s="27" t="s">
        <v>77</v>
      </c>
      <c r="AQ16" s="27" t="s">
        <v>77</v>
      </c>
      <c r="AR16" s="27" t="s">
        <v>77</v>
      </c>
      <c r="AS16" s="27" t="s">
        <v>77</v>
      </c>
      <c r="AT16" s="27" t="s">
        <v>77</v>
      </c>
      <c r="AU16" s="27"/>
      <c r="AV16"/>
      <c r="AW16"/>
      <c r="AX16"/>
      <c r="AY16"/>
      <c r="AZ16"/>
    </row>
    <row r="17" spans="1:52" ht="19.95" customHeight="1">
      <c r="A17" s="200" t="s">
        <v>223</v>
      </c>
      <c r="B17" s="201" t="s">
        <v>315</v>
      </c>
      <c r="C17" s="169" t="s">
        <v>229</v>
      </c>
      <c r="D17" s="170" t="s">
        <v>120</v>
      </c>
      <c r="E17" s="10"/>
      <c r="F17" s="172">
        <v>30</v>
      </c>
      <c r="G17" s="112" t="s">
        <v>87</v>
      </c>
      <c r="H17" s="40" t="s">
        <v>8</v>
      </c>
      <c r="I17" s="11" t="s">
        <v>61</v>
      </c>
      <c r="J17" s="8" t="s">
        <v>17</v>
      </c>
      <c r="K17" s="9"/>
      <c r="L17" s="9"/>
      <c r="M17" s="166"/>
      <c r="N17" s="32" t="s">
        <v>77</v>
      </c>
      <c r="O17" s="32" t="s">
        <v>77</v>
      </c>
      <c r="P17" s="32" t="s">
        <v>94</v>
      </c>
      <c r="Q17" s="32" t="s">
        <v>77</v>
      </c>
      <c r="R17" s="32" t="s">
        <v>77</v>
      </c>
      <c r="S17" s="32" t="s">
        <v>77</v>
      </c>
      <c r="T17" s="9" t="s">
        <v>329</v>
      </c>
      <c r="U17" s="8" t="s">
        <v>200</v>
      </c>
      <c r="V17" s="8" t="s">
        <v>77</v>
      </c>
      <c r="W17" s="8"/>
      <c r="X17" s="12" t="s">
        <v>427</v>
      </c>
      <c r="Y17" s="42"/>
      <c r="Z17" s="41"/>
      <c r="AA17" s="41"/>
      <c r="AB17" s="41">
        <v>46224</v>
      </c>
      <c r="AC17" s="41"/>
      <c r="AD17" s="41"/>
      <c r="AE17" s="43"/>
      <c r="AF17" s="43"/>
      <c r="AG17" s="43"/>
      <c r="AH17" s="43"/>
      <c r="AI17" s="43"/>
      <c r="AJ17" s="43"/>
      <c r="AK17" s="43"/>
      <c r="AL17" s="43"/>
      <c r="AM17" s="43"/>
      <c r="AN17" s="27" t="s">
        <v>77</v>
      </c>
      <c r="AO17" s="27" t="s">
        <v>77</v>
      </c>
      <c r="AP17" s="27" t="s">
        <v>77</v>
      </c>
      <c r="AQ17" s="27" t="s">
        <v>77</v>
      </c>
      <c r="AR17" s="27" t="s">
        <v>77</v>
      </c>
      <c r="AS17" s="27" t="s">
        <v>77</v>
      </c>
      <c r="AT17" s="27" t="s">
        <v>77</v>
      </c>
      <c r="AU17" s="27"/>
    </row>
    <row r="18" spans="1:52" ht="19.95" customHeight="1">
      <c r="A18" s="198" t="s">
        <v>227</v>
      </c>
      <c r="B18" s="199" t="s">
        <v>228</v>
      </c>
      <c r="C18" s="146" t="s">
        <v>229</v>
      </c>
      <c r="D18" s="148" t="s">
        <v>6</v>
      </c>
      <c r="E18" s="10"/>
      <c r="F18" s="153">
        <v>20</v>
      </c>
      <c r="G18" s="112" t="s">
        <v>87</v>
      </c>
      <c r="H18" s="40" t="s">
        <v>8</v>
      </c>
      <c r="I18" s="11" t="s">
        <v>61</v>
      </c>
      <c r="J18" s="8" t="s">
        <v>17</v>
      </c>
      <c r="K18" s="9"/>
      <c r="L18" s="9"/>
      <c r="M18" s="166"/>
      <c r="N18" s="32" t="s">
        <v>77</v>
      </c>
      <c r="O18" s="32" t="s">
        <v>94</v>
      </c>
      <c r="P18" s="32" t="s">
        <v>94</v>
      </c>
      <c r="Q18" s="32" t="s">
        <v>94</v>
      </c>
      <c r="R18" s="32" t="s">
        <v>94</v>
      </c>
      <c r="S18" s="32" t="s">
        <v>77</v>
      </c>
      <c r="T18" s="9" t="s">
        <v>331</v>
      </c>
      <c r="U18" s="8" t="s">
        <v>107</v>
      </c>
      <c r="V18" s="8" t="s">
        <v>77</v>
      </c>
      <c r="W18" s="8"/>
      <c r="X18" s="12" t="s">
        <v>336</v>
      </c>
      <c r="Y18" s="42"/>
      <c r="Z18" s="41"/>
      <c r="AA18" s="41"/>
      <c r="AB18" s="41">
        <v>46224</v>
      </c>
      <c r="AC18" s="41"/>
      <c r="AD18" s="41"/>
      <c r="AE18" s="43"/>
      <c r="AF18" s="43"/>
      <c r="AG18" s="43"/>
      <c r="AH18" s="43"/>
      <c r="AI18" s="43"/>
      <c r="AJ18" s="43"/>
      <c r="AK18" s="43"/>
      <c r="AL18" s="43"/>
      <c r="AM18" s="43"/>
      <c r="AN18" s="27" t="s">
        <v>77</v>
      </c>
      <c r="AO18" s="27" t="s">
        <v>77</v>
      </c>
      <c r="AP18" s="27" t="s">
        <v>77</v>
      </c>
      <c r="AQ18" s="27" t="s">
        <v>77</v>
      </c>
      <c r="AR18" s="27" t="s">
        <v>77</v>
      </c>
      <c r="AS18" s="27" t="s">
        <v>77</v>
      </c>
      <c r="AT18" s="27" t="s">
        <v>77</v>
      </c>
      <c r="AU18" s="27"/>
    </row>
    <row r="19" spans="1:52" ht="19.95" customHeight="1">
      <c r="A19" s="158" t="s">
        <v>183</v>
      </c>
      <c r="B19" s="130" t="s">
        <v>191</v>
      </c>
      <c r="C19" s="130" t="s">
        <v>192</v>
      </c>
      <c r="D19" s="129" t="s">
        <v>120</v>
      </c>
      <c r="E19" s="10"/>
      <c r="F19" s="154">
        <v>25</v>
      </c>
      <c r="G19" s="112" t="s">
        <v>87</v>
      </c>
      <c r="H19" s="40" t="s">
        <v>7</v>
      </c>
      <c r="I19" s="40" t="s">
        <v>7</v>
      </c>
      <c r="J19" s="8" t="s">
        <v>17</v>
      </c>
      <c r="K19" s="9"/>
      <c r="L19" s="9"/>
      <c r="M19" s="166"/>
      <c r="N19" s="32" t="s">
        <v>77</v>
      </c>
      <c r="O19" s="32" t="s">
        <v>90</v>
      </c>
      <c r="P19" s="32" t="s">
        <v>77</v>
      </c>
      <c r="Q19" s="32" t="s">
        <v>94</v>
      </c>
      <c r="R19" s="32" t="s">
        <v>76</v>
      </c>
      <c r="S19" s="32" t="s">
        <v>77</v>
      </c>
      <c r="T19" s="9" t="s">
        <v>7</v>
      </c>
      <c r="U19" s="8" t="s">
        <v>105</v>
      </c>
      <c r="V19" s="8"/>
      <c r="W19" s="8"/>
      <c r="X19" s="12"/>
      <c r="Y19" s="42"/>
      <c r="Z19" s="41"/>
      <c r="AA19" s="41"/>
      <c r="AB19" s="41">
        <v>46218</v>
      </c>
      <c r="AC19" s="41"/>
      <c r="AD19" s="41"/>
      <c r="AE19" s="43"/>
      <c r="AF19" s="43"/>
      <c r="AG19" s="43"/>
      <c r="AH19" s="43"/>
      <c r="AI19" s="43"/>
      <c r="AJ19" s="43"/>
      <c r="AK19" s="43"/>
      <c r="AL19" s="43"/>
      <c r="AM19" s="43"/>
      <c r="AN19" s="27" t="s">
        <v>77</v>
      </c>
      <c r="AO19" s="27" t="s">
        <v>77</v>
      </c>
      <c r="AP19" s="27" t="s">
        <v>77</v>
      </c>
      <c r="AQ19" s="27" t="s">
        <v>77</v>
      </c>
      <c r="AR19" s="27" t="s">
        <v>77</v>
      </c>
      <c r="AS19" s="27" t="s">
        <v>77</v>
      </c>
      <c r="AT19" s="27" t="s">
        <v>77</v>
      </c>
      <c r="AU19" s="128"/>
    </row>
    <row r="20" spans="1:52" ht="19.95" customHeight="1">
      <c r="A20" s="157" t="s">
        <v>184</v>
      </c>
      <c r="B20" s="21" t="s">
        <v>193</v>
      </c>
      <c r="C20" s="21" t="s">
        <v>192</v>
      </c>
      <c r="D20" s="20" t="s">
        <v>137</v>
      </c>
      <c r="E20" s="10"/>
      <c r="F20" s="156">
        <v>25</v>
      </c>
      <c r="G20" s="112" t="s">
        <v>87</v>
      </c>
      <c r="H20" s="40" t="s">
        <v>7</v>
      </c>
      <c r="I20" s="40" t="s">
        <v>7</v>
      </c>
      <c r="J20" s="8" t="s">
        <v>17</v>
      </c>
      <c r="K20" s="9"/>
      <c r="L20" s="9"/>
      <c r="M20" s="166"/>
      <c r="N20" s="32" t="s">
        <v>77</v>
      </c>
      <c r="O20" s="32" t="s">
        <v>90</v>
      </c>
      <c r="P20" s="32" t="s">
        <v>77</v>
      </c>
      <c r="Q20" s="32" t="s">
        <v>94</v>
      </c>
      <c r="R20" s="32" t="s">
        <v>76</v>
      </c>
      <c r="S20" s="32" t="s">
        <v>77</v>
      </c>
      <c r="T20" s="9" t="s">
        <v>7</v>
      </c>
      <c r="U20" s="8" t="s">
        <v>105</v>
      </c>
      <c r="V20" s="8"/>
      <c r="W20" s="8"/>
      <c r="X20" s="12"/>
      <c r="Y20" s="42"/>
      <c r="Z20" s="41"/>
      <c r="AA20" s="41"/>
      <c r="AB20" s="41">
        <v>46218</v>
      </c>
      <c r="AC20" s="41"/>
      <c r="AD20" s="41"/>
      <c r="AE20" s="43"/>
      <c r="AF20" s="43"/>
      <c r="AG20" s="43"/>
      <c r="AH20" s="43"/>
      <c r="AI20" s="43"/>
      <c r="AJ20" s="43"/>
      <c r="AK20" s="43"/>
      <c r="AL20" s="43"/>
      <c r="AM20" s="43"/>
      <c r="AN20" s="27" t="s">
        <v>77</v>
      </c>
      <c r="AO20" s="27" t="s">
        <v>77</v>
      </c>
      <c r="AP20" s="27" t="s">
        <v>77</v>
      </c>
      <c r="AQ20" s="27" t="s">
        <v>77</v>
      </c>
      <c r="AR20" s="27" t="s">
        <v>77</v>
      </c>
      <c r="AS20" s="27" t="s">
        <v>77</v>
      </c>
      <c r="AT20" s="27" t="s">
        <v>77</v>
      </c>
      <c r="AU20" s="128"/>
    </row>
    <row r="21" spans="1:52" ht="19.95" customHeight="1">
      <c r="A21" s="197" t="s">
        <v>217</v>
      </c>
      <c r="B21" s="197" t="s">
        <v>218</v>
      </c>
      <c r="C21" s="21" t="s">
        <v>229</v>
      </c>
      <c r="D21" s="20" t="s">
        <v>121</v>
      </c>
      <c r="E21" s="10" t="s">
        <v>9</v>
      </c>
      <c r="F21" s="151">
        <v>25</v>
      </c>
      <c r="G21" s="112" t="s">
        <v>61</v>
      </c>
      <c r="H21" s="112" t="s">
        <v>7</v>
      </c>
      <c r="I21" s="112" t="s">
        <v>7</v>
      </c>
      <c r="J21" s="8" t="s">
        <v>17</v>
      </c>
      <c r="K21" s="9" t="s">
        <v>511</v>
      </c>
      <c r="L21" s="9">
        <v>19014</v>
      </c>
      <c r="M21" s="9"/>
      <c r="N21" s="32" t="s">
        <v>345</v>
      </c>
      <c r="O21" s="32" t="s">
        <v>90</v>
      </c>
      <c r="P21" s="32" t="s">
        <v>94</v>
      </c>
      <c r="Q21" s="32" t="s">
        <v>94</v>
      </c>
      <c r="R21" s="32" t="s">
        <v>76</v>
      </c>
      <c r="S21" s="32" t="s">
        <v>77</v>
      </c>
      <c r="T21" s="9" t="s">
        <v>7</v>
      </c>
      <c r="U21" s="8" t="s">
        <v>105</v>
      </c>
      <c r="V21" s="8"/>
      <c r="W21" s="8"/>
      <c r="X21" s="12"/>
      <c r="Y21" s="42"/>
      <c r="Z21" s="41"/>
      <c r="AA21" s="41"/>
      <c r="AB21" s="41"/>
      <c r="AC21" s="41"/>
      <c r="AD21" s="41"/>
      <c r="AE21" s="43"/>
      <c r="AF21" s="43"/>
      <c r="AG21" s="43"/>
      <c r="AH21" s="43"/>
      <c r="AI21" s="43"/>
      <c r="AJ21" s="43"/>
      <c r="AK21" s="43"/>
      <c r="AL21" s="43"/>
      <c r="AM21" s="43"/>
      <c r="AN21" s="27" t="s">
        <v>77</v>
      </c>
      <c r="AO21" s="27" t="s">
        <v>77</v>
      </c>
      <c r="AP21" s="27" t="s">
        <v>77</v>
      </c>
      <c r="AQ21" s="27" t="s">
        <v>77</v>
      </c>
      <c r="AR21" s="27" t="s">
        <v>77</v>
      </c>
      <c r="AS21" s="27" t="s">
        <v>77</v>
      </c>
      <c r="AT21" s="27" t="s">
        <v>77</v>
      </c>
      <c r="AU21" s="27"/>
      <c r="AV21" s="16"/>
      <c r="AW21" s="16"/>
      <c r="AX21" s="16"/>
      <c r="AY21" s="16"/>
      <c r="AZ21" s="16"/>
    </row>
    <row r="22" spans="1:52" ht="19.95" customHeight="1">
      <c r="A22" s="250" t="s">
        <v>219</v>
      </c>
      <c r="B22" s="250" t="s">
        <v>220</v>
      </c>
      <c r="C22" s="85" t="s">
        <v>229</v>
      </c>
      <c r="D22" s="147" t="s">
        <v>6</v>
      </c>
      <c r="E22" s="10"/>
      <c r="F22" s="150">
        <v>20</v>
      </c>
      <c r="G22" s="112" t="s">
        <v>61</v>
      </c>
      <c r="H22" s="112" t="s">
        <v>7</v>
      </c>
      <c r="I22" s="112" t="s">
        <v>7</v>
      </c>
      <c r="J22" s="8" t="s">
        <v>17</v>
      </c>
      <c r="K22" s="9" t="s">
        <v>511</v>
      </c>
      <c r="L22" s="9">
        <v>19051</v>
      </c>
      <c r="M22" s="9"/>
      <c r="N22" s="32" t="s">
        <v>345</v>
      </c>
      <c r="O22" s="32" t="s">
        <v>90</v>
      </c>
      <c r="P22" s="32" t="s">
        <v>94</v>
      </c>
      <c r="Q22" s="32" t="s">
        <v>94</v>
      </c>
      <c r="R22" s="32" t="s">
        <v>76</v>
      </c>
      <c r="S22" s="32" t="s">
        <v>77</v>
      </c>
      <c r="T22" s="9" t="s">
        <v>7</v>
      </c>
      <c r="U22" s="8" t="s">
        <v>105</v>
      </c>
      <c r="V22" s="8"/>
      <c r="W22" s="8"/>
      <c r="X22" s="12"/>
      <c r="Y22" s="42"/>
      <c r="Z22" s="41"/>
      <c r="AA22" s="41"/>
      <c r="AB22" s="41"/>
      <c r="AC22" s="41"/>
      <c r="AD22" s="41"/>
      <c r="AE22" s="43"/>
      <c r="AF22" s="43"/>
      <c r="AG22" s="43"/>
      <c r="AH22" s="43"/>
      <c r="AI22" s="43"/>
      <c r="AJ22" s="43"/>
      <c r="AK22" s="43"/>
      <c r="AL22" s="43"/>
      <c r="AM22" s="43"/>
      <c r="AN22" s="27" t="s">
        <v>77</v>
      </c>
      <c r="AO22" s="27" t="s">
        <v>77</v>
      </c>
      <c r="AP22" s="27" t="s">
        <v>77</v>
      </c>
      <c r="AQ22" s="27" t="s">
        <v>77</v>
      </c>
      <c r="AR22" s="27" t="s">
        <v>77</v>
      </c>
      <c r="AS22" s="27" t="s">
        <v>77</v>
      </c>
      <c r="AT22" s="27" t="s">
        <v>77</v>
      </c>
      <c r="AU22" s="27"/>
      <c r="AV22" s="16"/>
      <c r="AW22" s="16"/>
      <c r="AX22" s="16"/>
      <c r="AY22" s="16"/>
      <c r="AZ22" s="16"/>
    </row>
    <row r="23" spans="1:52" ht="19.95" customHeight="1">
      <c r="A23" s="250" t="s">
        <v>221</v>
      </c>
      <c r="B23" s="250" t="s">
        <v>222</v>
      </c>
      <c r="C23" s="85" t="s">
        <v>229</v>
      </c>
      <c r="D23" s="147" t="s">
        <v>11</v>
      </c>
      <c r="E23" s="10" t="s">
        <v>12</v>
      </c>
      <c r="F23" s="150">
        <v>30</v>
      </c>
      <c r="G23" s="112" t="s">
        <v>61</v>
      </c>
      <c r="H23" s="112" t="s">
        <v>7</v>
      </c>
      <c r="I23" s="112" t="s">
        <v>7</v>
      </c>
      <c r="J23" s="8" t="s">
        <v>17</v>
      </c>
      <c r="K23" s="9" t="s">
        <v>511</v>
      </c>
      <c r="L23" s="9">
        <v>19250</v>
      </c>
      <c r="M23" s="9"/>
      <c r="N23" s="32" t="s">
        <v>345</v>
      </c>
      <c r="O23" s="32" t="s">
        <v>77</v>
      </c>
      <c r="P23" s="32" t="s">
        <v>94</v>
      </c>
      <c r="Q23" s="32" t="s">
        <v>77</v>
      </c>
      <c r="R23" s="32" t="s">
        <v>76</v>
      </c>
      <c r="S23" s="32" t="s">
        <v>77</v>
      </c>
      <c r="T23" s="9" t="s">
        <v>7</v>
      </c>
      <c r="U23" s="8" t="s">
        <v>200</v>
      </c>
      <c r="V23" s="8"/>
      <c r="W23" s="8"/>
      <c r="X23" s="12"/>
      <c r="Y23" s="42"/>
      <c r="Z23" s="41"/>
      <c r="AA23" s="41"/>
      <c r="AB23" s="41"/>
      <c r="AC23" s="41"/>
      <c r="AD23" s="41"/>
      <c r="AE23" s="43"/>
      <c r="AF23" s="43"/>
      <c r="AG23" s="43"/>
      <c r="AH23" s="43"/>
      <c r="AI23" s="43"/>
      <c r="AJ23" s="43"/>
      <c r="AK23" s="43"/>
      <c r="AL23" s="43"/>
      <c r="AM23" s="43"/>
      <c r="AN23" s="27" t="s">
        <v>77</v>
      </c>
      <c r="AO23" s="27" t="s">
        <v>77</v>
      </c>
      <c r="AP23" s="27" t="s">
        <v>77</v>
      </c>
      <c r="AQ23" s="27" t="s">
        <v>77</v>
      </c>
      <c r="AR23" s="27" t="s">
        <v>77</v>
      </c>
      <c r="AS23" s="27" t="s">
        <v>77</v>
      </c>
      <c r="AT23" s="27" t="s">
        <v>77</v>
      </c>
      <c r="AU23" s="27"/>
    </row>
    <row r="24" spans="1:52" ht="19.95" customHeight="1">
      <c r="A24" s="251" t="s">
        <v>207</v>
      </c>
      <c r="B24" s="252" t="s">
        <v>208</v>
      </c>
      <c r="C24" s="37" t="s">
        <v>229</v>
      </c>
      <c r="D24" s="8" t="s">
        <v>6</v>
      </c>
      <c r="E24" s="10"/>
      <c r="F24" s="152">
        <v>20</v>
      </c>
      <c r="G24" s="112" t="s">
        <v>61</v>
      </c>
      <c r="H24" s="40" t="s">
        <v>7</v>
      </c>
      <c r="I24" s="112" t="s">
        <v>7</v>
      </c>
      <c r="J24" s="8" t="s">
        <v>17</v>
      </c>
      <c r="K24" s="9" t="s">
        <v>511</v>
      </c>
      <c r="L24" s="9">
        <v>19046</v>
      </c>
      <c r="M24" s="9"/>
      <c r="N24" s="32" t="s">
        <v>345</v>
      </c>
      <c r="O24" s="32" t="s">
        <v>94</v>
      </c>
      <c r="P24" s="32" t="s">
        <v>94</v>
      </c>
      <c r="Q24" s="32" t="s">
        <v>94</v>
      </c>
      <c r="R24" s="32" t="s">
        <v>76</v>
      </c>
      <c r="S24" s="32" t="s">
        <v>77</v>
      </c>
      <c r="T24" s="9" t="s">
        <v>7</v>
      </c>
      <c r="U24" s="8" t="s">
        <v>105</v>
      </c>
      <c r="V24" s="8"/>
      <c r="W24" s="8"/>
      <c r="X24" s="12"/>
      <c r="Y24" s="42"/>
      <c r="Z24" s="41"/>
      <c r="AA24" s="41"/>
      <c r="AB24" s="41"/>
      <c r="AC24" s="41"/>
      <c r="AD24" s="41"/>
      <c r="AE24" s="43"/>
      <c r="AF24" s="43"/>
      <c r="AG24" s="43"/>
      <c r="AH24" s="43"/>
      <c r="AI24" s="43"/>
      <c r="AJ24" s="43"/>
      <c r="AK24" s="43"/>
      <c r="AL24" s="43"/>
      <c r="AM24" s="43"/>
      <c r="AN24" s="27" t="s">
        <v>77</v>
      </c>
      <c r="AO24" s="27" t="s">
        <v>77</v>
      </c>
      <c r="AP24" s="27" t="s">
        <v>77</v>
      </c>
      <c r="AQ24" s="27" t="s">
        <v>77</v>
      </c>
      <c r="AR24" s="27" t="s">
        <v>77</v>
      </c>
      <c r="AS24" s="27" t="s">
        <v>77</v>
      </c>
      <c r="AT24" s="27" t="s">
        <v>77</v>
      </c>
      <c r="AU24" s="27"/>
    </row>
    <row r="25" spans="1:52" ht="19.95" customHeight="1">
      <c r="A25" s="251" t="s">
        <v>318</v>
      </c>
      <c r="B25" s="252" t="s">
        <v>319</v>
      </c>
      <c r="C25" s="37" t="s">
        <v>187</v>
      </c>
      <c r="D25" s="8" t="s">
        <v>121</v>
      </c>
      <c r="E25" s="10"/>
      <c r="F25" s="152">
        <v>20</v>
      </c>
      <c r="G25" s="112" t="s">
        <v>61</v>
      </c>
      <c r="H25" s="40" t="s">
        <v>10</v>
      </c>
      <c r="I25" s="40" t="s">
        <v>10</v>
      </c>
      <c r="J25" s="8" t="s">
        <v>17</v>
      </c>
      <c r="K25" s="9"/>
      <c r="L25" s="9">
        <v>19176</v>
      </c>
      <c r="M25" s="9"/>
      <c r="N25" s="32" t="s">
        <v>345</v>
      </c>
      <c r="O25" s="32" t="s">
        <v>77</v>
      </c>
      <c r="P25" s="32" t="s">
        <v>77</v>
      </c>
      <c r="Q25" s="32" t="s">
        <v>77</v>
      </c>
      <c r="R25" s="32" t="s">
        <v>77</v>
      </c>
      <c r="S25" s="32" t="s">
        <v>77</v>
      </c>
      <c r="T25" s="9" t="s">
        <v>325</v>
      </c>
      <c r="U25" s="8" t="s">
        <v>200</v>
      </c>
      <c r="V25" s="8" t="s">
        <v>94</v>
      </c>
      <c r="W25" s="8"/>
      <c r="X25" s="12"/>
      <c r="Y25" s="42"/>
      <c r="Z25" s="41"/>
      <c r="AA25" s="41"/>
      <c r="AB25" s="41"/>
      <c r="AC25" s="41"/>
      <c r="AD25" s="41"/>
      <c r="AE25" s="43"/>
      <c r="AF25" s="43"/>
      <c r="AG25" s="43"/>
      <c r="AH25" s="43"/>
      <c r="AI25" s="43"/>
      <c r="AJ25" s="43"/>
      <c r="AK25" s="43"/>
      <c r="AL25" s="43"/>
      <c r="AM25" s="43"/>
      <c r="AN25" s="27" t="s">
        <v>77</v>
      </c>
      <c r="AO25" s="27" t="s">
        <v>77</v>
      </c>
      <c r="AP25" s="27" t="s">
        <v>77</v>
      </c>
      <c r="AQ25" s="27" t="s">
        <v>77</v>
      </c>
      <c r="AR25" s="27" t="s">
        <v>77</v>
      </c>
      <c r="AS25" s="27" t="s">
        <v>77</v>
      </c>
      <c r="AT25" s="27" t="s">
        <v>77</v>
      </c>
      <c r="AU25" s="27"/>
    </row>
    <row r="26" spans="1:52" ht="19.95" customHeight="1">
      <c r="A26" s="37" t="s">
        <v>294</v>
      </c>
      <c r="B26" s="37" t="s">
        <v>295</v>
      </c>
      <c r="C26" s="37" t="s">
        <v>320</v>
      </c>
      <c r="D26" s="8" t="s">
        <v>120</v>
      </c>
      <c r="E26" s="10"/>
      <c r="F26" s="151">
        <v>30</v>
      </c>
      <c r="G26" s="112" t="s">
        <v>87</v>
      </c>
      <c r="H26" s="40" t="s">
        <v>7</v>
      </c>
      <c r="I26" s="112" t="s">
        <v>7</v>
      </c>
      <c r="J26" s="8" t="s">
        <v>17</v>
      </c>
      <c r="K26" s="9" t="s">
        <v>320</v>
      </c>
      <c r="L26" s="9"/>
      <c r="M26" s="166"/>
      <c r="N26" s="32" t="s">
        <v>77</v>
      </c>
      <c r="O26" s="32" t="s">
        <v>90</v>
      </c>
      <c r="P26" s="32" t="s">
        <v>77</v>
      </c>
      <c r="Q26" s="32" t="s">
        <v>77</v>
      </c>
      <c r="R26" s="32" t="s">
        <v>76</v>
      </c>
      <c r="S26" s="32" t="s">
        <v>77</v>
      </c>
      <c r="T26" s="9" t="s">
        <v>7</v>
      </c>
      <c r="U26" s="8" t="s">
        <v>107</v>
      </c>
      <c r="V26" s="8"/>
      <c r="W26" s="8"/>
      <c r="X26" s="12"/>
      <c r="Y26" s="42"/>
      <c r="Z26" s="41"/>
      <c r="AA26" s="41"/>
      <c r="AB26" s="41"/>
      <c r="AC26" s="41"/>
      <c r="AD26" s="41"/>
      <c r="AE26" s="43"/>
      <c r="AF26" s="43"/>
      <c r="AG26" s="43"/>
      <c r="AH26" s="43"/>
      <c r="AI26" s="43"/>
      <c r="AJ26" s="43"/>
      <c r="AK26" s="43"/>
      <c r="AL26" s="43"/>
      <c r="AM26" s="43"/>
      <c r="AN26" s="27" t="s">
        <v>77</v>
      </c>
      <c r="AO26" s="27" t="s">
        <v>77</v>
      </c>
      <c r="AP26" s="27" t="s">
        <v>77</v>
      </c>
      <c r="AQ26" s="27" t="s">
        <v>77</v>
      </c>
      <c r="AR26" s="27" t="s">
        <v>77</v>
      </c>
      <c r="AS26" s="27" t="s">
        <v>77</v>
      </c>
      <c r="AT26" s="27" t="s">
        <v>77</v>
      </c>
      <c r="AU26" s="27"/>
    </row>
    <row r="27" spans="1:52" ht="19.95" customHeight="1">
      <c r="A27" s="259" t="s">
        <v>209</v>
      </c>
      <c r="B27" s="259" t="s">
        <v>210</v>
      </c>
      <c r="C27" s="21" t="s">
        <v>229</v>
      </c>
      <c r="D27" s="20" t="s">
        <v>6</v>
      </c>
      <c r="E27" s="10"/>
      <c r="F27" s="151">
        <v>20</v>
      </c>
      <c r="G27" s="112" t="s">
        <v>61</v>
      </c>
      <c r="H27" s="112" t="s">
        <v>7</v>
      </c>
      <c r="I27" s="112" t="s">
        <v>7</v>
      </c>
      <c r="J27" s="8" t="s">
        <v>17</v>
      </c>
      <c r="K27" s="9" t="s">
        <v>513</v>
      </c>
      <c r="L27" s="9">
        <v>19254</v>
      </c>
      <c r="M27" s="9"/>
      <c r="N27" s="32" t="s">
        <v>345</v>
      </c>
      <c r="O27" s="32" t="s">
        <v>94</v>
      </c>
      <c r="P27" s="32" t="s">
        <v>94</v>
      </c>
      <c r="Q27" s="32" t="s">
        <v>94</v>
      </c>
      <c r="R27" s="32" t="s">
        <v>76</v>
      </c>
      <c r="S27" s="32" t="s">
        <v>77</v>
      </c>
      <c r="T27" s="9" t="s">
        <v>7</v>
      </c>
      <c r="U27" s="8" t="s">
        <v>105</v>
      </c>
      <c r="V27" s="8"/>
      <c r="W27" s="8"/>
      <c r="X27" s="12"/>
      <c r="Y27" s="42"/>
      <c r="Z27" s="41"/>
      <c r="AA27" s="41"/>
      <c r="AB27" s="41"/>
      <c r="AC27" s="41"/>
      <c r="AD27" s="41"/>
      <c r="AE27" s="43"/>
      <c r="AF27" s="43"/>
      <c r="AG27" s="43"/>
      <c r="AH27" s="43"/>
      <c r="AI27" s="43"/>
      <c r="AJ27" s="43"/>
      <c r="AK27" s="43"/>
      <c r="AL27" s="43"/>
      <c r="AM27" s="43"/>
      <c r="AN27" s="27" t="s">
        <v>77</v>
      </c>
      <c r="AO27" s="27" t="s">
        <v>77</v>
      </c>
      <c r="AP27" s="27" t="s">
        <v>77</v>
      </c>
      <c r="AQ27" s="27" t="s">
        <v>77</v>
      </c>
      <c r="AR27" s="27" t="s">
        <v>77</v>
      </c>
      <c r="AS27" s="27" t="s">
        <v>77</v>
      </c>
      <c r="AT27" s="27" t="s">
        <v>77</v>
      </c>
      <c r="AU27" s="27"/>
    </row>
    <row r="28" spans="1:52" ht="19.95" customHeight="1">
      <c r="A28" s="260" t="s">
        <v>305</v>
      </c>
      <c r="B28" s="261" t="s">
        <v>306</v>
      </c>
      <c r="C28" s="37" t="s">
        <v>187</v>
      </c>
      <c r="D28" s="8" t="s">
        <v>11</v>
      </c>
      <c r="E28" s="10"/>
      <c r="F28" s="152">
        <v>30</v>
      </c>
      <c r="G28" s="112" t="s">
        <v>61</v>
      </c>
      <c r="H28" s="40" t="s">
        <v>8</v>
      </c>
      <c r="I28" s="11" t="s">
        <v>61</v>
      </c>
      <c r="J28" s="8" t="s">
        <v>17</v>
      </c>
      <c r="K28" s="9" t="s">
        <v>344</v>
      </c>
      <c r="L28" s="9"/>
      <c r="M28" s="9"/>
      <c r="N28" s="32" t="s">
        <v>345</v>
      </c>
      <c r="O28" s="32" t="s">
        <v>77</v>
      </c>
      <c r="P28" s="32" t="s">
        <v>77</v>
      </c>
      <c r="Q28" s="32" t="s">
        <v>77</v>
      </c>
      <c r="R28" s="32" t="s">
        <v>77</v>
      </c>
      <c r="S28" s="32" t="s">
        <v>77</v>
      </c>
      <c r="T28" s="9" t="s">
        <v>321</v>
      </c>
      <c r="U28" s="8" t="s">
        <v>200</v>
      </c>
      <c r="V28" s="8" t="s">
        <v>94</v>
      </c>
      <c r="W28" s="8"/>
      <c r="X28" s="12" t="s">
        <v>426</v>
      </c>
      <c r="Y28" s="42"/>
      <c r="Z28" s="41"/>
      <c r="AA28" s="41"/>
      <c r="AB28" s="41">
        <v>46224</v>
      </c>
      <c r="AC28" s="41"/>
      <c r="AD28" s="41"/>
      <c r="AE28" s="43"/>
      <c r="AF28" s="43"/>
      <c r="AG28" s="43"/>
      <c r="AH28" s="43"/>
      <c r="AI28" s="43"/>
      <c r="AJ28" s="43"/>
      <c r="AK28" s="43"/>
      <c r="AL28" s="43"/>
      <c r="AM28" s="43"/>
      <c r="AN28" s="27" t="s">
        <v>77</v>
      </c>
      <c r="AO28" s="27" t="s">
        <v>77</v>
      </c>
      <c r="AP28" s="27" t="s">
        <v>77</v>
      </c>
      <c r="AQ28" s="27" t="s">
        <v>77</v>
      </c>
      <c r="AR28" s="27" t="s">
        <v>77</v>
      </c>
      <c r="AS28" s="27" t="s">
        <v>77</v>
      </c>
      <c r="AT28" s="27" t="s">
        <v>77</v>
      </c>
      <c r="AU28" s="27"/>
    </row>
    <row r="29" spans="1:52" ht="19.95" customHeight="1">
      <c r="A29" s="260" t="s">
        <v>307</v>
      </c>
      <c r="B29" s="261" t="s">
        <v>308</v>
      </c>
      <c r="C29" s="37" t="s">
        <v>187</v>
      </c>
      <c r="D29" s="8" t="s">
        <v>11</v>
      </c>
      <c r="E29" s="10"/>
      <c r="F29" s="152">
        <v>30</v>
      </c>
      <c r="G29" s="112" t="s">
        <v>61</v>
      </c>
      <c r="H29" s="40" t="s">
        <v>7</v>
      </c>
      <c r="I29" s="112" t="s">
        <v>7</v>
      </c>
      <c r="J29" s="8" t="s">
        <v>17</v>
      </c>
      <c r="K29" s="9" t="s">
        <v>344</v>
      </c>
      <c r="L29" s="9"/>
      <c r="M29" s="9"/>
      <c r="N29" s="32" t="s">
        <v>345</v>
      </c>
      <c r="O29" s="32" t="s">
        <v>77</v>
      </c>
      <c r="P29" s="32" t="s">
        <v>77</v>
      </c>
      <c r="Q29" s="32" t="s">
        <v>77</v>
      </c>
      <c r="R29" s="32" t="s">
        <v>76</v>
      </c>
      <c r="S29" s="32" t="s">
        <v>77</v>
      </c>
      <c r="T29" s="9" t="s">
        <v>7</v>
      </c>
      <c r="U29" s="8" t="s">
        <v>200</v>
      </c>
      <c r="V29" s="8"/>
      <c r="W29" s="8"/>
      <c r="X29" s="12"/>
      <c r="Y29" s="42"/>
      <c r="Z29" s="41"/>
      <c r="AA29" s="41"/>
      <c r="AB29" s="41"/>
      <c r="AC29" s="41"/>
      <c r="AD29" s="41"/>
      <c r="AE29" s="43"/>
      <c r="AF29" s="43"/>
      <c r="AG29" s="43"/>
      <c r="AH29" s="43"/>
      <c r="AI29" s="43"/>
      <c r="AJ29" s="43"/>
      <c r="AK29" s="43"/>
      <c r="AL29" s="43"/>
      <c r="AM29" s="43"/>
      <c r="AN29" s="27" t="s">
        <v>77</v>
      </c>
      <c r="AO29" s="27" t="s">
        <v>77</v>
      </c>
      <c r="AP29" s="27" t="s">
        <v>77</v>
      </c>
      <c r="AQ29" s="27" t="s">
        <v>77</v>
      </c>
      <c r="AR29" s="27" t="s">
        <v>77</v>
      </c>
      <c r="AS29" s="27" t="s">
        <v>77</v>
      </c>
      <c r="AT29" s="27" t="s">
        <v>77</v>
      </c>
      <c r="AU29" s="27"/>
    </row>
    <row r="30" spans="1:52" ht="19.95" customHeight="1">
      <c r="A30" s="260" t="s">
        <v>309</v>
      </c>
      <c r="B30" s="261" t="s">
        <v>310</v>
      </c>
      <c r="C30" s="37" t="s">
        <v>187</v>
      </c>
      <c r="D30" s="8" t="s">
        <v>121</v>
      </c>
      <c r="E30" s="10"/>
      <c r="F30" s="152">
        <v>20</v>
      </c>
      <c r="G30" s="112" t="s">
        <v>61</v>
      </c>
      <c r="H30" s="40" t="s">
        <v>10</v>
      </c>
      <c r="I30" s="40" t="s">
        <v>10</v>
      </c>
      <c r="J30" s="8" t="s">
        <v>17</v>
      </c>
      <c r="K30" s="9" t="s">
        <v>344</v>
      </c>
      <c r="L30" s="9"/>
      <c r="M30" s="9"/>
      <c r="N30" s="32" t="s">
        <v>345</v>
      </c>
      <c r="O30" s="32" t="s">
        <v>77</v>
      </c>
      <c r="P30" s="32" t="s">
        <v>77</v>
      </c>
      <c r="Q30" s="32" t="s">
        <v>77</v>
      </c>
      <c r="R30" s="32" t="s">
        <v>77</v>
      </c>
      <c r="S30" s="32" t="s">
        <v>77</v>
      </c>
      <c r="T30" s="9" t="s">
        <v>322</v>
      </c>
      <c r="U30" s="8" t="s">
        <v>200</v>
      </c>
      <c r="V30" s="8" t="s">
        <v>77</v>
      </c>
      <c r="W30" s="8"/>
      <c r="X30" s="12"/>
      <c r="Y30" s="42"/>
      <c r="Z30" s="41"/>
      <c r="AA30" s="41"/>
      <c r="AB30" s="41"/>
      <c r="AC30" s="41"/>
      <c r="AD30" s="41"/>
      <c r="AE30" s="43"/>
      <c r="AF30" s="43"/>
      <c r="AG30" s="43"/>
      <c r="AH30" s="43"/>
      <c r="AI30" s="43"/>
      <c r="AJ30" s="43"/>
      <c r="AK30" s="43"/>
      <c r="AL30" s="43"/>
      <c r="AM30" s="43"/>
      <c r="AN30" s="27" t="s">
        <v>77</v>
      </c>
      <c r="AO30" s="27" t="s">
        <v>77</v>
      </c>
      <c r="AP30" s="27" t="s">
        <v>77</v>
      </c>
      <c r="AQ30" s="27" t="s">
        <v>77</v>
      </c>
      <c r="AR30" s="27" t="s">
        <v>77</v>
      </c>
      <c r="AS30" s="27" t="s">
        <v>77</v>
      </c>
      <c r="AT30" s="27" t="s">
        <v>77</v>
      </c>
      <c r="AU30" s="27"/>
    </row>
    <row r="31" spans="1:52" ht="19.95" customHeight="1">
      <c r="A31" s="260" t="s">
        <v>311</v>
      </c>
      <c r="B31" s="261" t="s">
        <v>312</v>
      </c>
      <c r="C31" s="37" t="s">
        <v>187</v>
      </c>
      <c r="D31" s="8" t="s">
        <v>121</v>
      </c>
      <c r="E31" s="10"/>
      <c r="F31" s="152">
        <v>30</v>
      </c>
      <c r="G31" s="112" t="s">
        <v>61</v>
      </c>
      <c r="H31" s="40" t="s">
        <v>8</v>
      </c>
      <c r="I31" s="11" t="s">
        <v>61</v>
      </c>
      <c r="J31" s="8" t="s">
        <v>17</v>
      </c>
      <c r="K31" s="9" t="s">
        <v>344</v>
      </c>
      <c r="L31" s="9"/>
      <c r="M31" s="9"/>
      <c r="N31" s="32" t="s">
        <v>94</v>
      </c>
      <c r="O31" s="32" t="s">
        <v>77</v>
      </c>
      <c r="P31" s="32" t="s">
        <v>77</v>
      </c>
      <c r="Q31" s="32" t="s">
        <v>77</v>
      </c>
      <c r="R31" s="32" t="s">
        <v>77</v>
      </c>
      <c r="S31" s="32" t="s">
        <v>77</v>
      </c>
      <c r="T31" s="9" t="s">
        <v>323</v>
      </c>
      <c r="U31" s="8" t="s">
        <v>200</v>
      </c>
      <c r="V31" s="8" t="s">
        <v>94</v>
      </c>
      <c r="W31" s="8"/>
      <c r="X31" s="12" t="s">
        <v>373</v>
      </c>
      <c r="Y31" s="42"/>
      <c r="Z31" s="41"/>
      <c r="AA31" s="41"/>
      <c r="AB31" s="41"/>
      <c r="AC31" s="41"/>
      <c r="AD31" s="41"/>
      <c r="AE31" s="43"/>
      <c r="AF31" s="43"/>
      <c r="AG31" s="43"/>
      <c r="AH31" s="43"/>
      <c r="AI31" s="43"/>
      <c r="AJ31" s="43"/>
      <c r="AK31" s="43"/>
      <c r="AL31" s="43"/>
      <c r="AM31" s="43"/>
      <c r="AN31" s="27" t="s">
        <v>77</v>
      </c>
      <c r="AO31" s="27" t="s">
        <v>77</v>
      </c>
      <c r="AP31" s="27" t="s">
        <v>77</v>
      </c>
      <c r="AQ31" s="27" t="s">
        <v>77</v>
      </c>
      <c r="AR31" s="27" t="s">
        <v>77</v>
      </c>
      <c r="AS31" s="27" t="s">
        <v>77</v>
      </c>
      <c r="AT31" s="27" t="s">
        <v>77</v>
      </c>
      <c r="AU31" s="27"/>
    </row>
    <row r="32" spans="1:52" ht="19.95" customHeight="1">
      <c r="A32" s="260" t="s">
        <v>316</v>
      </c>
      <c r="B32" s="261" t="s">
        <v>317</v>
      </c>
      <c r="C32" s="37" t="s">
        <v>185</v>
      </c>
      <c r="D32" s="8" t="s">
        <v>120</v>
      </c>
      <c r="E32" s="10"/>
      <c r="F32" s="152">
        <v>30</v>
      </c>
      <c r="G32" s="112" t="s">
        <v>87</v>
      </c>
      <c r="H32" s="40" t="s">
        <v>7</v>
      </c>
      <c r="I32" s="112" t="s">
        <v>7</v>
      </c>
      <c r="J32" s="8" t="s">
        <v>17</v>
      </c>
      <c r="K32" s="9" t="s">
        <v>344</v>
      </c>
      <c r="L32" s="9"/>
      <c r="M32" s="166"/>
      <c r="N32" s="32" t="s">
        <v>77</v>
      </c>
      <c r="O32" s="32" t="s">
        <v>77</v>
      </c>
      <c r="P32" s="32" t="s">
        <v>77</v>
      </c>
      <c r="Q32" s="32" t="s">
        <v>77</v>
      </c>
      <c r="R32" s="32" t="s">
        <v>76</v>
      </c>
      <c r="S32" s="32" t="s">
        <v>77</v>
      </c>
      <c r="T32" s="9" t="s">
        <v>7</v>
      </c>
      <c r="U32" s="8" t="s">
        <v>105</v>
      </c>
      <c r="V32" s="8"/>
      <c r="W32" s="8"/>
      <c r="X32" s="12"/>
      <c r="Y32" s="42"/>
      <c r="Z32" s="41"/>
      <c r="AA32" s="41"/>
      <c r="AB32" s="41"/>
      <c r="AC32" s="41"/>
      <c r="AD32" s="41"/>
      <c r="AE32" s="43"/>
      <c r="AF32" s="43"/>
      <c r="AG32" s="43"/>
      <c r="AH32" s="43"/>
      <c r="AI32" s="43"/>
      <c r="AJ32" s="43"/>
      <c r="AK32" s="43"/>
      <c r="AL32" s="43"/>
      <c r="AM32" s="43"/>
      <c r="AN32" s="27" t="s">
        <v>77</v>
      </c>
      <c r="AO32" s="27" t="s">
        <v>77</v>
      </c>
      <c r="AP32" s="27" t="s">
        <v>77</v>
      </c>
      <c r="AQ32" s="27" t="s">
        <v>77</v>
      </c>
      <c r="AR32" s="27" t="s">
        <v>77</v>
      </c>
      <c r="AS32" s="27" t="s">
        <v>77</v>
      </c>
      <c r="AT32" s="27" t="s">
        <v>77</v>
      </c>
      <c r="AU32" s="27"/>
    </row>
    <row r="33" spans="1:47" ht="19.95" customHeight="1">
      <c r="A33" s="155" t="s">
        <v>179</v>
      </c>
      <c r="B33" s="155" t="s">
        <v>186</v>
      </c>
      <c r="C33" s="21" t="s">
        <v>187</v>
      </c>
      <c r="D33" s="20" t="s">
        <v>121</v>
      </c>
      <c r="E33" s="10"/>
      <c r="F33" s="156">
        <v>30</v>
      </c>
      <c r="G33" s="112" t="s">
        <v>61</v>
      </c>
      <c r="H33" s="40" t="s">
        <v>8</v>
      </c>
      <c r="I33" s="11" t="s">
        <v>61</v>
      </c>
      <c r="J33" s="8" t="s">
        <v>17</v>
      </c>
      <c r="K33" s="9" t="s">
        <v>344</v>
      </c>
      <c r="L33" s="9"/>
      <c r="M33" s="9"/>
      <c r="N33" s="32" t="s">
        <v>94</v>
      </c>
      <c r="O33" s="32" t="s">
        <v>77</v>
      </c>
      <c r="P33" s="32" t="s">
        <v>94</v>
      </c>
      <c r="Q33" s="32" t="s">
        <v>94</v>
      </c>
      <c r="R33" s="32" t="s">
        <v>94</v>
      </c>
      <c r="S33" s="32" t="s">
        <v>77</v>
      </c>
      <c r="T33" s="9" t="s">
        <v>327</v>
      </c>
      <c r="U33" s="8" t="s">
        <v>200</v>
      </c>
      <c r="V33" s="8" t="s">
        <v>77</v>
      </c>
      <c r="W33" s="8"/>
      <c r="X33" s="12" t="s">
        <v>337</v>
      </c>
      <c r="Y33" s="42"/>
      <c r="Z33" s="41"/>
      <c r="AA33" s="41"/>
      <c r="AB33" s="41">
        <v>46218</v>
      </c>
      <c r="AC33" s="41"/>
      <c r="AD33" s="41"/>
      <c r="AE33" s="43"/>
      <c r="AF33" s="43"/>
      <c r="AG33" s="43"/>
      <c r="AH33" s="43"/>
      <c r="AI33" s="43"/>
      <c r="AJ33" s="43"/>
      <c r="AK33" s="43"/>
      <c r="AL33" s="43"/>
      <c r="AM33" s="43"/>
      <c r="AN33" s="27" t="s">
        <v>77</v>
      </c>
      <c r="AO33" s="27" t="s">
        <v>77</v>
      </c>
      <c r="AP33" s="27" t="s">
        <v>77</v>
      </c>
      <c r="AQ33" s="27" t="s">
        <v>77</v>
      </c>
      <c r="AR33" s="27" t="s">
        <v>77</v>
      </c>
      <c r="AS33" s="27" t="s">
        <v>77</v>
      </c>
      <c r="AT33" s="27" t="s">
        <v>77</v>
      </c>
      <c r="AU33" s="128"/>
    </row>
    <row r="34" spans="1:47" ht="19.95" customHeight="1">
      <c r="A34" s="142" t="s">
        <v>313</v>
      </c>
      <c r="B34" s="143" t="s">
        <v>314</v>
      </c>
      <c r="C34" s="37" t="s">
        <v>187</v>
      </c>
      <c r="D34" s="8" t="s">
        <v>11</v>
      </c>
      <c r="E34" s="10"/>
      <c r="F34" s="152">
        <v>30</v>
      </c>
      <c r="G34" s="112" t="s">
        <v>61</v>
      </c>
      <c r="H34" s="40" t="s">
        <v>8</v>
      </c>
      <c r="I34" s="11" t="s">
        <v>61</v>
      </c>
      <c r="J34" s="8" t="s">
        <v>17</v>
      </c>
      <c r="K34" s="9" t="s">
        <v>344</v>
      </c>
      <c r="L34" s="9"/>
      <c r="M34" s="9"/>
      <c r="N34" s="32" t="s">
        <v>94</v>
      </c>
      <c r="O34" s="32" t="s">
        <v>77</v>
      </c>
      <c r="P34" s="32" t="s">
        <v>77</v>
      </c>
      <c r="Q34" s="32" t="s">
        <v>77</v>
      </c>
      <c r="R34" s="32" t="s">
        <v>77</v>
      </c>
      <c r="S34" s="32" t="s">
        <v>77</v>
      </c>
      <c r="T34" s="9" t="s">
        <v>324</v>
      </c>
      <c r="U34" s="8" t="s">
        <v>200</v>
      </c>
      <c r="V34" s="8" t="s">
        <v>94</v>
      </c>
      <c r="W34" s="8"/>
      <c r="X34" s="12" t="s">
        <v>354</v>
      </c>
      <c r="Y34" s="42"/>
      <c r="Z34" s="41"/>
      <c r="AA34" s="41"/>
      <c r="AB34" s="41"/>
      <c r="AC34" s="41"/>
      <c r="AD34" s="41"/>
      <c r="AE34" s="43"/>
      <c r="AF34" s="43"/>
      <c r="AG34" s="43"/>
      <c r="AH34" s="43"/>
      <c r="AI34" s="43"/>
      <c r="AJ34" s="43"/>
      <c r="AK34" s="43"/>
      <c r="AL34" s="43"/>
      <c r="AM34" s="43"/>
      <c r="AN34" s="27" t="s">
        <v>77</v>
      </c>
      <c r="AO34" s="27" t="s">
        <v>77</v>
      </c>
      <c r="AP34" s="27" t="s">
        <v>77</v>
      </c>
      <c r="AQ34" s="27" t="s">
        <v>77</v>
      </c>
      <c r="AR34" s="27" t="s">
        <v>77</v>
      </c>
      <c r="AS34" s="27" t="s">
        <v>77</v>
      </c>
      <c r="AT34" s="27" t="s">
        <v>77</v>
      </c>
      <c r="AU34" s="27"/>
    </row>
    <row r="35" spans="1:47" ht="19.95" customHeight="1">
      <c r="A35" s="37" t="s">
        <v>510</v>
      </c>
      <c r="B35" s="37"/>
      <c r="C35" s="37"/>
      <c r="D35" s="8"/>
      <c r="E35" s="10"/>
      <c r="F35" s="8"/>
      <c r="G35" s="10"/>
      <c r="H35" s="40"/>
      <c r="I35" s="11"/>
      <c r="J35" s="8"/>
      <c r="K35" s="9"/>
      <c r="L35" s="9"/>
      <c r="M35" s="9"/>
      <c r="N35" s="32"/>
      <c r="O35" s="32"/>
      <c r="P35" s="32"/>
      <c r="Q35" s="32"/>
      <c r="R35" s="32"/>
      <c r="S35" s="32"/>
      <c r="T35" s="9"/>
      <c r="U35" s="8"/>
      <c r="V35" s="8"/>
      <c r="W35" s="8"/>
      <c r="X35" s="12"/>
      <c r="Y35" s="42"/>
      <c r="Z35" s="41"/>
      <c r="AA35" s="41"/>
      <c r="AB35" s="41"/>
      <c r="AC35" s="41"/>
      <c r="AD35" s="41"/>
      <c r="AE35" s="43"/>
      <c r="AF35" s="43"/>
      <c r="AG35" s="43"/>
      <c r="AH35" s="43"/>
      <c r="AI35" s="43"/>
      <c r="AJ35" s="43"/>
      <c r="AK35" s="43"/>
      <c r="AL35" s="43"/>
      <c r="AM35" s="43"/>
      <c r="AN35" s="27"/>
      <c r="AO35" s="27"/>
      <c r="AP35" s="27"/>
      <c r="AQ35" s="27"/>
      <c r="AR35" s="27"/>
      <c r="AS35" s="27"/>
      <c r="AT35" s="27"/>
      <c r="AU35" s="27"/>
    </row>
    <row r="36" spans="1:47" ht="19.95" customHeight="1">
      <c r="A36" s="37"/>
      <c r="B36" s="37"/>
      <c r="C36" s="37"/>
      <c r="D36" s="8"/>
      <c r="E36" s="10"/>
      <c r="F36" s="8"/>
      <c r="G36" s="10"/>
      <c r="H36" s="40"/>
      <c r="I36" s="11"/>
      <c r="J36" s="8"/>
      <c r="K36" s="9"/>
      <c r="L36" s="9"/>
      <c r="M36" s="9"/>
      <c r="N36" s="32"/>
      <c r="O36" s="32"/>
      <c r="P36" s="32"/>
      <c r="Q36" s="32"/>
      <c r="R36" s="32"/>
      <c r="S36" s="32"/>
      <c r="T36" s="9"/>
      <c r="U36" s="8"/>
      <c r="V36" s="8"/>
      <c r="W36" s="8"/>
      <c r="X36" s="12"/>
      <c r="Y36" s="42"/>
      <c r="Z36" s="41"/>
      <c r="AA36" s="41"/>
      <c r="AB36" s="41"/>
      <c r="AC36" s="41"/>
      <c r="AD36" s="41"/>
      <c r="AE36" s="43"/>
      <c r="AF36" s="43"/>
      <c r="AG36" s="43"/>
      <c r="AH36" s="43"/>
      <c r="AI36" s="43"/>
      <c r="AJ36" s="43"/>
      <c r="AK36" s="43"/>
      <c r="AL36" s="43"/>
      <c r="AM36" s="43"/>
      <c r="AN36" s="27"/>
      <c r="AO36" s="27"/>
      <c r="AP36" s="27"/>
      <c r="AQ36" s="27"/>
      <c r="AR36" s="27"/>
      <c r="AS36" s="27"/>
      <c r="AT36" s="27"/>
      <c r="AU36" s="27"/>
    </row>
    <row r="37" spans="1:47" ht="19.95" customHeight="1">
      <c r="A37" s="37"/>
      <c r="B37" s="37"/>
      <c r="C37" s="37"/>
      <c r="D37" s="8"/>
      <c r="E37" s="10"/>
      <c r="F37" s="8"/>
      <c r="G37" s="10"/>
      <c r="H37" s="40"/>
      <c r="I37" s="11"/>
      <c r="J37" s="8"/>
      <c r="K37" s="9"/>
      <c r="L37" s="9"/>
      <c r="M37" s="9"/>
      <c r="N37" s="32"/>
      <c r="O37" s="32"/>
      <c r="P37" s="32"/>
      <c r="Q37" s="32"/>
      <c r="R37" s="32"/>
      <c r="S37" s="32"/>
      <c r="T37" s="9"/>
      <c r="U37" s="8"/>
      <c r="V37" s="8"/>
      <c r="W37" s="8"/>
      <c r="X37" s="12"/>
      <c r="Y37" s="42"/>
      <c r="Z37" s="41"/>
      <c r="AA37" s="41"/>
      <c r="AB37" s="41"/>
      <c r="AC37" s="41"/>
      <c r="AD37" s="41"/>
      <c r="AE37" s="43"/>
      <c r="AF37" s="43"/>
      <c r="AG37" s="43"/>
      <c r="AH37" s="43"/>
      <c r="AI37" s="43"/>
      <c r="AJ37" s="43"/>
      <c r="AK37" s="43"/>
      <c r="AL37" s="43"/>
      <c r="AM37" s="43"/>
      <c r="AN37" s="27"/>
      <c r="AO37" s="27"/>
      <c r="AP37" s="27"/>
      <c r="AQ37" s="27"/>
      <c r="AR37" s="27"/>
      <c r="AS37" s="27"/>
      <c r="AT37" s="27"/>
      <c r="AU37" s="27"/>
    </row>
    <row r="38" spans="1:47" ht="19.95" customHeight="1">
      <c r="A38" s="37"/>
      <c r="B38" s="37"/>
      <c r="C38" s="37"/>
      <c r="D38" s="8"/>
      <c r="E38" s="10"/>
      <c r="F38" s="8"/>
      <c r="G38" s="10"/>
      <c r="H38" s="40"/>
      <c r="I38" s="11"/>
      <c r="J38" s="8"/>
      <c r="K38" s="9"/>
      <c r="L38" s="9"/>
      <c r="M38" s="9"/>
      <c r="N38" s="32"/>
      <c r="O38" s="32"/>
      <c r="P38" s="32"/>
      <c r="Q38" s="32"/>
      <c r="R38" s="32"/>
      <c r="S38" s="32"/>
      <c r="T38" s="9"/>
      <c r="U38" s="8"/>
      <c r="V38" s="8"/>
      <c r="W38" s="8"/>
      <c r="X38" s="12"/>
      <c r="Y38" s="42"/>
      <c r="Z38" s="41"/>
      <c r="AA38" s="41"/>
      <c r="AB38" s="41"/>
      <c r="AC38" s="41"/>
      <c r="AD38" s="41"/>
      <c r="AE38" s="43"/>
      <c r="AF38" s="43"/>
      <c r="AG38" s="43"/>
      <c r="AH38" s="43"/>
      <c r="AI38" s="43"/>
      <c r="AJ38" s="43"/>
      <c r="AK38" s="43"/>
      <c r="AL38" s="43"/>
      <c r="AM38" s="43"/>
      <c r="AN38" s="27"/>
      <c r="AO38" s="27"/>
      <c r="AP38" s="27"/>
      <c r="AQ38" s="27"/>
      <c r="AR38" s="27"/>
      <c r="AS38" s="27"/>
      <c r="AT38" s="27"/>
      <c r="AU38" s="27"/>
    </row>
    <row r="39" spans="1:47" ht="19.95" customHeight="1">
      <c r="A39" s="37"/>
      <c r="B39" s="37"/>
      <c r="C39" s="37"/>
      <c r="D39" s="8"/>
      <c r="E39" s="10"/>
      <c r="F39" s="8"/>
      <c r="G39" s="10"/>
      <c r="H39" s="40"/>
      <c r="I39" s="11"/>
      <c r="J39" s="8"/>
      <c r="K39" s="9"/>
      <c r="L39" s="9"/>
      <c r="M39" s="9"/>
      <c r="N39" s="32"/>
      <c r="O39" s="32"/>
      <c r="P39" s="32"/>
      <c r="Q39" s="32"/>
      <c r="R39" s="32"/>
      <c r="S39" s="32"/>
      <c r="T39" s="9"/>
      <c r="U39" s="8"/>
      <c r="V39" s="8"/>
      <c r="W39" s="8"/>
      <c r="X39" s="12"/>
      <c r="Y39" s="42"/>
      <c r="Z39" s="41"/>
      <c r="AA39" s="41"/>
      <c r="AB39" s="41"/>
      <c r="AC39" s="41"/>
      <c r="AD39" s="41"/>
      <c r="AE39" s="43"/>
      <c r="AF39" s="43"/>
      <c r="AG39" s="43"/>
      <c r="AH39" s="43"/>
      <c r="AI39" s="43"/>
      <c r="AJ39" s="43"/>
      <c r="AK39" s="43"/>
      <c r="AL39" s="43"/>
      <c r="AM39" s="43"/>
      <c r="AN39" s="27"/>
      <c r="AO39" s="27"/>
      <c r="AP39" s="27"/>
      <c r="AQ39" s="27"/>
      <c r="AR39" s="27"/>
      <c r="AS39" s="27"/>
      <c r="AT39" s="27"/>
      <c r="AU39" s="27"/>
    </row>
    <row r="40" spans="1:47" ht="19.95" customHeight="1">
      <c r="A40" s="37"/>
      <c r="B40" s="37"/>
      <c r="C40" s="37"/>
      <c r="D40" s="8"/>
      <c r="E40" s="10"/>
      <c r="F40" s="8"/>
      <c r="G40" s="10"/>
      <c r="H40" s="40"/>
      <c r="I40" s="11"/>
      <c r="J40" s="8"/>
      <c r="K40" s="9"/>
      <c r="L40" s="9"/>
      <c r="M40" s="9"/>
      <c r="N40" s="32"/>
      <c r="O40" s="32"/>
      <c r="P40" s="32"/>
      <c r="Q40" s="32"/>
      <c r="R40" s="32"/>
      <c r="S40" s="32"/>
      <c r="T40" s="9"/>
      <c r="U40" s="8"/>
      <c r="V40" s="8"/>
      <c r="W40" s="8"/>
      <c r="X40" s="12"/>
      <c r="Y40" s="42"/>
      <c r="Z40" s="41"/>
      <c r="AA40" s="41"/>
      <c r="AB40" s="41"/>
      <c r="AC40" s="41"/>
      <c r="AD40" s="41"/>
      <c r="AE40" s="43"/>
      <c r="AF40" s="43"/>
      <c r="AG40" s="43"/>
      <c r="AH40" s="43"/>
      <c r="AI40" s="43"/>
      <c r="AJ40" s="43"/>
      <c r="AK40" s="43"/>
      <c r="AL40" s="43"/>
      <c r="AM40" s="43"/>
      <c r="AN40" s="27"/>
      <c r="AO40" s="27"/>
      <c r="AP40" s="27"/>
      <c r="AQ40" s="27"/>
      <c r="AR40" s="27"/>
      <c r="AS40" s="27"/>
      <c r="AT40" s="27"/>
      <c r="AU40" s="27"/>
    </row>
    <row r="41" spans="1:47" ht="19.95" customHeight="1">
      <c r="A41" s="37"/>
      <c r="B41" s="37"/>
      <c r="C41" s="37"/>
      <c r="D41" s="8"/>
      <c r="E41" s="10"/>
      <c r="F41" s="8"/>
      <c r="G41" s="10"/>
      <c r="H41" s="40"/>
      <c r="I41" s="11"/>
      <c r="J41" s="8"/>
      <c r="K41" s="9"/>
      <c r="L41" s="9"/>
      <c r="M41" s="9"/>
      <c r="N41" s="32"/>
      <c r="O41" s="32"/>
      <c r="P41" s="32"/>
      <c r="Q41" s="32"/>
      <c r="R41" s="32"/>
      <c r="S41" s="32"/>
      <c r="T41" s="9"/>
      <c r="U41" s="8"/>
      <c r="V41" s="8"/>
      <c r="W41" s="8"/>
      <c r="X41" s="12"/>
      <c r="Y41" s="42"/>
      <c r="Z41" s="41"/>
      <c r="AA41" s="41"/>
      <c r="AB41" s="41"/>
      <c r="AC41" s="41"/>
      <c r="AD41" s="41"/>
      <c r="AE41" s="43"/>
      <c r="AF41" s="43"/>
      <c r="AG41" s="43"/>
      <c r="AH41" s="43"/>
      <c r="AI41" s="43"/>
      <c r="AJ41" s="43"/>
      <c r="AK41" s="43"/>
      <c r="AL41" s="43"/>
      <c r="AM41" s="43"/>
      <c r="AN41" s="27"/>
      <c r="AO41" s="27"/>
      <c r="AP41" s="27"/>
      <c r="AQ41" s="27"/>
      <c r="AR41" s="27"/>
      <c r="AS41" s="27"/>
      <c r="AT41" s="27"/>
      <c r="AU41" s="27"/>
    </row>
    <row r="42" spans="1:47" ht="19.95" customHeight="1">
      <c r="A42" s="37"/>
      <c r="B42" s="37"/>
      <c r="C42" s="37"/>
      <c r="D42" s="8"/>
      <c r="E42" s="10"/>
      <c r="F42" s="8"/>
      <c r="G42" s="10"/>
      <c r="H42" s="40"/>
      <c r="I42" s="11"/>
      <c r="J42" s="8"/>
      <c r="K42" s="9"/>
      <c r="L42" s="9"/>
      <c r="M42" s="9"/>
      <c r="N42" s="32"/>
      <c r="O42" s="32"/>
      <c r="P42" s="32"/>
      <c r="Q42" s="32"/>
      <c r="R42" s="32"/>
      <c r="S42" s="32"/>
      <c r="T42" s="9"/>
      <c r="U42" s="8"/>
      <c r="V42" s="8"/>
      <c r="W42" s="8"/>
      <c r="X42" s="12"/>
      <c r="Y42" s="42"/>
      <c r="Z42" s="41"/>
      <c r="AA42" s="41"/>
      <c r="AB42" s="41"/>
      <c r="AC42" s="41"/>
      <c r="AD42" s="41"/>
      <c r="AE42" s="43"/>
      <c r="AF42" s="43"/>
      <c r="AG42" s="43"/>
      <c r="AH42" s="43"/>
      <c r="AI42" s="43"/>
      <c r="AJ42" s="43"/>
      <c r="AK42" s="43"/>
      <c r="AL42" s="43"/>
      <c r="AM42" s="43"/>
      <c r="AN42" s="27"/>
      <c r="AO42" s="27"/>
      <c r="AP42" s="27"/>
      <c r="AQ42" s="27"/>
      <c r="AR42" s="27"/>
      <c r="AS42" s="27"/>
      <c r="AT42" s="27"/>
      <c r="AU42" s="27"/>
    </row>
    <row r="43" spans="1:47" ht="19.95" customHeight="1">
      <c r="A43" s="37"/>
      <c r="B43" s="37"/>
      <c r="C43" s="37"/>
      <c r="D43" s="8"/>
      <c r="E43" s="10"/>
      <c r="F43" s="8"/>
      <c r="G43" s="10"/>
      <c r="H43" s="40"/>
      <c r="I43" s="11"/>
      <c r="J43" s="8"/>
      <c r="K43" s="9"/>
      <c r="L43" s="9"/>
      <c r="M43" s="9"/>
      <c r="N43" s="32"/>
      <c r="O43" s="32"/>
      <c r="P43" s="32"/>
      <c r="Q43" s="32"/>
      <c r="R43" s="32"/>
      <c r="S43" s="32"/>
      <c r="T43" s="9"/>
      <c r="U43" s="8"/>
      <c r="V43" s="8"/>
      <c r="W43" s="8"/>
      <c r="X43" s="12"/>
      <c r="Y43" s="42"/>
      <c r="Z43" s="41"/>
      <c r="AA43" s="41"/>
      <c r="AB43" s="41"/>
      <c r="AC43" s="41"/>
      <c r="AD43" s="41"/>
      <c r="AE43" s="43"/>
      <c r="AF43" s="43"/>
      <c r="AG43" s="43"/>
      <c r="AH43" s="43"/>
      <c r="AI43" s="43"/>
      <c r="AJ43" s="43"/>
      <c r="AK43" s="43"/>
      <c r="AL43" s="43"/>
      <c r="AM43" s="43"/>
      <c r="AN43" s="27"/>
      <c r="AO43" s="27"/>
      <c r="AP43" s="27"/>
      <c r="AQ43" s="27"/>
      <c r="AR43" s="27"/>
      <c r="AS43" s="27"/>
      <c r="AT43" s="27"/>
      <c r="AU43" s="27"/>
    </row>
    <row r="44" spans="1:47" ht="19.95" customHeight="1">
      <c r="A44" s="37"/>
      <c r="B44" s="37"/>
      <c r="C44" s="37"/>
      <c r="D44" s="8"/>
      <c r="E44" s="10"/>
      <c r="F44" s="8"/>
      <c r="G44" s="10"/>
      <c r="H44" s="40"/>
      <c r="I44" s="11"/>
      <c r="J44" s="8"/>
      <c r="K44" s="9"/>
      <c r="L44" s="9"/>
      <c r="M44" s="9"/>
      <c r="N44" s="32"/>
      <c r="O44" s="32"/>
      <c r="P44" s="32"/>
      <c r="Q44" s="32"/>
      <c r="R44" s="32"/>
      <c r="S44" s="32"/>
      <c r="T44" s="9"/>
      <c r="U44" s="8"/>
      <c r="V44" s="8"/>
      <c r="W44" s="8"/>
      <c r="X44" s="12"/>
      <c r="Y44" s="42"/>
      <c r="Z44" s="41"/>
      <c r="AA44" s="41"/>
      <c r="AB44" s="41"/>
      <c r="AC44" s="41"/>
      <c r="AD44" s="41"/>
      <c r="AE44" s="43"/>
      <c r="AF44" s="43"/>
      <c r="AG44" s="43"/>
      <c r="AH44" s="43"/>
      <c r="AI44" s="43"/>
      <c r="AJ44" s="43"/>
      <c r="AK44" s="43"/>
      <c r="AL44" s="43"/>
      <c r="AM44" s="43"/>
      <c r="AN44" s="27"/>
      <c r="AO44" s="27"/>
      <c r="AP44" s="27"/>
      <c r="AQ44" s="27"/>
      <c r="AR44" s="27"/>
      <c r="AS44" s="27"/>
      <c r="AT44" s="27"/>
      <c r="AU44" s="27"/>
    </row>
    <row r="45" spans="1:47" ht="19.95" customHeight="1">
      <c r="A45" s="37"/>
      <c r="B45" s="37"/>
      <c r="C45" s="37"/>
      <c r="D45" s="8"/>
      <c r="E45" s="10"/>
      <c r="F45" s="8"/>
      <c r="G45" s="10"/>
      <c r="H45" s="40"/>
      <c r="I45" s="11"/>
      <c r="J45" s="8"/>
      <c r="K45" s="9"/>
      <c r="L45" s="9"/>
      <c r="M45" s="9"/>
      <c r="N45" s="32"/>
      <c r="O45" s="32"/>
      <c r="P45" s="32"/>
      <c r="Q45" s="32"/>
      <c r="R45" s="32"/>
      <c r="S45" s="32"/>
      <c r="T45" s="9"/>
      <c r="U45" s="8"/>
      <c r="V45" s="8"/>
      <c r="W45" s="8"/>
      <c r="X45" s="12"/>
      <c r="Y45" s="42"/>
      <c r="Z45" s="41"/>
      <c r="AA45" s="41"/>
      <c r="AB45" s="41"/>
      <c r="AC45" s="41"/>
      <c r="AD45" s="41"/>
      <c r="AE45" s="43"/>
      <c r="AF45" s="43"/>
      <c r="AG45" s="43"/>
      <c r="AH45" s="43"/>
      <c r="AI45" s="43"/>
      <c r="AJ45" s="43"/>
      <c r="AK45" s="43"/>
      <c r="AL45" s="43"/>
      <c r="AM45" s="43"/>
      <c r="AN45" s="27"/>
      <c r="AO45" s="27"/>
      <c r="AP45" s="27"/>
      <c r="AQ45" s="27"/>
      <c r="AR45" s="27"/>
      <c r="AS45" s="27"/>
      <c r="AT45" s="27"/>
      <c r="AU45" s="27"/>
    </row>
    <row r="46" spans="1:47" ht="19.95" customHeight="1">
      <c r="A46" s="37"/>
      <c r="B46" s="37"/>
      <c r="C46" s="37"/>
      <c r="D46" s="8"/>
      <c r="E46" s="10"/>
      <c r="F46" s="8"/>
      <c r="G46" s="10"/>
      <c r="H46" s="40"/>
      <c r="I46" s="11"/>
      <c r="J46" s="8"/>
      <c r="K46" s="9"/>
      <c r="L46" s="9"/>
      <c r="M46" s="9"/>
      <c r="N46" s="32"/>
      <c r="O46" s="32"/>
      <c r="P46" s="32"/>
      <c r="Q46" s="32"/>
      <c r="R46" s="32"/>
      <c r="S46" s="32"/>
      <c r="T46" s="9"/>
      <c r="U46" s="8"/>
      <c r="V46" s="8"/>
      <c r="W46" s="8"/>
      <c r="X46" s="12"/>
      <c r="Y46" s="42"/>
      <c r="Z46" s="41"/>
      <c r="AA46" s="41"/>
      <c r="AB46" s="41"/>
      <c r="AC46" s="41"/>
      <c r="AD46" s="41"/>
      <c r="AE46" s="43"/>
      <c r="AF46" s="43"/>
      <c r="AG46" s="43"/>
      <c r="AH46" s="43"/>
      <c r="AI46" s="43"/>
      <c r="AJ46" s="43"/>
      <c r="AK46" s="43"/>
      <c r="AL46" s="43"/>
      <c r="AM46" s="43"/>
      <c r="AN46" s="27"/>
      <c r="AO46" s="27"/>
      <c r="AP46" s="27"/>
      <c r="AQ46" s="27"/>
      <c r="AR46" s="27"/>
      <c r="AS46" s="27"/>
      <c r="AT46" s="27"/>
      <c r="AU46" s="27"/>
    </row>
    <row r="47" spans="1:47" ht="19.95" customHeight="1">
      <c r="A47" s="37"/>
      <c r="B47" s="37"/>
      <c r="C47" s="37"/>
      <c r="D47" s="8"/>
      <c r="E47" s="10"/>
      <c r="F47" s="8"/>
      <c r="G47" s="10"/>
      <c r="H47" s="40"/>
      <c r="I47" s="11"/>
      <c r="J47" s="8"/>
      <c r="K47" s="9"/>
      <c r="L47" s="9"/>
      <c r="M47" s="9"/>
      <c r="N47" s="32"/>
      <c r="O47" s="32"/>
      <c r="P47" s="32"/>
      <c r="Q47" s="32"/>
      <c r="R47" s="32"/>
      <c r="S47" s="32"/>
      <c r="T47" s="9"/>
      <c r="U47" s="8"/>
      <c r="V47" s="8"/>
      <c r="W47" s="8"/>
      <c r="X47" s="12"/>
      <c r="Y47" s="42"/>
      <c r="Z47" s="41"/>
      <c r="AA47" s="41"/>
      <c r="AB47" s="41"/>
      <c r="AC47" s="41"/>
      <c r="AD47" s="41"/>
      <c r="AE47" s="43"/>
      <c r="AF47" s="43"/>
      <c r="AG47" s="43"/>
      <c r="AH47" s="43"/>
      <c r="AI47" s="43"/>
      <c r="AJ47" s="43"/>
      <c r="AK47" s="43"/>
      <c r="AL47" s="43"/>
      <c r="AM47" s="43"/>
      <c r="AN47" s="27"/>
      <c r="AO47" s="27"/>
      <c r="AP47" s="27"/>
      <c r="AQ47" s="27"/>
      <c r="AR47" s="27"/>
      <c r="AS47" s="27"/>
      <c r="AT47" s="27"/>
      <c r="AU47" s="27"/>
    </row>
    <row r="48" spans="1:47" ht="19.95" customHeight="1">
      <c r="A48" s="37"/>
      <c r="B48" s="37"/>
      <c r="C48" s="37"/>
      <c r="D48" s="8"/>
      <c r="E48" s="10"/>
      <c r="F48" s="8"/>
      <c r="G48" s="10"/>
      <c r="H48" s="40"/>
      <c r="I48" s="11"/>
      <c r="J48" s="8"/>
      <c r="K48" s="9"/>
      <c r="L48" s="9"/>
      <c r="M48" s="9"/>
      <c r="N48" s="32"/>
      <c r="O48" s="32"/>
      <c r="P48" s="32"/>
      <c r="Q48" s="32"/>
      <c r="R48" s="32"/>
      <c r="S48" s="32"/>
      <c r="T48" s="9"/>
      <c r="U48" s="8"/>
      <c r="V48" s="8"/>
      <c r="W48" s="8"/>
      <c r="X48" s="12"/>
      <c r="Y48" s="42"/>
      <c r="Z48" s="41"/>
      <c r="AA48" s="41"/>
      <c r="AB48" s="41"/>
      <c r="AC48" s="41"/>
      <c r="AD48" s="41"/>
      <c r="AE48" s="43"/>
      <c r="AF48" s="43"/>
      <c r="AG48" s="43"/>
      <c r="AH48" s="43"/>
      <c r="AI48" s="43"/>
      <c r="AJ48" s="43"/>
      <c r="AK48" s="43"/>
      <c r="AL48" s="43"/>
      <c r="AM48" s="43"/>
      <c r="AN48" s="27"/>
      <c r="AO48" s="27"/>
      <c r="AP48" s="27"/>
      <c r="AQ48" s="27"/>
      <c r="AR48" s="27"/>
      <c r="AS48" s="27"/>
      <c r="AT48" s="27"/>
      <c r="AU48" s="27"/>
    </row>
    <row r="49" spans="1:47" ht="19.95" customHeight="1">
      <c r="A49" s="37"/>
      <c r="B49" s="37"/>
      <c r="C49" s="37"/>
      <c r="D49" s="8"/>
      <c r="E49" s="10"/>
      <c r="F49" s="8"/>
      <c r="G49" s="10"/>
      <c r="H49" s="40"/>
      <c r="I49" s="11"/>
      <c r="J49" s="8"/>
      <c r="K49" s="9"/>
      <c r="L49" s="9"/>
      <c r="M49" s="9"/>
      <c r="N49" s="32"/>
      <c r="O49" s="32"/>
      <c r="P49" s="32"/>
      <c r="Q49" s="32"/>
      <c r="R49" s="32"/>
      <c r="S49" s="32"/>
      <c r="T49" s="9"/>
      <c r="U49" s="8"/>
      <c r="V49" s="8"/>
      <c r="W49" s="8"/>
      <c r="X49" s="12"/>
      <c r="Y49" s="42"/>
      <c r="Z49" s="41"/>
      <c r="AA49" s="41"/>
      <c r="AB49" s="41"/>
      <c r="AC49" s="41"/>
      <c r="AD49" s="41"/>
      <c r="AE49" s="43"/>
      <c r="AF49" s="43"/>
      <c r="AG49" s="43"/>
      <c r="AH49" s="43"/>
      <c r="AI49" s="43"/>
      <c r="AJ49" s="43"/>
      <c r="AK49" s="43"/>
      <c r="AL49" s="43"/>
      <c r="AM49" s="43"/>
      <c r="AN49" s="27"/>
      <c r="AO49" s="27"/>
      <c r="AP49" s="27"/>
      <c r="AQ49" s="27"/>
      <c r="AR49" s="27"/>
      <c r="AS49" s="27"/>
      <c r="AT49" s="27"/>
      <c r="AU49" s="27"/>
    </row>
    <row r="50" spans="1:47" ht="19.95" customHeight="1">
      <c r="A50" s="37"/>
      <c r="B50" s="37"/>
      <c r="C50" s="37"/>
      <c r="D50" s="8"/>
      <c r="E50" s="10"/>
      <c r="F50" s="8"/>
      <c r="G50" s="10"/>
      <c r="H50" s="40"/>
      <c r="I50" s="11"/>
      <c r="J50" s="8"/>
      <c r="K50" s="9"/>
      <c r="L50" s="9"/>
      <c r="M50" s="9"/>
      <c r="N50" s="32"/>
      <c r="O50" s="32"/>
      <c r="P50" s="32"/>
      <c r="Q50" s="32"/>
      <c r="R50" s="32"/>
      <c r="S50" s="32"/>
      <c r="T50" s="9"/>
      <c r="U50" s="8"/>
      <c r="V50" s="8"/>
      <c r="W50" s="8"/>
      <c r="X50" s="12"/>
      <c r="Y50" s="42"/>
      <c r="Z50" s="41"/>
      <c r="AA50" s="41"/>
      <c r="AB50" s="41"/>
      <c r="AC50" s="41"/>
      <c r="AD50" s="41"/>
      <c r="AE50" s="43"/>
      <c r="AF50" s="43"/>
      <c r="AG50" s="43"/>
      <c r="AH50" s="43"/>
      <c r="AI50" s="43"/>
      <c r="AJ50" s="43"/>
      <c r="AK50" s="43"/>
      <c r="AL50" s="43"/>
      <c r="AM50" s="43"/>
      <c r="AN50" s="27"/>
      <c r="AO50" s="27"/>
      <c r="AP50" s="27"/>
      <c r="AQ50" s="27"/>
      <c r="AR50" s="27"/>
      <c r="AS50" s="27"/>
      <c r="AT50" s="27"/>
      <c r="AU50" s="27"/>
    </row>
    <row r="51" spans="1:47" ht="19.95" customHeight="1">
      <c r="A51" s="37"/>
      <c r="B51" s="37"/>
      <c r="C51" s="37"/>
      <c r="D51" s="8"/>
      <c r="E51" s="10"/>
      <c r="F51" s="8"/>
      <c r="G51" s="10"/>
      <c r="H51" s="40"/>
      <c r="I51" s="11"/>
      <c r="J51" s="8"/>
      <c r="K51" s="9"/>
      <c r="L51" s="9"/>
      <c r="M51" s="9"/>
      <c r="N51" s="32"/>
      <c r="O51" s="32"/>
      <c r="P51" s="32"/>
      <c r="Q51" s="32"/>
      <c r="R51" s="32"/>
      <c r="S51" s="32"/>
      <c r="T51" s="9"/>
      <c r="U51" s="8"/>
      <c r="V51" s="8"/>
      <c r="W51" s="8"/>
      <c r="X51" s="12"/>
      <c r="Y51" s="42"/>
      <c r="Z51" s="41"/>
      <c r="AA51" s="41"/>
      <c r="AB51" s="41"/>
      <c r="AC51" s="41"/>
      <c r="AD51" s="41"/>
      <c r="AE51" s="43"/>
      <c r="AF51" s="43"/>
      <c r="AG51" s="43"/>
      <c r="AH51" s="43"/>
      <c r="AI51" s="43"/>
      <c r="AJ51" s="43"/>
      <c r="AK51" s="43"/>
      <c r="AL51" s="43"/>
      <c r="AM51" s="43"/>
      <c r="AN51" s="27"/>
      <c r="AO51" s="27"/>
      <c r="AP51" s="27"/>
      <c r="AQ51" s="27"/>
      <c r="AR51" s="27"/>
      <c r="AS51" s="27"/>
      <c r="AT51" s="27"/>
      <c r="AU51" s="27"/>
    </row>
    <row r="52" spans="1:47" ht="19.95" customHeight="1">
      <c r="A52" s="37"/>
      <c r="B52" s="37"/>
      <c r="C52" s="37"/>
      <c r="D52" s="8"/>
      <c r="E52" s="10"/>
      <c r="F52" s="8"/>
      <c r="G52" s="10"/>
      <c r="H52" s="40"/>
      <c r="I52" s="11"/>
      <c r="J52" s="8"/>
      <c r="K52" s="9"/>
      <c r="L52" s="9"/>
      <c r="M52" s="9"/>
      <c r="N52" s="32"/>
      <c r="O52" s="32"/>
      <c r="P52" s="32"/>
      <c r="Q52" s="32"/>
      <c r="R52" s="32"/>
      <c r="S52" s="32"/>
      <c r="T52" s="9"/>
      <c r="U52" s="8"/>
      <c r="V52" s="8"/>
      <c r="W52" s="8"/>
      <c r="X52" s="12"/>
      <c r="Y52" s="42"/>
      <c r="Z52" s="41"/>
      <c r="AA52" s="41"/>
      <c r="AB52" s="41"/>
      <c r="AC52" s="41"/>
      <c r="AD52" s="41"/>
      <c r="AE52" s="43"/>
      <c r="AF52" s="43"/>
      <c r="AG52" s="43"/>
      <c r="AH52" s="43"/>
      <c r="AI52" s="43"/>
      <c r="AJ52" s="43"/>
      <c r="AK52" s="43"/>
      <c r="AL52" s="43"/>
      <c r="AM52" s="43"/>
      <c r="AN52" s="27"/>
      <c r="AO52" s="27"/>
      <c r="AP52" s="27"/>
      <c r="AQ52" s="27"/>
      <c r="AR52" s="27"/>
      <c r="AS52" s="27"/>
      <c r="AT52" s="27"/>
      <c r="AU52" s="27"/>
    </row>
    <row r="53" spans="1:47" ht="19.95" customHeight="1">
      <c r="A53" s="37"/>
      <c r="B53" s="37"/>
      <c r="C53" s="37"/>
      <c r="D53" s="8"/>
      <c r="E53" s="10"/>
      <c r="F53" s="8"/>
      <c r="G53" s="10"/>
      <c r="H53" s="40"/>
      <c r="I53" s="11"/>
      <c r="J53" s="8"/>
      <c r="K53" s="9"/>
      <c r="L53" s="9"/>
      <c r="M53" s="9"/>
      <c r="N53" s="32"/>
      <c r="O53" s="32"/>
      <c r="P53" s="32"/>
      <c r="Q53" s="32"/>
      <c r="R53" s="32"/>
      <c r="S53" s="32"/>
      <c r="T53" s="9"/>
      <c r="U53" s="8"/>
      <c r="V53" s="8"/>
      <c r="W53" s="8"/>
      <c r="X53" s="12"/>
      <c r="Y53" s="42"/>
      <c r="Z53" s="41"/>
      <c r="AA53" s="41"/>
      <c r="AB53" s="41"/>
      <c r="AC53" s="41"/>
      <c r="AD53" s="41"/>
      <c r="AE53" s="43"/>
      <c r="AF53" s="43"/>
      <c r="AG53" s="43"/>
      <c r="AH53" s="43"/>
      <c r="AI53" s="43"/>
      <c r="AJ53" s="43"/>
      <c r="AK53" s="43"/>
      <c r="AL53" s="43"/>
      <c r="AM53" s="43"/>
      <c r="AN53" s="27"/>
      <c r="AO53" s="27"/>
      <c r="AP53" s="27"/>
      <c r="AQ53" s="27"/>
      <c r="AR53" s="27"/>
      <c r="AS53" s="27"/>
      <c r="AT53" s="27"/>
      <c r="AU53" s="27"/>
    </row>
    <row r="54" spans="1:47" ht="19.95" customHeight="1">
      <c r="A54" s="37"/>
      <c r="B54" s="37"/>
      <c r="C54" s="37"/>
      <c r="D54" s="8"/>
      <c r="E54" s="10"/>
      <c r="F54" s="8"/>
      <c r="G54" s="10"/>
      <c r="H54" s="40"/>
      <c r="I54" s="11"/>
      <c r="J54" s="8"/>
      <c r="K54" s="9"/>
      <c r="L54" s="9"/>
      <c r="M54" s="9"/>
      <c r="N54" s="32"/>
      <c r="O54" s="32"/>
      <c r="P54" s="32"/>
      <c r="Q54" s="32"/>
      <c r="R54" s="32"/>
      <c r="S54" s="32"/>
      <c r="T54" s="9"/>
      <c r="U54" s="8"/>
      <c r="V54" s="8"/>
      <c r="W54" s="8"/>
      <c r="X54" s="12"/>
      <c r="Y54" s="42"/>
      <c r="Z54" s="41"/>
      <c r="AA54" s="41"/>
      <c r="AB54" s="41"/>
      <c r="AC54" s="41"/>
      <c r="AD54" s="41"/>
      <c r="AE54" s="43"/>
      <c r="AF54" s="43"/>
      <c r="AG54" s="43"/>
      <c r="AH54" s="43"/>
      <c r="AI54" s="43"/>
      <c r="AJ54" s="43"/>
      <c r="AK54" s="43"/>
      <c r="AL54" s="43"/>
      <c r="AM54" s="43"/>
      <c r="AN54" s="27"/>
      <c r="AO54" s="27"/>
      <c r="AP54" s="27"/>
      <c r="AQ54" s="27"/>
      <c r="AR54" s="27"/>
      <c r="AS54" s="27"/>
      <c r="AT54" s="27"/>
      <c r="AU54" s="27"/>
    </row>
    <row r="55" spans="1:47" ht="19.95" customHeight="1">
      <c r="A55" s="37"/>
      <c r="B55" s="37"/>
      <c r="C55" s="37"/>
      <c r="D55" s="8"/>
      <c r="E55" s="10"/>
      <c r="F55" s="8"/>
      <c r="G55" s="10"/>
      <c r="H55" s="40"/>
      <c r="I55" s="11"/>
      <c r="J55" s="8"/>
      <c r="K55" s="9"/>
      <c r="L55" s="9"/>
      <c r="M55" s="9"/>
      <c r="N55" s="32"/>
      <c r="O55" s="32"/>
      <c r="P55" s="32"/>
      <c r="Q55" s="32"/>
      <c r="R55" s="32"/>
      <c r="S55" s="32"/>
      <c r="T55" s="9"/>
      <c r="U55" s="8"/>
      <c r="V55" s="8"/>
      <c r="W55" s="8"/>
      <c r="X55" s="12"/>
      <c r="Y55" s="42"/>
      <c r="Z55" s="41"/>
      <c r="AA55" s="41"/>
      <c r="AB55" s="41"/>
      <c r="AC55" s="41"/>
      <c r="AD55" s="41"/>
      <c r="AE55" s="43"/>
      <c r="AF55" s="43"/>
      <c r="AG55" s="43"/>
      <c r="AH55" s="43"/>
      <c r="AI55" s="43"/>
      <c r="AJ55" s="43"/>
      <c r="AK55" s="43"/>
      <c r="AL55" s="43"/>
      <c r="AM55" s="43"/>
      <c r="AN55" s="27"/>
      <c r="AO55" s="27"/>
      <c r="AP55" s="27"/>
      <c r="AQ55" s="27"/>
      <c r="AR55" s="27"/>
      <c r="AS55" s="27"/>
      <c r="AT55" s="27"/>
      <c r="AU55" s="27"/>
    </row>
    <row r="56" spans="1:47" ht="19.95" customHeight="1">
      <c r="A56" s="37"/>
      <c r="B56" s="37"/>
      <c r="C56" s="37"/>
      <c r="D56" s="8"/>
      <c r="E56" s="10"/>
      <c r="F56" s="8"/>
      <c r="G56" s="10"/>
      <c r="H56" s="40"/>
      <c r="I56" s="11"/>
      <c r="J56" s="8"/>
      <c r="K56" s="9"/>
      <c r="L56" s="9"/>
      <c r="M56" s="9"/>
      <c r="N56" s="32"/>
      <c r="O56" s="32"/>
      <c r="P56" s="32"/>
      <c r="Q56" s="32"/>
      <c r="R56" s="32"/>
      <c r="S56" s="32"/>
      <c r="T56" s="9"/>
      <c r="U56" s="8"/>
      <c r="V56" s="8"/>
      <c r="W56" s="8"/>
      <c r="X56" s="12"/>
      <c r="Y56" s="42"/>
      <c r="Z56" s="41"/>
      <c r="AA56" s="41"/>
      <c r="AB56" s="41"/>
      <c r="AC56" s="41"/>
      <c r="AD56" s="41"/>
      <c r="AE56" s="43"/>
      <c r="AF56" s="43"/>
      <c r="AG56" s="43"/>
      <c r="AH56" s="43"/>
      <c r="AI56" s="43"/>
      <c r="AJ56" s="43"/>
      <c r="AK56" s="43"/>
      <c r="AL56" s="43"/>
      <c r="AM56" s="43"/>
      <c r="AN56" s="27"/>
      <c r="AO56" s="27"/>
      <c r="AP56" s="27"/>
      <c r="AQ56" s="27"/>
      <c r="AR56" s="27"/>
      <c r="AS56" s="27"/>
      <c r="AT56" s="27"/>
      <c r="AU56" s="27"/>
    </row>
    <row r="57" spans="1:47" ht="19.95" customHeight="1">
      <c r="A57" s="37"/>
      <c r="B57" s="37"/>
      <c r="C57" s="37"/>
      <c r="D57" s="8"/>
      <c r="E57" s="10"/>
      <c r="F57" s="8"/>
      <c r="G57" s="10"/>
      <c r="H57" s="40"/>
      <c r="I57" s="11"/>
      <c r="J57" s="8"/>
      <c r="K57" s="9"/>
      <c r="L57" s="9"/>
      <c r="M57" s="9"/>
      <c r="N57" s="32"/>
      <c r="O57" s="32"/>
      <c r="P57" s="32"/>
      <c r="Q57" s="32"/>
      <c r="R57" s="32"/>
      <c r="S57" s="32"/>
      <c r="T57" s="9"/>
      <c r="U57" s="8"/>
      <c r="V57" s="8"/>
      <c r="W57" s="8"/>
      <c r="X57" s="12"/>
      <c r="Y57" s="42"/>
      <c r="Z57" s="41"/>
      <c r="AA57" s="41"/>
      <c r="AB57" s="41"/>
      <c r="AC57" s="41"/>
      <c r="AD57" s="41"/>
      <c r="AE57" s="43"/>
      <c r="AF57" s="43"/>
      <c r="AG57" s="43"/>
      <c r="AH57" s="43"/>
      <c r="AI57" s="43"/>
      <c r="AJ57" s="43"/>
      <c r="AK57" s="43"/>
      <c r="AL57" s="43"/>
      <c r="AM57" s="43"/>
      <c r="AN57" s="27"/>
      <c r="AO57" s="27"/>
      <c r="AP57" s="27"/>
      <c r="AQ57" s="27"/>
      <c r="AR57" s="27"/>
      <c r="AS57" s="27"/>
      <c r="AT57" s="27"/>
      <c r="AU57" s="27"/>
    </row>
    <row r="58" spans="1:47" ht="19.95" customHeight="1">
      <c r="A58" s="37"/>
      <c r="B58" s="37"/>
      <c r="C58" s="37"/>
      <c r="D58" s="8"/>
      <c r="E58" s="10"/>
      <c r="F58" s="8"/>
      <c r="G58" s="10"/>
      <c r="H58" s="40"/>
      <c r="I58" s="11"/>
      <c r="J58" s="8"/>
      <c r="K58" s="9"/>
      <c r="L58" s="9"/>
      <c r="M58" s="9"/>
      <c r="N58" s="32"/>
      <c r="O58" s="32"/>
      <c r="P58" s="32"/>
      <c r="Q58" s="32"/>
      <c r="R58" s="32"/>
      <c r="S58" s="32"/>
      <c r="T58" s="9"/>
      <c r="U58" s="8"/>
      <c r="V58" s="8"/>
      <c r="W58" s="8"/>
      <c r="X58" s="12"/>
      <c r="Y58" s="42"/>
      <c r="Z58" s="41"/>
      <c r="AA58" s="41"/>
      <c r="AB58" s="41"/>
      <c r="AC58" s="41"/>
      <c r="AD58" s="41"/>
      <c r="AE58" s="43"/>
      <c r="AF58" s="43"/>
      <c r="AG58" s="43"/>
      <c r="AH58" s="43"/>
      <c r="AI58" s="43"/>
      <c r="AJ58" s="43"/>
      <c r="AK58" s="43"/>
      <c r="AL58" s="43"/>
      <c r="AM58" s="43"/>
      <c r="AN58" s="27"/>
      <c r="AO58" s="27"/>
      <c r="AP58" s="27"/>
      <c r="AQ58" s="27"/>
      <c r="AR58" s="27"/>
      <c r="AS58" s="27"/>
      <c r="AT58" s="27"/>
      <c r="AU58" s="27"/>
    </row>
    <row r="59" spans="1:47" ht="19.95" customHeight="1">
      <c r="A59" s="37"/>
      <c r="B59" s="37"/>
      <c r="C59" s="37"/>
      <c r="D59" s="8"/>
      <c r="E59" s="10"/>
      <c r="F59" s="8"/>
      <c r="G59" s="10"/>
      <c r="H59" s="40"/>
      <c r="I59" s="11"/>
      <c r="J59" s="8"/>
      <c r="K59" s="9"/>
      <c r="L59" s="9"/>
      <c r="M59" s="9"/>
      <c r="N59" s="32"/>
      <c r="O59" s="32"/>
      <c r="P59" s="32"/>
      <c r="Q59" s="32"/>
      <c r="R59" s="32"/>
      <c r="S59" s="32"/>
      <c r="T59" s="9"/>
      <c r="U59" s="8"/>
      <c r="V59" s="8"/>
      <c r="W59" s="8"/>
      <c r="X59" s="12"/>
      <c r="Y59" s="42"/>
      <c r="Z59" s="41"/>
      <c r="AA59" s="41"/>
      <c r="AB59" s="41"/>
      <c r="AC59" s="41"/>
      <c r="AD59" s="41"/>
      <c r="AE59" s="43"/>
      <c r="AF59" s="43"/>
      <c r="AG59" s="43"/>
      <c r="AH59" s="43"/>
      <c r="AI59" s="43"/>
      <c r="AJ59" s="43"/>
      <c r="AK59" s="43"/>
      <c r="AL59" s="43"/>
      <c r="AM59" s="43"/>
      <c r="AN59" s="27"/>
      <c r="AO59" s="27"/>
      <c r="AP59" s="27"/>
      <c r="AQ59" s="27"/>
      <c r="AR59" s="27"/>
      <c r="AS59" s="27"/>
      <c r="AT59" s="27"/>
      <c r="AU59" s="27"/>
    </row>
    <row r="60" spans="1:47" ht="19.95" customHeight="1">
      <c r="A60" s="37"/>
      <c r="B60" s="37"/>
      <c r="C60" s="37"/>
      <c r="D60" s="8"/>
      <c r="E60" s="10"/>
      <c r="F60" s="8"/>
      <c r="G60" s="10"/>
      <c r="H60" s="40"/>
      <c r="I60" s="11"/>
      <c r="J60" s="8"/>
      <c r="K60" s="9"/>
      <c r="L60" s="9"/>
      <c r="M60" s="9"/>
      <c r="N60" s="32"/>
      <c r="O60" s="32"/>
      <c r="P60" s="32"/>
      <c r="Q60" s="32"/>
      <c r="R60" s="32"/>
      <c r="S60" s="32"/>
      <c r="T60" s="9"/>
      <c r="U60" s="8"/>
      <c r="V60" s="8"/>
      <c r="W60" s="8"/>
      <c r="X60" s="12"/>
      <c r="Y60" s="42"/>
      <c r="Z60" s="41"/>
      <c r="AA60" s="41"/>
      <c r="AB60" s="41"/>
      <c r="AC60" s="41"/>
      <c r="AD60" s="41"/>
      <c r="AE60" s="43"/>
      <c r="AF60" s="43"/>
      <c r="AG60" s="43"/>
      <c r="AH60" s="43"/>
      <c r="AI60" s="43"/>
      <c r="AJ60" s="43"/>
      <c r="AK60" s="43"/>
      <c r="AL60" s="43"/>
      <c r="AM60" s="43"/>
      <c r="AN60" s="27"/>
      <c r="AO60" s="27"/>
      <c r="AP60" s="27"/>
      <c r="AQ60" s="27"/>
      <c r="AR60" s="27"/>
      <c r="AS60" s="27"/>
      <c r="AT60" s="27"/>
      <c r="AU60" s="27"/>
    </row>
    <row r="61" spans="1:47" ht="19.95" customHeight="1">
      <c r="A61" s="37"/>
      <c r="B61" s="37"/>
      <c r="C61" s="37"/>
      <c r="D61" s="8"/>
      <c r="E61" s="10"/>
      <c r="F61" s="8"/>
      <c r="G61" s="10"/>
      <c r="H61" s="40"/>
      <c r="I61" s="11"/>
      <c r="J61" s="8"/>
      <c r="K61" s="9"/>
      <c r="L61" s="9"/>
      <c r="M61" s="9"/>
      <c r="N61" s="32"/>
      <c r="O61" s="32"/>
      <c r="P61" s="32"/>
      <c r="Q61" s="32"/>
      <c r="R61" s="32"/>
      <c r="S61" s="32"/>
      <c r="T61" s="9"/>
      <c r="U61" s="8"/>
      <c r="V61" s="8"/>
      <c r="W61" s="8"/>
      <c r="X61" s="12"/>
      <c r="Y61" s="42"/>
      <c r="Z61" s="41"/>
      <c r="AA61" s="41"/>
      <c r="AB61" s="41"/>
      <c r="AC61" s="41"/>
      <c r="AD61" s="41"/>
      <c r="AE61" s="43"/>
      <c r="AF61" s="43"/>
      <c r="AG61" s="43"/>
      <c r="AH61" s="43"/>
      <c r="AI61" s="43"/>
      <c r="AJ61" s="43"/>
      <c r="AK61" s="43"/>
      <c r="AL61" s="43"/>
      <c r="AM61" s="43"/>
      <c r="AN61" s="27"/>
      <c r="AO61" s="27"/>
      <c r="AP61" s="27"/>
      <c r="AQ61" s="27"/>
      <c r="AR61" s="27"/>
      <c r="AS61" s="27"/>
      <c r="AT61" s="27"/>
      <c r="AU61" s="27"/>
    </row>
    <row r="62" spans="1:47" ht="19.95" customHeight="1">
      <c r="A62" s="37"/>
      <c r="B62" s="37"/>
      <c r="C62" s="37"/>
      <c r="D62" s="8"/>
      <c r="E62" s="10"/>
      <c r="F62" s="8"/>
      <c r="G62" s="10"/>
      <c r="H62" s="40"/>
      <c r="I62" s="11"/>
      <c r="J62" s="8"/>
      <c r="K62" s="9"/>
      <c r="L62" s="9"/>
      <c r="M62" s="9"/>
      <c r="N62" s="32"/>
      <c r="O62" s="32"/>
      <c r="P62" s="32"/>
      <c r="Q62" s="32"/>
      <c r="R62" s="32"/>
      <c r="S62" s="32"/>
      <c r="T62" s="9"/>
      <c r="U62" s="8"/>
      <c r="V62" s="8"/>
      <c r="W62" s="8"/>
      <c r="X62" s="12"/>
      <c r="Y62" s="42"/>
      <c r="Z62" s="41"/>
      <c r="AA62" s="41"/>
      <c r="AB62" s="41"/>
      <c r="AC62" s="41"/>
      <c r="AD62" s="41"/>
      <c r="AE62" s="43"/>
      <c r="AF62" s="43"/>
      <c r="AG62" s="43"/>
      <c r="AH62" s="43"/>
      <c r="AI62" s="43"/>
      <c r="AJ62" s="43"/>
      <c r="AK62" s="43"/>
      <c r="AL62" s="43"/>
      <c r="AM62" s="43"/>
      <c r="AN62" s="27"/>
      <c r="AO62" s="27"/>
      <c r="AP62" s="27"/>
      <c r="AQ62" s="27"/>
      <c r="AR62" s="27"/>
      <c r="AS62" s="27"/>
      <c r="AT62" s="27"/>
      <c r="AU62" s="27"/>
    </row>
    <row r="63" spans="1:47" ht="19.95" customHeight="1">
      <c r="A63" s="37"/>
      <c r="B63" s="37"/>
      <c r="C63" s="37"/>
      <c r="D63" s="8"/>
      <c r="E63" s="10"/>
      <c r="F63" s="8"/>
      <c r="G63" s="10"/>
      <c r="H63" s="40"/>
      <c r="I63" s="11"/>
      <c r="J63" s="8"/>
      <c r="K63" s="9"/>
      <c r="L63" s="9"/>
      <c r="M63" s="9"/>
      <c r="N63" s="32"/>
      <c r="O63" s="32"/>
      <c r="P63" s="32"/>
      <c r="Q63" s="32"/>
      <c r="R63" s="32"/>
      <c r="S63" s="32"/>
      <c r="T63" s="9"/>
      <c r="U63" s="8"/>
      <c r="V63" s="8"/>
      <c r="W63" s="8"/>
      <c r="X63" s="12"/>
      <c r="Y63" s="42"/>
      <c r="Z63" s="41"/>
      <c r="AA63" s="41"/>
      <c r="AB63" s="41"/>
      <c r="AC63" s="41"/>
      <c r="AD63" s="41"/>
      <c r="AE63" s="43"/>
      <c r="AF63" s="43"/>
      <c r="AG63" s="43"/>
      <c r="AH63" s="43"/>
      <c r="AI63" s="43"/>
      <c r="AJ63" s="43"/>
      <c r="AK63" s="43"/>
      <c r="AL63" s="43"/>
      <c r="AM63" s="43"/>
      <c r="AN63" s="27"/>
      <c r="AO63" s="27"/>
      <c r="AP63" s="27"/>
      <c r="AQ63" s="27"/>
      <c r="AR63" s="27"/>
      <c r="AS63" s="27"/>
      <c r="AT63" s="27"/>
      <c r="AU63" s="27"/>
    </row>
    <row r="64" spans="1:47" ht="19.95" customHeight="1">
      <c r="A64" s="37"/>
      <c r="B64" s="37"/>
      <c r="C64" s="37"/>
      <c r="D64" s="8"/>
      <c r="E64" s="10"/>
      <c r="F64" s="8"/>
      <c r="G64" s="10"/>
      <c r="H64" s="40"/>
      <c r="I64" s="11"/>
      <c r="J64" s="8"/>
      <c r="K64" s="9"/>
      <c r="L64" s="9"/>
      <c r="M64" s="9"/>
      <c r="N64" s="32"/>
      <c r="O64" s="32"/>
      <c r="P64" s="32"/>
      <c r="Q64" s="32"/>
      <c r="R64" s="32"/>
      <c r="S64" s="32"/>
      <c r="T64" s="9"/>
      <c r="U64" s="8"/>
      <c r="V64" s="8"/>
      <c r="W64" s="8"/>
      <c r="X64" s="12"/>
      <c r="Y64" s="42"/>
      <c r="Z64" s="41"/>
      <c r="AA64" s="41"/>
      <c r="AB64" s="41"/>
      <c r="AC64" s="41"/>
      <c r="AD64" s="41"/>
      <c r="AE64" s="43"/>
      <c r="AF64" s="43"/>
      <c r="AG64" s="43"/>
      <c r="AH64" s="43"/>
      <c r="AI64" s="43"/>
      <c r="AJ64" s="43"/>
      <c r="AK64" s="43"/>
      <c r="AL64" s="43"/>
      <c r="AM64" s="43"/>
      <c r="AN64" s="27"/>
      <c r="AO64" s="27"/>
      <c r="AP64" s="27"/>
      <c r="AQ64" s="27"/>
      <c r="AR64" s="27"/>
      <c r="AS64" s="27"/>
      <c r="AT64" s="27"/>
      <c r="AU64" s="27"/>
    </row>
    <row r="65" spans="1:47" ht="19.95" customHeight="1">
      <c r="A65" s="37"/>
      <c r="B65" s="37"/>
      <c r="C65" s="37"/>
      <c r="D65" s="8"/>
      <c r="E65" s="10"/>
      <c r="F65" s="8"/>
      <c r="G65" s="10"/>
      <c r="H65" s="40"/>
      <c r="I65" s="11"/>
      <c r="J65" s="8"/>
      <c r="K65" s="9"/>
      <c r="L65" s="9"/>
      <c r="M65" s="9"/>
      <c r="N65" s="32"/>
      <c r="O65" s="32"/>
      <c r="P65" s="32"/>
      <c r="Q65" s="32"/>
      <c r="R65" s="32"/>
      <c r="S65" s="32"/>
      <c r="T65" s="9"/>
      <c r="U65" s="8"/>
      <c r="V65" s="8"/>
      <c r="W65" s="8"/>
      <c r="X65" s="12"/>
      <c r="Y65" s="42"/>
      <c r="Z65" s="41"/>
      <c r="AA65" s="41"/>
      <c r="AB65" s="41"/>
      <c r="AC65" s="41"/>
      <c r="AD65" s="41"/>
      <c r="AE65" s="43"/>
      <c r="AF65" s="43"/>
      <c r="AG65" s="43"/>
      <c r="AH65" s="43"/>
      <c r="AI65" s="43"/>
      <c r="AJ65" s="43"/>
      <c r="AK65" s="43"/>
      <c r="AL65" s="43"/>
      <c r="AM65" s="43"/>
      <c r="AN65" s="27"/>
      <c r="AO65" s="27"/>
      <c r="AP65" s="27"/>
      <c r="AQ65" s="27"/>
      <c r="AR65" s="27"/>
      <c r="AS65" s="27"/>
      <c r="AT65" s="27"/>
      <c r="AU65" s="27"/>
    </row>
    <row r="66" spans="1:47" ht="19.95" customHeight="1">
      <c r="A66" s="37"/>
      <c r="B66" s="37"/>
      <c r="C66" s="37"/>
      <c r="D66" s="8"/>
      <c r="E66" s="10"/>
      <c r="F66" s="8"/>
      <c r="G66" s="10"/>
      <c r="H66" s="40"/>
      <c r="I66" s="11"/>
      <c r="J66" s="8"/>
      <c r="K66" s="9"/>
      <c r="L66" s="9"/>
      <c r="M66" s="9"/>
      <c r="N66" s="32"/>
      <c r="O66" s="32"/>
      <c r="P66" s="32"/>
      <c r="Q66" s="32"/>
      <c r="R66" s="32"/>
      <c r="S66" s="32"/>
      <c r="T66" s="9"/>
      <c r="U66" s="8"/>
      <c r="V66" s="8"/>
      <c r="W66" s="8"/>
      <c r="X66" s="12"/>
      <c r="Y66" s="42"/>
      <c r="Z66" s="41"/>
      <c r="AA66" s="41"/>
      <c r="AB66" s="41"/>
      <c r="AC66" s="41"/>
      <c r="AD66" s="41"/>
      <c r="AE66" s="43"/>
      <c r="AF66" s="43"/>
      <c r="AG66" s="43"/>
      <c r="AH66" s="43"/>
      <c r="AI66" s="43"/>
      <c r="AJ66" s="43"/>
      <c r="AK66" s="43"/>
      <c r="AL66" s="43"/>
      <c r="AM66" s="43"/>
      <c r="AN66" s="27"/>
      <c r="AO66" s="27"/>
      <c r="AP66" s="27"/>
      <c r="AQ66" s="27"/>
      <c r="AR66" s="27"/>
      <c r="AS66" s="27"/>
      <c r="AT66" s="27"/>
      <c r="AU66" s="27"/>
    </row>
    <row r="67" spans="1:47" ht="19.95" customHeight="1">
      <c r="A67" s="37"/>
      <c r="B67" s="37"/>
      <c r="C67" s="37"/>
      <c r="D67" s="8"/>
      <c r="E67" s="10"/>
      <c r="F67" s="8"/>
      <c r="G67" s="10"/>
      <c r="H67" s="40"/>
      <c r="I67" s="11"/>
      <c r="J67" s="8"/>
      <c r="K67" s="9"/>
      <c r="L67" s="9"/>
      <c r="M67" s="9"/>
      <c r="N67" s="32"/>
      <c r="O67" s="32"/>
      <c r="P67" s="32"/>
      <c r="Q67" s="32"/>
      <c r="R67" s="32"/>
      <c r="S67" s="32"/>
      <c r="T67" s="9"/>
      <c r="U67" s="8"/>
      <c r="V67" s="8"/>
      <c r="W67" s="8"/>
      <c r="X67" s="12"/>
      <c r="Y67" s="42"/>
      <c r="Z67" s="41"/>
      <c r="AA67" s="41"/>
      <c r="AB67" s="41"/>
      <c r="AC67" s="41"/>
      <c r="AD67" s="41"/>
      <c r="AE67" s="43"/>
      <c r="AF67" s="43"/>
      <c r="AG67" s="43"/>
      <c r="AH67" s="43"/>
      <c r="AI67" s="43"/>
      <c r="AJ67" s="43"/>
      <c r="AK67" s="43"/>
      <c r="AL67" s="43"/>
      <c r="AM67" s="43"/>
      <c r="AN67" s="27"/>
      <c r="AO67" s="27"/>
      <c r="AP67" s="27"/>
      <c r="AQ67" s="27"/>
      <c r="AR67" s="27"/>
      <c r="AS67" s="27"/>
      <c r="AT67" s="27"/>
      <c r="AU67" s="27"/>
    </row>
    <row r="68" spans="1:47" ht="19.95" customHeight="1">
      <c r="A68" s="37"/>
      <c r="B68" s="37"/>
      <c r="C68" s="37"/>
      <c r="D68" s="8"/>
      <c r="E68" s="10"/>
      <c r="F68" s="8"/>
      <c r="G68" s="10"/>
      <c r="H68" s="40"/>
      <c r="I68" s="11"/>
      <c r="J68" s="8"/>
      <c r="K68" s="9"/>
      <c r="L68" s="9"/>
      <c r="M68" s="9"/>
      <c r="N68" s="32"/>
      <c r="O68" s="32"/>
      <c r="P68" s="32"/>
      <c r="Q68" s="32"/>
      <c r="R68" s="32"/>
      <c r="S68" s="32"/>
      <c r="T68" s="9"/>
      <c r="U68" s="8"/>
      <c r="V68" s="8"/>
      <c r="W68" s="8"/>
      <c r="X68" s="12"/>
      <c r="Y68" s="42"/>
      <c r="Z68" s="41"/>
      <c r="AA68" s="41"/>
      <c r="AB68" s="41"/>
      <c r="AC68" s="41"/>
      <c r="AD68" s="41"/>
      <c r="AE68" s="43"/>
      <c r="AF68" s="43"/>
      <c r="AG68" s="43"/>
      <c r="AH68" s="43"/>
      <c r="AI68" s="43"/>
      <c r="AJ68" s="43"/>
      <c r="AK68" s="43"/>
      <c r="AL68" s="43"/>
      <c r="AM68" s="43"/>
      <c r="AN68" s="27"/>
      <c r="AO68" s="27"/>
      <c r="AP68" s="27"/>
      <c r="AQ68" s="27"/>
      <c r="AR68" s="27"/>
      <c r="AS68" s="27"/>
      <c r="AT68" s="27"/>
      <c r="AU68" s="27"/>
    </row>
    <row r="69" spans="1:47" ht="19.95" customHeight="1">
      <c r="A69" s="37"/>
      <c r="B69" s="37"/>
      <c r="C69" s="37"/>
      <c r="D69" s="8"/>
      <c r="E69" s="10"/>
      <c r="F69" s="8"/>
      <c r="G69" s="10"/>
      <c r="H69" s="40"/>
      <c r="I69" s="11"/>
      <c r="J69" s="8"/>
      <c r="K69" s="9"/>
      <c r="L69" s="9"/>
      <c r="M69" s="9"/>
      <c r="N69" s="32"/>
      <c r="O69" s="32"/>
      <c r="P69" s="32"/>
      <c r="Q69" s="32"/>
      <c r="R69" s="32"/>
      <c r="S69" s="32"/>
      <c r="T69" s="9"/>
      <c r="U69" s="8"/>
      <c r="V69" s="8"/>
      <c r="W69" s="8"/>
      <c r="X69" s="12"/>
      <c r="Y69" s="42"/>
      <c r="Z69" s="41"/>
      <c r="AA69" s="41"/>
      <c r="AB69" s="41"/>
      <c r="AC69" s="41"/>
      <c r="AD69" s="41"/>
      <c r="AE69" s="43"/>
      <c r="AF69" s="43"/>
      <c r="AG69" s="43"/>
      <c r="AH69" s="43"/>
      <c r="AI69" s="43"/>
      <c r="AJ69" s="43"/>
      <c r="AK69" s="43"/>
      <c r="AL69" s="43"/>
      <c r="AM69" s="43"/>
      <c r="AN69" s="27"/>
      <c r="AO69" s="27"/>
      <c r="AP69" s="27"/>
      <c r="AQ69" s="27"/>
      <c r="AR69" s="27"/>
      <c r="AS69" s="27"/>
      <c r="AT69" s="27"/>
      <c r="AU69" s="27"/>
    </row>
    <row r="70" spans="1:47" ht="19.95" customHeight="1">
      <c r="A70" s="37"/>
      <c r="B70" s="37"/>
      <c r="C70" s="37"/>
      <c r="D70" s="8"/>
      <c r="E70" s="10"/>
      <c r="F70" s="8"/>
      <c r="G70" s="10"/>
      <c r="H70" s="40"/>
      <c r="I70" s="11"/>
      <c r="J70" s="8"/>
      <c r="K70" s="9"/>
      <c r="L70" s="9"/>
      <c r="M70" s="9"/>
      <c r="N70" s="32"/>
      <c r="O70" s="32"/>
      <c r="P70" s="32"/>
      <c r="Q70" s="32"/>
      <c r="R70" s="32"/>
      <c r="S70" s="32"/>
      <c r="T70" s="9"/>
      <c r="U70" s="8"/>
      <c r="V70" s="8"/>
      <c r="W70" s="8"/>
      <c r="X70" s="12"/>
      <c r="Y70" s="42"/>
      <c r="Z70" s="41"/>
      <c r="AA70" s="41"/>
      <c r="AB70" s="41"/>
      <c r="AC70" s="41"/>
      <c r="AD70" s="41"/>
      <c r="AE70" s="43"/>
      <c r="AF70" s="43"/>
      <c r="AG70" s="43"/>
      <c r="AH70" s="43"/>
      <c r="AI70" s="43"/>
      <c r="AJ70" s="43"/>
      <c r="AK70" s="43"/>
      <c r="AL70" s="43"/>
      <c r="AM70" s="43"/>
      <c r="AN70" s="27"/>
      <c r="AO70" s="27"/>
      <c r="AP70" s="27"/>
      <c r="AQ70" s="27"/>
      <c r="AR70" s="27"/>
      <c r="AS70" s="27"/>
      <c r="AT70" s="27"/>
      <c r="AU70" s="27"/>
    </row>
    <row r="71" spans="1:47" ht="19.95" customHeight="1">
      <c r="A71" s="37"/>
      <c r="B71" s="37"/>
      <c r="C71" s="37"/>
      <c r="D71" s="8"/>
      <c r="E71" s="10"/>
      <c r="F71" s="8"/>
      <c r="G71" s="10"/>
      <c r="H71" s="40"/>
      <c r="I71" s="11"/>
      <c r="J71" s="8"/>
      <c r="K71" s="9"/>
      <c r="L71" s="9"/>
      <c r="M71" s="9"/>
      <c r="N71" s="32"/>
      <c r="O71" s="32"/>
      <c r="P71" s="32"/>
      <c r="Q71" s="32"/>
      <c r="R71" s="32"/>
      <c r="S71" s="32"/>
      <c r="T71" s="9"/>
      <c r="U71" s="8"/>
      <c r="V71" s="8"/>
      <c r="W71" s="8"/>
      <c r="X71" s="12"/>
      <c r="Y71" s="42"/>
      <c r="Z71" s="41"/>
      <c r="AA71" s="41"/>
      <c r="AB71" s="41"/>
      <c r="AC71" s="41"/>
      <c r="AD71" s="41"/>
      <c r="AE71" s="43"/>
      <c r="AF71" s="43"/>
      <c r="AG71" s="43"/>
      <c r="AH71" s="43"/>
      <c r="AI71" s="43"/>
      <c r="AJ71" s="43"/>
      <c r="AK71" s="43"/>
      <c r="AL71" s="43"/>
      <c r="AM71" s="43"/>
      <c r="AN71" s="27"/>
      <c r="AO71" s="27"/>
      <c r="AP71" s="27"/>
      <c r="AQ71" s="27"/>
      <c r="AR71" s="27"/>
      <c r="AS71" s="27"/>
      <c r="AT71" s="27"/>
      <c r="AU71" s="27"/>
    </row>
    <row r="72" spans="1:47" ht="19.95" customHeight="1">
      <c r="A72" s="37"/>
      <c r="B72" s="37"/>
      <c r="C72" s="37"/>
      <c r="D72" s="8"/>
      <c r="E72" s="10"/>
      <c r="F72" s="8"/>
      <c r="G72" s="10"/>
      <c r="H72" s="40"/>
      <c r="I72" s="11"/>
      <c r="J72" s="8"/>
      <c r="K72" s="9"/>
      <c r="L72" s="9"/>
      <c r="M72" s="9"/>
      <c r="N72" s="32"/>
      <c r="O72" s="32"/>
      <c r="P72" s="32"/>
      <c r="Q72" s="32"/>
      <c r="R72" s="32"/>
      <c r="S72" s="32"/>
      <c r="T72" s="9"/>
      <c r="U72" s="8"/>
      <c r="V72" s="8"/>
      <c r="W72" s="8"/>
      <c r="X72" s="12"/>
      <c r="Y72" s="42"/>
      <c r="Z72" s="41"/>
      <c r="AA72" s="41"/>
      <c r="AB72" s="41"/>
      <c r="AC72" s="41"/>
      <c r="AD72" s="41"/>
      <c r="AE72" s="43"/>
      <c r="AF72" s="43"/>
      <c r="AG72" s="43"/>
      <c r="AH72" s="43"/>
      <c r="AI72" s="43"/>
      <c r="AJ72" s="43"/>
      <c r="AK72" s="43"/>
      <c r="AL72" s="43"/>
      <c r="AM72" s="43"/>
      <c r="AN72" s="27"/>
      <c r="AO72" s="27"/>
      <c r="AP72" s="27"/>
      <c r="AQ72" s="27"/>
      <c r="AR72" s="27"/>
      <c r="AS72" s="27"/>
      <c r="AT72" s="27"/>
      <c r="AU72" s="27"/>
    </row>
    <row r="73" spans="1:47" ht="19.95" customHeight="1">
      <c r="A73" s="37"/>
      <c r="B73" s="37"/>
      <c r="C73" s="37"/>
      <c r="D73" s="8"/>
      <c r="E73" s="10"/>
      <c r="F73" s="8"/>
      <c r="G73" s="10"/>
      <c r="H73" s="40"/>
      <c r="I73" s="11"/>
      <c r="J73" s="8"/>
      <c r="K73" s="9"/>
      <c r="L73" s="9"/>
      <c r="M73" s="9"/>
      <c r="N73" s="32"/>
      <c r="O73" s="32"/>
      <c r="P73" s="32"/>
      <c r="Q73" s="32"/>
      <c r="R73" s="32"/>
      <c r="S73" s="32"/>
      <c r="T73" s="9"/>
      <c r="U73" s="8"/>
      <c r="V73" s="8"/>
      <c r="W73" s="8"/>
      <c r="X73" s="12"/>
      <c r="Y73" s="42"/>
      <c r="Z73" s="41"/>
      <c r="AA73" s="41"/>
      <c r="AB73" s="41"/>
      <c r="AC73" s="41"/>
      <c r="AD73" s="41"/>
      <c r="AE73" s="43"/>
      <c r="AF73" s="43"/>
      <c r="AG73" s="43"/>
      <c r="AH73" s="43"/>
      <c r="AI73" s="43"/>
      <c r="AJ73" s="43"/>
      <c r="AK73" s="43"/>
      <c r="AL73" s="43"/>
      <c r="AM73" s="43"/>
      <c r="AN73" s="27"/>
      <c r="AO73" s="27"/>
      <c r="AP73" s="27"/>
      <c r="AQ73" s="27"/>
      <c r="AR73" s="27"/>
      <c r="AS73" s="27"/>
      <c r="AT73" s="27"/>
      <c r="AU73" s="27"/>
    </row>
    <row r="74" spans="1:47" ht="19.95" customHeight="1">
      <c r="A74" s="37"/>
      <c r="B74" s="37"/>
      <c r="C74" s="37"/>
      <c r="D74" s="8"/>
      <c r="E74" s="10"/>
      <c r="F74" s="8"/>
      <c r="G74" s="10"/>
      <c r="H74" s="40"/>
      <c r="I74" s="11"/>
      <c r="J74" s="8"/>
      <c r="K74" s="9"/>
      <c r="L74" s="9"/>
      <c r="M74" s="9"/>
      <c r="N74" s="32"/>
      <c r="O74" s="32"/>
      <c r="P74" s="32"/>
      <c r="Q74" s="32"/>
      <c r="R74" s="32"/>
      <c r="S74" s="32"/>
      <c r="T74" s="9"/>
      <c r="U74" s="8"/>
      <c r="V74" s="8"/>
      <c r="W74" s="8"/>
      <c r="X74" s="12"/>
      <c r="Y74" s="42"/>
      <c r="Z74" s="41"/>
      <c r="AA74" s="41"/>
      <c r="AB74" s="41"/>
      <c r="AC74" s="41"/>
      <c r="AD74" s="41"/>
      <c r="AE74" s="43"/>
      <c r="AF74" s="43"/>
      <c r="AG74" s="43"/>
      <c r="AH74" s="43"/>
      <c r="AI74" s="43"/>
      <c r="AJ74" s="43"/>
      <c r="AK74" s="43"/>
      <c r="AL74" s="43"/>
      <c r="AM74" s="43"/>
      <c r="AN74" s="27"/>
      <c r="AO74" s="27"/>
      <c r="AP74" s="27"/>
      <c r="AQ74" s="27"/>
      <c r="AR74" s="27"/>
      <c r="AS74" s="27"/>
      <c r="AT74" s="27"/>
      <c r="AU74" s="27"/>
    </row>
    <row r="75" spans="1:47" ht="19.95" customHeight="1">
      <c r="A75" s="37"/>
      <c r="B75" s="37"/>
      <c r="C75" s="37"/>
      <c r="D75" s="8"/>
      <c r="E75" s="10"/>
      <c r="F75" s="8"/>
      <c r="G75" s="10"/>
      <c r="H75" s="40"/>
      <c r="I75" s="11"/>
      <c r="J75" s="8"/>
      <c r="K75" s="9"/>
      <c r="L75" s="9"/>
      <c r="M75" s="9"/>
      <c r="N75" s="32"/>
      <c r="O75" s="32"/>
      <c r="P75" s="32"/>
      <c r="Q75" s="32"/>
      <c r="R75" s="32"/>
      <c r="S75" s="32"/>
      <c r="T75" s="9"/>
      <c r="U75" s="8"/>
      <c r="V75" s="8"/>
      <c r="W75" s="8"/>
      <c r="X75" s="12"/>
      <c r="Y75" s="42"/>
      <c r="Z75" s="41"/>
      <c r="AA75" s="41"/>
      <c r="AB75" s="41"/>
      <c r="AC75" s="41"/>
      <c r="AD75" s="41"/>
      <c r="AE75" s="43"/>
      <c r="AF75" s="43"/>
      <c r="AG75" s="43"/>
      <c r="AH75" s="43"/>
      <c r="AI75" s="43"/>
      <c r="AJ75" s="43"/>
      <c r="AK75" s="43"/>
      <c r="AL75" s="43"/>
      <c r="AM75" s="43"/>
      <c r="AN75" s="27"/>
      <c r="AO75" s="27"/>
      <c r="AP75" s="27"/>
      <c r="AQ75" s="27"/>
      <c r="AR75" s="27"/>
      <c r="AS75" s="27"/>
      <c r="AT75" s="27"/>
      <c r="AU75" s="27"/>
    </row>
    <row r="76" spans="1:47" ht="19.95" customHeight="1">
      <c r="A76" s="37"/>
      <c r="B76" s="37"/>
      <c r="C76" s="37"/>
      <c r="D76" s="8"/>
      <c r="E76" s="10"/>
      <c r="F76" s="8"/>
      <c r="G76" s="10"/>
      <c r="H76" s="40"/>
      <c r="I76" s="11"/>
      <c r="J76" s="8"/>
      <c r="K76" s="9"/>
      <c r="L76" s="9"/>
      <c r="M76" s="9"/>
      <c r="N76" s="32"/>
      <c r="O76" s="32"/>
      <c r="P76" s="32"/>
      <c r="Q76" s="32"/>
      <c r="R76" s="32"/>
      <c r="S76" s="32"/>
      <c r="T76" s="9"/>
      <c r="U76" s="8"/>
      <c r="V76" s="8"/>
      <c r="W76" s="8"/>
      <c r="X76" s="12"/>
      <c r="Y76" s="42"/>
      <c r="Z76" s="41"/>
      <c r="AA76" s="41"/>
      <c r="AB76" s="41"/>
      <c r="AC76" s="41"/>
      <c r="AD76" s="41"/>
      <c r="AE76" s="43"/>
      <c r="AF76" s="43"/>
      <c r="AG76" s="43"/>
      <c r="AH76" s="43"/>
      <c r="AI76" s="43"/>
      <c r="AJ76" s="43"/>
      <c r="AK76" s="43"/>
      <c r="AL76" s="43"/>
      <c r="AM76" s="43"/>
      <c r="AN76" s="27"/>
      <c r="AO76" s="27"/>
      <c r="AP76" s="27"/>
      <c r="AQ76" s="27"/>
      <c r="AR76" s="27"/>
      <c r="AS76" s="27"/>
      <c r="AT76" s="27"/>
      <c r="AU76" s="27"/>
    </row>
    <row r="77" spans="1:47" ht="19.95" customHeight="1">
      <c r="A77" s="37"/>
      <c r="B77" s="37"/>
      <c r="C77" s="37"/>
      <c r="D77" s="8"/>
      <c r="E77" s="10"/>
      <c r="F77" s="8"/>
      <c r="G77" s="10"/>
      <c r="H77" s="40"/>
      <c r="I77" s="11"/>
      <c r="J77" s="8"/>
      <c r="K77" s="9"/>
      <c r="L77" s="9"/>
      <c r="M77" s="9"/>
      <c r="N77" s="32"/>
      <c r="O77" s="32"/>
      <c r="P77" s="32"/>
      <c r="Q77" s="32"/>
      <c r="R77" s="32"/>
      <c r="S77" s="32"/>
      <c r="T77" s="9"/>
      <c r="U77" s="8"/>
      <c r="V77" s="8"/>
      <c r="W77" s="8"/>
      <c r="X77" s="12"/>
      <c r="Y77" s="42"/>
      <c r="Z77" s="41"/>
      <c r="AA77" s="41"/>
      <c r="AB77" s="41"/>
      <c r="AC77" s="41"/>
      <c r="AD77" s="41"/>
      <c r="AE77" s="43"/>
      <c r="AF77" s="43"/>
      <c r="AG77" s="43"/>
      <c r="AH77" s="43"/>
      <c r="AI77" s="43"/>
      <c r="AJ77" s="43"/>
      <c r="AK77" s="43"/>
      <c r="AL77" s="43"/>
      <c r="AM77" s="43"/>
      <c r="AN77" s="27"/>
      <c r="AO77" s="27"/>
      <c r="AP77" s="27"/>
      <c r="AQ77" s="27"/>
      <c r="AR77" s="27"/>
      <c r="AS77" s="27"/>
      <c r="AT77" s="27"/>
      <c r="AU77" s="27"/>
    </row>
    <row r="78" spans="1:47" ht="19.95" customHeight="1">
      <c r="A78" s="37"/>
      <c r="B78" s="37"/>
      <c r="C78" s="37"/>
      <c r="D78" s="8"/>
      <c r="E78" s="10"/>
      <c r="F78" s="8"/>
      <c r="G78" s="10"/>
      <c r="H78" s="40"/>
      <c r="I78" s="11"/>
      <c r="J78" s="8"/>
      <c r="K78" s="9"/>
      <c r="L78" s="9"/>
      <c r="M78" s="9"/>
      <c r="N78" s="32"/>
      <c r="O78" s="32"/>
      <c r="P78" s="32"/>
      <c r="Q78" s="32"/>
      <c r="R78" s="32"/>
      <c r="S78" s="32"/>
      <c r="T78" s="9"/>
      <c r="U78" s="8"/>
      <c r="V78" s="8"/>
      <c r="W78" s="8"/>
      <c r="X78" s="12"/>
      <c r="Y78" s="42"/>
      <c r="Z78" s="41"/>
      <c r="AA78" s="41"/>
      <c r="AB78" s="41"/>
      <c r="AC78" s="41"/>
      <c r="AD78" s="41"/>
      <c r="AE78" s="43"/>
      <c r="AF78" s="43"/>
      <c r="AG78" s="43"/>
      <c r="AH78" s="43"/>
      <c r="AI78" s="43"/>
      <c r="AJ78" s="43"/>
      <c r="AK78" s="43"/>
      <c r="AL78" s="43"/>
      <c r="AM78" s="43"/>
      <c r="AN78" s="27"/>
      <c r="AO78" s="27"/>
      <c r="AP78" s="27"/>
      <c r="AQ78" s="27"/>
      <c r="AR78" s="27"/>
      <c r="AS78" s="27"/>
      <c r="AT78" s="27"/>
      <c r="AU78" s="27"/>
    </row>
    <row r="79" spans="1:47" ht="19.95" customHeight="1">
      <c r="A79" s="37"/>
      <c r="B79" s="37"/>
      <c r="C79" s="37"/>
      <c r="D79" s="8"/>
      <c r="E79" s="10"/>
      <c r="F79" s="8"/>
      <c r="G79" s="10"/>
      <c r="H79" s="40"/>
      <c r="I79" s="11"/>
      <c r="J79" s="8"/>
      <c r="K79" s="9"/>
      <c r="L79" s="9"/>
      <c r="M79" s="9"/>
      <c r="N79" s="32"/>
      <c r="O79" s="32"/>
      <c r="P79" s="32"/>
      <c r="Q79" s="32"/>
      <c r="R79" s="32"/>
      <c r="S79" s="32"/>
      <c r="T79" s="9"/>
      <c r="U79" s="8"/>
      <c r="V79" s="8"/>
      <c r="W79" s="8"/>
      <c r="X79" s="12"/>
      <c r="Y79" s="42"/>
      <c r="Z79" s="41"/>
      <c r="AA79" s="41"/>
      <c r="AB79" s="41"/>
      <c r="AC79" s="41"/>
      <c r="AD79" s="41"/>
      <c r="AE79" s="43"/>
      <c r="AF79" s="43"/>
      <c r="AG79" s="43"/>
      <c r="AH79" s="43"/>
      <c r="AI79" s="43"/>
      <c r="AJ79" s="43"/>
      <c r="AK79" s="43"/>
      <c r="AL79" s="43"/>
      <c r="AM79" s="43"/>
      <c r="AN79" s="27"/>
      <c r="AO79" s="27"/>
      <c r="AP79" s="27"/>
      <c r="AQ79" s="27"/>
      <c r="AR79" s="27"/>
      <c r="AS79" s="27"/>
      <c r="AT79" s="27"/>
      <c r="AU79" s="27"/>
    </row>
    <row r="80" spans="1:47" ht="19.95" customHeight="1">
      <c r="A80" s="37"/>
      <c r="B80" s="37"/>
      <c r="C80" s="37"/>
      <c r="D80" s="8"/>
      <c r="E80" s="10"/>
      <c r="F80" s="8"/>
      <c r="G80" s="10"/>
      <c r="H80" s="40"/>
      <c r="I80" s="11"/>
      <c r="J80" s="8"/>
      <c r="K80" s="9"/>
      <c r="L80" s="9"/>
      <c r="M80" s="9"/>
      <c r="N80" s="32"/>
      <c r="O80" s="32"/>
      <c r="P80" s="32"/>
      <c r="Q80" s="32"/>
      <c r="R80" s="32"/>
      <c r="S80" s="32"/>
      <c r="T80" s="9"/>
      <c r="U80" s="8"/>
      <c r="V80" s="8"/>
      <c r="W80" s="8"/>
      <c r="X80" s="12"/>
      <c r="Y80" s="42"/>
      <c r="Z80" s="41"/>
      <c r="AA80" s="41"/>
      <c r="AB80" s="41"/>
      <c r="AC80" s="41"/>
      <c r="AD80" s="41"/>
      <c r="AE80" s="43"/>
      <c r="AF80" s="43"/>
      <c r="AG80" s="43"/>
      <c r="AH80" s="43"/>
      <c r="AI80" s="43"/>
      <c r="AJ80" s="43"/>
      <c r="AK80" s="43"/>
      <c r="AL80" s="43"/>
      <c r="AM80" s="43"/>
      <c r="AN80" s="27"/>
      <c r="AO80" s="27"/>
      <c r="AP80" s="27"/>
      <c r="AQ80" s="27"/>
      <c r="AR80" s="27"/>
      <c r="AS80" s="27"/>
      <c r="AT80" s="27"/>
      <c r="AU80" s="27"/>
    </row>
    <row r="81" spans="1:47" ht="19.95" customHeight="1">
      <c r="A81" s="37"/>
      <c r="B81" s="37"/>
      <c r="C81" s="37"/>
      <c r="D81" s="8"/>
      <c r="E81" s="10"/>
      <c r="F81" s="8"/>
      <c r="G81" s="10"/>
      <c r="H81" s="40"/>
      <c r="I81" s="11"/>
      <c r="J81" s="8"/>
      <c r="K81" s="9"/>
      <c r="L81" s="9"/>
      <c r="M81" s="9"/>
      <c r="N81" s="32"/>
      <c r="O81" s="32"/>
      <c r="P81" s="32"/>
      <c r="Q81" s="32"/>
      <c r="R81" s="32"/>
      <c r="S81" s="32"/>
      <c r="T81" s="9"/>
      <c r="U81" s="8"/>
      <c r="V81" s="8"/>
      <c r="W81" s="8"/>
      <c r="X81" s="12"/>
      <c r="Y81" s="42"/>
      <c r="Z81" s="41"/>
      <c r="AA81" s="41"/>
      <c r="AB81" s="41"/>
      <c r="AC81" s="41"/>
      <c r="AD81" s="41"/>
      <c r="AE81" s="43"/>
      <c r="AF81" s="43"/>
      <c r="AG81" s="43"/>
      <c r="AH81" s="43"/>
      <c r="AI81" s="43"/>
      <c r="AJ81" s="43"/>
      <c r="AK81" s="43"/>
      <c r="AL81" s="43"/>
      <c r="AM81" s="43"/>
      <c r="AN81" s="27"/>
      <c r="AO81" s="27"/>
      <c r="AP81" s="27"/>
      <c r="AQ81" s="27"/>
      <c r="AR81" s="27"/>
      <c r="AS81" s="27"/>
      <c r="AT81" s="27"/>
      <c r="AU81" s="27"/>
    </row>
    <row r="82" spans="1:47" ht="19.95" customHeight="1">
      <c r="A82" s="37"/>
      <c r="B82" s="37"/>
      <c r="C82" s="37"/>
      <c r="D82" s="8"/>
      <c r="E82" s="10"/>
      <c r="F82" s="8"/>
      <c r="G82" s="10"/>
      <c r="H82" s="40"/>
      <c r="I82" s="11"/>
      <c r="J82" s="8"/>
      <c r="K82" s="9"/>
      <c r="L82" s="9"/>
      <c r="M82" s="9"/>
      <c r="N82" s="32"/>
      <c r="O82" s="32"/>
      <c r="P82" s="32"/>
      <c r="Q82" s="32"/>
      <c r="R82" s="32"/>
      <c r="S82" s="32"/>
      <c r="T82" s="9"/>
      <c r="U82" s="8"/>
      <c r="V82" s="8"/>
      <c r="W82" s="8"/>
      <c r="X82" s="12"/>
      <c r="Y82" s="42"/>
      <c r="Z82" s="41"/>
      <c r="AA82" s="41"/>
      <c r="AB82" s="41"/>
      <c r="AC82" s="41"/>
      <c r="AD82" s="41"/>
      <c r="AE82" s="43"/>
      <c r="AF82" s="43"/>
      <c r="AG82" s="43"/>
      <c r="AH82" s="43"/>
      <c r="AI82" s="43"/>
      <c r="AJ82" s="43"/>
      <c r="AK82" s="43"/>
      <c r="AL82" s="43"/>
      <c r="AM82" s="43"/>
      <c r="AN82" s="27"/>
      <c r="AO82" s="27"/>
      <c r="AP82" s="27"/>
      <c r="AQ82" s="27"/>
      <c r="AR82" s="27"/>
      <c r="AS82" s="27"/>
      <c r="AT82" s="27"/>
      <c r="AU82" s="27"/>
    </row>
    <row r="83" spans="1:47" ht="19.95" customHeight="1">
      <c r="A83" s="37"/>
      <c r="B83" s="37"/>
      <c r="C83" s="37"/>
      <c r="D83" s="8"/>
      <c r="E83" s="10"/>
      <c r="F83" s="8"/>
      <c r="G83" s="10"/>
      <c r="H83" s="40"/>
      <c r="I83" s="11"/>
      <c r="J83" s="8"/>
      <c r="K83" s="9"/>
      <c r="L83" s="9"/>
      <c r="M83" s="9"/>
      <c r="N83" s="32"/>
      <c r="O83" s="32"/>
      <c r="P83" s="32"/>
      <c r="Q83" s="32"/>
      <c r="R83" s="32"/>
      <c r="S83" s="32"/>
      <c r="T83" s="9"/>
      <c r="U83" s="8"/>
      <c r="V83" s="8"/>
      <c r="W83" s="8"/>
      <c r="X83" s="12"/>
      <c r="Y83" s="42"/>
      <c r="Z83" s="41"/>
      <c r="AA83" s="41"/>
      <c r="AB83" s="41"/>
      <c r="AC83" s="41"/>
      <c r="AD83" s="41"/>
      <c r="AE83" s="43"/>
      <c r="AF83" s="43"/>
      <c r="AG83" s="43"/>
      <c r="AH83" s="43"/>
      <c r="AI83" s="43"/>
      <c r="AJ83" s="43"/>
      <c r="AK83" s="43"/>
      <c r="AL83" s="43"/>
      <c r="AM83" s="43"/>
      <c r="AN83" s="27"/>
      <c r="AO83" s="27"/>
      <c r="AP83" s="27"/>
      <c r="AQ83" s="27"/>
      <c r="AR83" s="27"/>
      <c r="AS83" s="27"/>
      <c r="AT83" s="27"/>
      <c r="AU83" s="27"/>
    </row>
    <row r="84" spans="1:47" ht="19.95" customHeight="1">
      <c r="A84" s="37"/>
      <c r="B84" s="37"/>
      <c r="C84" s="37"/>
      <c r="D84" s="8"/>
      <c r="E84" s="10"/>
      <c r="F84" s="8"/>
      <c r="G84" s="10"/>
      <c r="H84" s="40"/>
      <c r="I84" s="11"/>
      <c r="J84" s="8"/>
      <c r="K84" s="9"/>
      <c r="L84" s="9"/>
      <c r="M84" s="9"/>
      <c r="N84" s="32"/>
      <c r="O84" s="32"/>
      <c r="P84" s="32"/>
      <c r="Q84" s="32"/>
      <c r="R84" s="32"/>
      <c r="S84" s="32"/>
      <c r="T84" s="9"/>
      <c r="U84" s="8"/>
      <c r="V84" s="8"/>
      <c r="W84" s="8"/>
      <c r="X84" s="12"/>
      <c r="Y84" s="42"/>
      <c r="Z84" s="41"/>
      <c r="AA84" s="41"/>
      <c r="AB84" s="41"/>
      <c r="AC84" s="41"/>
      <c r="AD84" s="41"/>
      <c r="AE84" s="43"/>
      <c r="AF84" s="43"/>
      <c r="AG84" s="43"/>
      <c r="AH84" s="43"/>
      <c r="AI84" s="43"/>
      <c r="AJ84" s="43"/>
      <c r="AK84" s="43"/>
      <c r="AL84" s="43"/>
      <c r="AM84" s="43"/>
      <c r="AN84" s="27"/>
      <c r="AO84" s="27"/>
      <c r="AP84" s="27"/>
      <c r="AQ84" s="27"/>
      <c r="AR84" s="27"/>
      <c r="AS84" s="27"/>
      <c r="AT84" s="27"/>
      <c r="AU84" s="27"/>
    </row>
    <row r="85" spans="1:47" ht="19.95" customHeight="1">
      <c r="A85" s="37"/>
      <c r="B85" s="37"/>
      <c r="C85" s="37"/>
      <c r="D85" s="8"/>
      <c r="E85" s="10"/>
      <c r="F85" s="8"/>
      <c r="G85" s="10"/>
      <c r="H85" s="40"/>
      <c r="I85" s="11"/>
      <c r="J85" s="8"/>
      <c r="K85" s="9"/>
      <c r="L85" s="9"/>
      <c r="M85" s="9"/>
      <c r="N85" s="32"/>
      <c r="O85" s="32"/>
      <c r="P85" s="32"/>
      <c r="Q85" s="32"/>
      <c r="R85" s="32"/>
      <c r="S85" s="32"/>
      <c r="T85" s="9"/>
      <c r="U85" s="8"/>
      <c r="V85" s="8"/>
      <c r="W85" s="8"/>
      <c r="X85" s="12"/>
      <c r="Y85" s="42"/>
      <c r="Z85" s="41"/>
      <c r="AA85" s="41"/>
      <c r="AB85" s="41"/>
      <c r="AC85" s="41"/>
      <c r="AD85" s="41"/>
      <c r="AE85" s="43"/>
      <c r="AF85" s="43"/>
      <c r="AG85" s="43"/>
      <c r="AH85" s="43"/>
      <c r="AI85" s="43"/>
      <c r="AJ85" s="43"/>
      <c r="AK85" s="43"/>
      <c r="AL85" s="43"/>
      <c r="AM85" s="43"/>
      <c r="AN85" s="27"/>
      <c r="AO85" s="27"/>
      <c r="AP85" s="27"/>
      <c r="AQ85" s="27"/>
      <c r="AR85" s="27"/>
      <c r="AS85" s="27"/>
      <c r="AT85" s="27"/>
      <c r="AU85" s="27"/>
    </row>
    <row r="86" spans="1:47" ht="19.95" customHeight="1">
      <c r="A86" s="37"/>
      <c r="B86" s="37"/>
      <c r="C86" s="37"/>
      <c r="D86" s="8"/>
      <c r="E86" s="10"/>
      <c r="F86" s="8"/>
      <c r="G86" s="10"/>
      <c r="H86" s="40"/>
      <c r="I86" s="11"/>
      <c r="J86" s="8"/>
      <c r="K86" s="9"/>
      <c r="L86" s="9"/>
      <c r="M86" s="9"/>
      <c r="N86" s="32"/>
      <c r="O86" s="32"/>
      <c r="P86" s="32"/>
      <c r="Q86" s="32"/>
      <c r="R86" s="32"/>
      <c r="S86" s="32"/>
      <c r="T86" s="9"/>
      <c r="U86" s="8"/>
      <c r="V86" s="8"/>
      <c r="W86" s="8"/>
      <c r="X86" s="12"/>
      <c r="Y86" s="42"/>
      <c r="Z86" s="41"/>
      <c r="AA86" s="41"/>
      <c r="AB86" s="41"/>
      <c r="AC86" s="41"/>
      <c r="AD86" s="41"/>
      <c r="AE86" s="43"/>
      <c r="AF86" s="43"/>
      <c r="AG86" s="43"/>
      <c r="AH86" s="43"/>
      <c r="AI86" s="43"/>
      <c r="AJ86" s="43"/>
      <c r="AK86" s="43"/>
      <c r="AL86" s="43"/>
      <c r="AM86" s="43"/>
      <c r="AN86" s="27"/>
      <c r="AO86" s="27"/>
      <c r="AP86" s="27"/>
      <c r="AQ86" s="27"/>
      <c r="AR86" s="27"/>
      <c r="AS86" s="27"/>
      <c r="AT86" s="27"/>
      <c r="AU86" s="27"/>
    </row>
    <row r="87" spans="1:47" ht="19.95" customHeight="1">
      <c r="Y87" s="1"/>
      <c r="Z87" s="1"/>
      <c r="AA87" s="1"/>
      <c r="AB87" s="1"/>
      <c r="AC87" s="1"/>
      <c r="AD87" s="1"/>
      <c r="AL87" s="1"/>
      <c r="AM87" s="1"/>
    </row>
    <row r="88" spans="1:47" ht="19.95" customHeight="1">
      <c r="Y88" s="1"/>
      <c r="Z88" s="1"/>
      <c r="AA88" s="1"/>
      <c r="AB88" s="1"/>
      <c r="AC88" s="1"/>
      <c r="AD88" s="1"/>
      <c r="AL88" s="1"/>
      <c r="AM88" s="1"/>
    </row>
    <row r="89" spans="1:47" ht="19.95" customHeight="1">
      <c r="Y89" s="1"/>
      <c r="Z89" s="1"/>
      <c r="AA89" s="1"/>
      <c r="AB89" s="1"/>
      <c r="AC89" s="1"/>
      <c r="AD89" s="1"/>
      <c r="AL89" s="1"/>
      <c r="AM89" s="1"/>
    </row>
    <row r="90" spans="1:47" ht="19.95" customHeight="1">
      <c r="Y90" s="1"/>
      <c r="Z90" s="1"/>
      <c r="AA90" s="1"/>
      <c r="AB90" s="1"/>
      <c r="AC90" s="1"/>
      <c r="AD90" s="1"/>
      <c r="AL90" s="1"/>
      <c r="AM90" s="1"/>
    </row>
    <row r="91" spans="1:47" ht="19.95" customHeight="1">
      <c r="Y91" s="1"/>
      <c r="Z91" s="1"/>
      <c r="AA91" s="1"/>
      <c r="AB91" s="1"/>
      <c r="AC91" s="1"/>
      <c r="AD91" s="1"/>
      <c r="AL91" s="1"/>
      <c r="AM91" s="1"/>
    </row>
    <row r="92" spans="1:47" ht="19.95" customHeight="1">
      <c r="Y92" s="1"/>
      <c r="Z92" s="1"/>
      <c r="AA92" s="1"/>
      <c r="AB92" s="1"/>
      <c r="AC92" s="1"/>
      <c r="AD92" s="1"/>
      <c r="AL92" s="1"/>
      <c r="AM92" s="1"/>
    </row>
    <row r="93" spans="1:47" ht="19.95" customHeight="1">
      <c r="Y93" s="1"/>
      <c r="Z93" s="1"/>
      <c r="AA93" s="1"/>
      <c r="AB93" s="1"/>
      <c r="AC93" s="1"/>
      <c r="AD93" s="1"/>
      <c r="AL93" s="1"/>
      <c r="AM93" s="1"/>
    </row>
    <row r="94" spans="1:47" ht="19.95" customHeight="1">
      <c r="Y94" s="1"/>
      <c r="Z94" s="1"/>
      <c r="AA94" s="1"/>
      <c r="AB94" s="1"/>
      <c r="AC94" s="1"/>
      <c r="AD94" s="1"/>
      <c r="AL94" s="1"/>
      <c r="AM94" s="1"/>
    </row>
    <row r="95" spans="1:47" ht="19.95" customHeight="1">
      <c r="Y95" s="1"/>
      <c r="Z95" s="1"/>
      <c r="AA95" s="1"/>
      <c r="AB95" s="1"/>
      <c r="AC95" s="1"/>
      <c r="AD95" s="1"/>
      <c r="AL95" s="1"/>
      <c r="AM95" s="1"/>
    </row>
    <row r="96" spans="1:47" ht="19.95" customHeight="1">
      <c r="Y96" s="1"/>
      <c r="Z96" s="1"/>
      <c r="AA96" s="1"/>
      <c r="AB96" s="1"/>
      <c r="AC96" s="1"/>
      <c r="AD96" s="1"/>
      <c r="AL96" s="1"/>
      <c r="AM96" s="1"/>
    </row>
    <row r="97" spans="25:39" ht="19.95" customHeight="1">
      <c r="Y97" s="1"/>
      <c r="Z97" s="1"/>
      <c r="AA97" s="1"/>
      <c r="AB97" s="1"/>
      <c r="AC97" s="1"/>
      <c r="AD97" s="1"/>
      <c r="AL97" s="1"/>
      <c r="AM97" s="1"/>
    </row>
    <row r="98" spans="25:39" ht="19.95" customHeight="1">
      <c r="Y98" s="1"/>
      <c r="Z98" s="1"/>
      <c r="AA98" s="1"/>
      <c r="AB98" s="1"/>
      <c r="AC98" s="1"/>
      <c r="AD98" s="1"/>
      <c r="AL98" s="1"/>
      <c r="AM98" s="1"/>
    </row>
    <row r="99" spans="25:39" ht="19.95" customHeight="1">
      <c r="Y99" s="1"/>
      <c r="Z99" s="1"/>
      <c r="AA99" s="1"/>
      <c r="AB99" s="1"/>
      <c r="AC99" s="1"/>
      <c r="AD99" s="1"/>
      <c r="AL99" s="1"/>
      <c r="AM99" s="1"/>
    </row>
    <row r="100" spans="25:39" ht="19.95" customHeight="1">
      <c r="Y100" s="1"/>
      <c r="Z100" s="1"/>
      <c r="AA100" s="1"/>
      <c r="AB100" s="1"/>
      <c r="AC100" s="1"/>
      <c r="AD100" s="1"/>
      <c r="AL100" s="1"/>
      <c r="AM100" s="1"/>
    </row>
    <row r="101" spans="25:39" ht="19.95" customHeight="1">
      <c r="Y101" s="1"/>
      <c r="Z101" s="1"/>
      <c r="AA101" s="1"/>
      <c r="AB101" s="1"/>
      <c r="AC101" s="1"/>
      <c r="AD101" s="1"/>
      <c r="AL101" s="1"/>
      <c r="AM101" s="1"/>
    </row>
    <row r="102" spans="25:39" ht="19.95" customHeight="1">
      <c r="Y102" s="1"/>
      <c r="Z102" s="1"/>
      <c r="AA102" s="1"/>
      <c r="AB102" s="1"/>
      <c r="AC102" s="1"/>
      <c r="AD102" s="1"/>
      <c r="AL102" s="1"/>
      <c r="AM102" s="1"/>
    </row>
    <row r="103" spans="25:39" ht="19.95" customHeight="1">
      <c r="Y103" s="1"/>
      <c r="Z103" s="1"/>
      <c r="AA103" s="1"/>
      <c r="AB103" s="1"/>
      <c r="AC103" s="1"/>
      <c r="AD103" s="1"/>
      <c r="AL103" s="1"/>
      <c r="AM103" s="1"/>
    </row>
    <row r="104" spans="25:39" ht="19.95" customHeight="1">
      <c r="Y104" s="1"/>
      <c r="Z104" s="1"/>
      <c r="AA104" s="1"/>
      <c r="AB104" s="1"/>
      <c r="AC104" s="1"/>
      <c r="AD104" s="1"/>
      <c r="AL104" s="1"/>
      <c r="AM104" s="1"/>
    </row>
    <row r="105" spans="25:39" ht="19.95" customHeight="1">
      <c r="Y105" s="1"/>
      <c r="Z105" s="1"/>
      <c r="AA105" s="1"/>
      <c r="AB105" s="1"/>
      <c r="AC105" s="1"/>
      <c r="AD105" s="1"/>
      <c r="AL105" s="1"/>
      <c r="AM105" s="1"/>
    </row>
    <row r="106" spans="25:39" ht="19.95" customHeight="1">
      <c r="Y106" s="1"/>
      <c r="Z106" s="1"/>
      <c r="AA106" s="1"/>
      <c r="AB106" s="1"/>
      <c r="AC106" s="1"/>
      <c r="AD106" s="1"/>
      <c r="AL106" s="1"/>
      <c r="AM106" s="1"/>
    </row>
    <row r="107" spans="25:39" ht="19.95" customHeight="1">
      <c r="Y107" s="1"/>
      <c r="Z107" s="1"/>
      <c r="AA107" s="1"/>
      <c r="AB107" s="1"/>
      <c r="AC107" s="1"/>
      <c r="AD107" s="1"/>
      <c r="AL107" s="1"/>
      <c r="AM107" s="1"/>
    </row>
    <row r="108" spans="25:39" ht="19.95" customHeight="1">
      <c r="Y108" s="1"/>
      <c r="Z108" s="1"/>
      <c r="AA108" s="1"/>
      <c r="AB108" s="1"/>
      <c r="AC108" s="1"/>
      <c r="AD108" s="1"/>
      <c r="AL108" s="1"/>
      <c r="AM108" s="1"/>
    </row>
    <row r="109" spans="25:39" ht="19.95" customHeight="1">
      <c r="Y109" s="1"/>
      <c r="Z109" s="1"/>
      <c r="AA109" s="1"/>
      <c r="AB109" s="1"/>
      <c r="AC109" s="1"/>
      <c r="AD109" s="1"/>
      <c r="AL109" s="1"/>
      <c r="AM109" s="1"/>
    </row>
    <row r="110" spans="25:39" ht="19.95" customHeight="1">
      <c r="Y110" s="1"/>
      <c r="Z110" s="1"/>
      <c r="AA110" s="1"/>
      <c r="AB110" s="1"/>
      <c r="AC110" s="1"/>
      <c r="AD110" s="1"/>
      <c r="AL110" s="1"/>
      <c r="AM110" s="1"/>
    </row>
    <row r="111" spans="25:39" ht="19.95" customHeight="1">
      <c r="Y111" s="1"/>
      <c r="Z111" s="1"/>
      <c r="AA111" s="1"/>
      <c r="AB111" s="1"/>
      <c r="AC111" s="1"/>
      <c r="AD111" s="1"/>
      <c r="AL111" s="1"/>
      <c r="AM111" s="1"/>
    </row>
    <row r="112" spans="25:39" ht="19.95" customHeight="1">
      <c r="Y112" s="1"/>
      <c r="Z112" s="1"/>
      <c r="AA112" s="1"/>
      <c r="AB112" s="1"/>
      <c r="AC112" s="1"/>
      <c r="AD112" s="1"/>
      <c r="AL112" s="1"/>
      <c r="AM112" s="1"/>
    </row>
    <row r="113" spans="25:39" ht="19.95" customHeight="1">
      <c r="Y113" s="1"/>
      <c r="Z113" s="1"/>
      <c r="AA113" s="1"/>
      <c r="AB113" s="1"/>
      <c r="AC113" s="1"/>
      <c r="AD113" s="1"/>
      <c r="AL113" s="1"/>
      <c r="AM113" s="1"/>
    </row>
    <row r="114" spans="25:39" ht="19.95" customHeight="1">
      <c r="Y114" s="1"/>
      <c r="Z114" s="1"/>
      <c r="AA114" s="1"/>
      <c r="AB114" s="1"/>
      <c r="AC114" s="1"/>
      <c r="AD114" s="1"/>
      <c r="AL114" s="1"/>
      <c r="AM114" s="1"/>
    </row>
    <row r="115" spans="25:39" ht="19.95" customHeight="1">
      <c r="Y115" s="1"/>
      <c r="Z115" s="1"/>
      <c r="AA115" s="1"/>
      <c r="AB115" s="1"/>
      <c r="AC115" s="1"/>
      <c r="AD115" s="1"/>
      <c r="AL115" s="1"/>
      <c r="AM115" s="1"/>
    </row>
    <row r="116" spans="25:39" ht="19.95" customHeight="1">
      <c r="Y116" s="1"/>
      <c r="Z116" s="1"/>
      <c r="AA116" s="1"/>
      <c r="AB116" s="1"/>
      <c r="AC116" s="1"/>
      <c r="AD116" s="1"/>
      <c r="AL116" s="1"/>
      <c r="AM116" s="1"/>
    </row>
    <row r="117" spans="25:39" ht="19.95" customHeight="1"/>
    <row r="118" spans="25:39" ht="19.95" customHeight="1"/>
    <row r="119" spans="25:39" ht="19.95" customHeight="1"/>
    <row r="120" spans="25:39" ht="19.95" customHeight="1"/>
    <row r="121" spans="25:39" ht="19.95" customHeight="1"/>
    <row r="122" spans="25:39" ht="19.95" customHeight="1"/>
    <row r="123" spans="25:39" ht="19.95" customHeight="1"/>
    <row r="124" spans="25:39" ht="19.95" customHeight="1"/>
    <row r="125" spans="25:39" ht="19.95" customHeight="1"/>
    <row r="126" spans="25:39" ht="19.95" customHeight="1"/>
    <row r="127" spans="25:39" ht="19.95" customHeight="1"/>
    <row r="128" spans="25:39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  <row r="208" ht="19.95" customHeight="1"/>
    <row r="209" ht="19.95" customHeight="1"/>
    <row r="210" ht="19.95" customHeight="1"/>
    <row r="211" ht="19.95" customHeight="1"/>
    <row r="212" ht="19.95" customHeight="1"/>
    <row r="213" ht="19.95" customHeight="1"/>
    <row r="214" ht="19.95" customHeight="1"/>
    <row r="215" ht="19.95" customHeight="1"/>
    <row r="216" ht="19.95" customHeight="1"/>
    <row r="217" ht="19.95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9.95" customHeight="1"/>
    <row r="238" ht="19.95" customHeight="1"/>
    <row r="239" ht="19.95" customHeight="1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9.95" customHeight="1"/>
    <row r="255" ht="19.95" customHeight="1"/>
    <row r="256" ht="19.95" customHeight="1"/>
    <row r="257" ht="19.95" customHeight="1"/>
    <row r="258" ht="19.95" customHeight="1"/>
    <row r="259" ht="19.95" customHeight="1"/>
    <row r="260" ht="19.95" customHeight="1"/>
    <row r="261" ht="19.95" customHeight="1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</sheetData>
  <autoFilter ref="A2:AU32" xr:uid="{2AC89955-B654-4648-A6E4-FD67CBA54DDA}"/>
  <sortState xmlns:xlrd2="http://schemas.microsoft.com/office/spreadsheetml/2017/richdata2" ref="A3:AX34">
    <sortCondition ref="AX3"/>
  </sortState>
  <mergeCells count="1">
    <mergeCell ref="AT1:AU1"/>
  </mergeCells>
  <phoneticPr fontId="19" type="noConversion"/>
  <conditionalFormatting sqref="N1:S1 N3:S1048576">
    <cfRule type="containsText" dxfId="231" priority="187" operator="containsText" text="Pending">
      <formula>NOT(ISERROR(SEARCH("Pending",N1)))</formula>
    </cfRule>
  </conditionalFormatting>
  <conditionalFormatting sqref="J1:J1048576">
    <cfRule type="containsText" dxfId="230" priority="185" operator="containsText" text="To be Mobilized">
      <formula>NOT(ISERROR(SEARCH("To be Mobilized",J1)))</formula>
    </cfRule>
    <cfRule type="containsText" dxfId="229" priority="186" operator="containsText" text="Commissioning Pending">
      <formula>NOT(ISERROR(SEARCH("Commissioning Pending",J1)))</formula>
    </cfRule>
    <cfRule type="containsText" dxfId="228" priority="188" operator="containsText" text="On Air Pending">
      <formula>NOT(ISERROR(SEARCH("On Air Pending",J1)))</formula>
    </cfRule>
    <cfRule type="containsText" dxfId="227" priority="189" operator="containsText" text="On Air">
      <formula>NOT(ISERROR(SEARCH("On Air",J1)))</formula>
    </cfRule>
    <cfRule type="containsText" dxfId="226" priority="192" operator="containsText" text="Tx Pending">
      <formula>NOT(ISERROR(SEARCH("Tx Pending",J1)))</formula>
    </cfRule>
    <cfRule type="containsText" dxfId="225" priority="193" operator="containsText" text="Partially Completed">
      <formula>NOT(ISERROR(SEARCH("Partially Completed",J1)))</formula>
    </cfRule>
    <cfRule type="containsText" dxfId="224" priority="194" operator="containsText" text="On Hold">
      <formula>NOT(ISERROR(SEARCH("On Hold",J1)))</formula>
    </cfRule>
  </conditionalFormatting>
  <conditionalFormatting sqref="V1:W1048576 AN1:AU1048576">
    <cfRule type="containsText" dxfId="223" priority="145" operator="containsText" text="Pending">
      <formula>NOT(ISERROR(SEARCH("Pending",V1)))</formula>
    </cfRule>
  </conditionalFormatting>
  <conditionalFormatting sqref="AU1:AU1048576">
    <cfRule type="containsText" dxfId="222" priority="140" operator="containsText" text="Reject">
      <formula>NOT(ISERROR(SEARCH("Reject",AU1)))</formula>
    </cfRule>
  </conditionalFormatting>
  <conditionalFormatting sqref="AU1:AU1048576 T1:T1048576">
    <cfRule type="containsText" dxfId="221" priority="141" operator="containsText" text="Condition">
      <formula>NOT(ISERROR(SEARCH("Condition",T1)))</formula>
    </cfRule>
  </conditionalFormatting>
  <conditionalFormatting sqref="U1:W1048576">
    <cfRule type="containsText" dxfId="220" priority="15" operator="containsText" text="Tx OK">
      <formula>NOT(ISERROR(SEARCH("Tx OK",U1)))</formula>
    </cfRule>
    <cfRule type="containsText" dxfId="219" priority="176" operator="containsText" text="MW Link OK">
      <formula>NOT(ISERROR(SEARCH("MW Link OK",U1)))</formula>
    </cfRule>
    <cfRule type="containsText" dxfId="218" priority="200" operator="containsText" text="Partially Removed">
      <formula>NOT(ISERROR(SEARCH("Partially Removed",U1)))</formula>
    </cfRule>
    <cfRule type="containsText" dxfId="217" priority="201" operator="containsText" text="Tx Pending">
      <formula>NOT(ISERROR(SEARCH("Tx Pending",U1)))</formula>
    </cfRule>
    <cfRule type="containsText" dxfId="216" priority="202" operator="containsText" text="MW Link Pending">
      <formula>NOT(ISERROR(SEARCH("MW Link Pending",U1)))</formula>
    </cfRule>
  </conditionalFormatting>
  <conditionalFormatting sqref="J1:J1048576">
    <cfRule type="containsText" dxfId="215" priority="124" operator="containsText" text="Installation Completed">
      <formula>NOT(ISERROR(SEARCH("Installation Completed",J1)))</formula>
    </cfRule>
    <cfRule type="containsText" dxfId="214" priority="191" operator="containsText" text="TE WIP">
      <formula>NOT(ISERROR(SEARCH("TE WIP",J1)))</formula>
    </cfRule>
  </conditionalFormatting>
  <conditionalFormatting sqref="F1:F1048576">
    <cfRule type="containsText" dxfId="213" priority="1" operator="containsText" text="22">
      <formula>NOT(ISERROR(SEARCH("22",F1)))</formula>
    </cfRule>
    <cfRule type="containsText" dxfId="212" priority="12" operator="containsText" text="30">
      <formula>NOT(ISERROR(SEARCH("30",F1)))</formula>
    </cfRule>
    <cfRule type="containsText" dxfId="211" priority="13" operator="containsText" text="25">
      <formula>NOT(ISERROR(SEARCH("25",F1)))</formula>
    </cfRule>
    <cfRule type="containsText" dxfId="210" priority="14" operator="containsText" text="20">
      <formula>NOT(ISERROR(SEARCH("20",F1)))</formula>
    </cfRule>
  </conditionalFormatting>
  <conditionalFormatting sqref="A1:A1048576">
    <cfRule type="duplicateValues" dxfId="209" priority="11"/>
  </conditionalFormatting>
  <conditionalFormatting sqref="A37:A1048576">
    <cfRule type="duplicateValues" dxfId="208" priority="10"/>
  </conditionalFormatting>
  <conditionalFormatting sqref="V1:W1048576">
    <cfRule type="containsText" dxfId="207" priority="9" operator="containsText" text="Received">
      <formula>NOT(ISERROR(SEARCH("Received",V1)))</formula>
    </cfRule>
  </conditionalFormatting>
  <conditionalFormatting sqref="W1:W1048576">
    <cfRule type="containsText" dxfId="206" priority="2" operator="containsText" text="No">
      <formula>NOT(ISERROR(SEARCH("No",W1)))</formula>
    </cfRule>
    <cfRule type="containsText" dxfId="205" priority="3" operator="containsText" text="Yes">
      <formula>NOT(ISERROR(SEARCH("Yes",W1)))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601B8-B970-4590-A03D-5CC8A83E6D75}">
  <sheetPr codeName="Sheet7"/>
  <dimension ref="A1:P35"/>
  <sheetViews>
    <sheetView zoomScale="90" zoomScaleNormal="90" workbookViewId="0">
      <pane xSplit="5" ySplit="2" topLeftCell="F3" activePane="bottomRight" state="frozen"/>
      <selection pane="topRight" activeCell="G1" sqref="G1"/>
      <selection pane="bottomLeft" activeCell="A3" sqref="A3"/>
      <selection pane="bottomRight" activeCell="J11" sqref="J11"/>
    </sheetView>
  </sheetViews>
  <sheetFormatPr defaultRowHeight="14.4"/>
  <cols>
    <col min="1" max="1" width="12.109375" style="160" customWidth="1"/>
    <col min="2" max="2" width="31.33203125" style="160" bestFit="1" customWidth="1"/>
    <col min="3" max="3" width="13" style="3" customWidth="1"/>
    <col min="4" max="4" width="20.21875" style="3" bestFit="1" customWidth="1"/>
    <col min="5" max="6" width="16.6640625" style="3" customWidth="1"/>
    <col min="7" max="7" width="15.77734375" style="3" customWidth="1"/>
    <col min="8" max="8" width="12.6640625" style="160" customWidth="1"/>
    <col min="9" max="9" width="15.77734375" style="3" bestFit="1" customWidth="1"/>
    <col min="10" max="10" width="55.77734375" style="160" bestFit="1" customWidth="1"/>
    <col min="11" max="11" width="19.21875" style="160" bestFit="1" customWidth="1"/>
    <col min="12" max="12" width="17.44140625" style="160" bestFit="1" customWidth="1"/>
    <col min="13" max="14" width="13.6640625" style="160" bestFit="1" customWidth="1"/>
    <col min="15" max="15" width="39.88671875" style="3" bestFit="1" customWidth="1"/>
    <col min="16" max="16" width="16.44140625" style="160" bestFit="1" customWidth="1"/>
    <col min="17" max="16384" width="8.88671875" style="160"/>
  </cols>
  <sheetData>
    <row r="1" spans="1:16" ht="18">
      <c r="A1" s="159" t="s">
        <v>297</v>
      </c>
    </row>
    <row r="2" spans="1:16" s="3" customFormat="1" ht="19.95" customHeight="1">
      <c r="A2" s="164" t="s">
        <v>0</v>
      </c>
      <c r="B2" s="164" t="s">
        <v>18</v>
      </c>
      <c r="C2" s="164" t="s">
        <v>3</v>
      </c>
      <c r="D2" s="164" t="s">
        <v>15</v>
      </c>
      <c r="E2" s="164" t="s">
        <v>84</v>
      </c>
      <c r="F2" s="164" t="s">
        <v>419</v>
      </c>
      <c r="G2" s="164" t="s">
        <v>420</v>
      </c>
      <c r="H2" s="164" t="s">
        <v>303</v>
      </c>
      <c r="I2" s="164" t="s">
        <v>154</v>
      </c>
      <c r="J2" s="164" t="s">
        <v>298</v>
      </c>
      <c r="K2" s="164" t="s">
        <v>299</v>
      </c>
      <c r="L2" s="164" t="s">
        <v>300</v>
      </c>
      <c r="M2" s="164" t="s">
        <v>301</v>
      </c>
      <c r="N2" s="164" t="s">
        <v>302</v>
      </c>
      <c r="O2" s="164" t="s">
        <v>141</v>
      </c>
      <c r="P2" s="164" t="s">
        <v>304</v>
      </c>
    </row>
    <row r="3" spans="1:16" s="220" customFormat="1" thickBot="1">
      <c r="A3" s="221" t="s">
        <v>167</v>
      </c>
      <c r="B3" s="222" t="s">
        <v>168</v>
      </c>
      <c r="C3" s="223" t="str">
        <f>VLOOKUP(A3,'Full Plan'!A:E, 5,)</f>
        <v>Lucky</v>
      </c>
      <c r="D3" s="224" t="str">
        <f>_xlfn.XLOOKUP($A3,'Full Plan'!$A:$A,'Full Plan'!$J:$J,"")</f>
        <v>On Air Pending</v>
      </c>
      <c r="E3" s="224">
        <f>_xlfn.XLOOKUP($A3,'Full Plan'!$A:$A,'Full Plan'!$F:$F,"")</f>
        <v>25</v>
      </c>
      <c r="F3" s="224" t="str">
        <f>VLOOKUP(A3,'Full Plan'!A:G, 7,)</f>
        <v>Huawei</v>
      </c>
      <c r="G3" s="224" t="str">
        <f>_xlfn.XLOOKUP($A3,'Full Plan'!$A:$A,'Full Plan'!$H:$H,"")</f>
        <v>MW-HYB</v>
      </c>
      <c r="H3" s="225" t="str">
        <f>IF(COUNTIF(I3:N3,"*Pending*")=0,"Ready","Waiting")</f>
        <v>Ready</v>
      </c>
      <c r="I3" s="224" t="str">
        <f>_xlfn.XLOOKUP($A3,'Full Plan'!$A:$A,'Full Plan'!$N:$N,"")</f>
        <v>Received</v>
      </c>
      <c r="J3" s="225" t="str">
        <f>_xlfn.XLOOKUP($A3,'Full Plan'!$A:$A,'Full Plan'!$U:$U,"")&amp;IF(_xlfn.XLOOKUP($A3,'Full Plan'!$A:$A,'Full Plan'!$X:$X,"")="",""," ("&amp;_xlfn.XLOOKUP($A3,'Full Plan'!$A:$A,'Full Plan'!$X:$X,"")&amp;")")</f>
        <v>MW Link OK (18G3068)</v>
      </c>
      <c r="K3" s="225" t="str">
        <f>_xlfn.XLOOKUP($A3,'Full Plan'!$A:$A,'Full Plan'!$O:$O,"")</f>
        <v>Extention Brackets OK</v>
      </c>
      <c r="L3" s="225" t="str">
        <f>_xlfn.XLOOKUP($A3,'Full Plan'!$A:$A,'Full Plan'!$P:$P,"")</f>
        <v>Received</v>
      </c>
      <c r="M3" s="225" t="str">
        <f>_xlfn.XLOOKUP($A3,'Full Plan'!$A:$A,'Full Plan'!$Q:$Q,"")</f>
        <v>Received</v>
      </c>
      <c r="N3" s="225" t="str">
        <f>_xlfn.XLOOKUP($A3,'Full Plan'!$A:$A,'Full Plan'!$R:$R,"")</f>
        <v>Received</v>
      </c>
      <c r="O3" s="224" t="str">
        <f>_xlfn.XLOOKUP($A3,'Full Plan'!$A:$A,'Full Plan'!$K:$K,"")</f>
        <v>CSR Installed on 26th July</v>
      </c>
      <c r="P3" s="226"/>
    </row>
    <row r="4" spans="1:16" s="220" customFormat="1" ht="13.8">
      <c r="A4" s="214" t="s">
        <v>182</v>
      </c>
      <c r="B4" s="215" t="s">
        <v>190</v>
      </c>
      <c r="C4" s="216" t="str">
        <f>VLOOKUP(A4,'Full Plan'!A:E, 5,)</f>
        <v>Chanaka</v>
      </c>
      <c r="D4" s="217" t="str">
        <f>_xlfn.XLOOKUP($A4,'Full Plan'!$A:$A,'Full Plan'!$J:$J,"")</f>
        <v>Installation Completed</v>
      </c>
      <c r="E4" s="217">
        <f>_xlfn.XLOOKUP($A4,'Full Plan'!$A:$A,'Full Plan'!$F:$F,"")</f>
        <v>30</v>
      </c>
      <c r="F4" s="217" t="str">
        <f>VLOOKUP(A4,'Full Plan'!A:G, 7,)</f>
        <v>Huawei</v>
      </c>
      <c r="G4" s="217" t="str">
        <f>_xlfn.XLOOKUP($A4,'Full Plan'!$A:$A,'Full Plan'!$H:$H,"")</f>
        <v>MW-HYB</v>
      </c>
      <c r="H4" s="218" t="str">
        <f>IF(COUNTIF(I4:N4,"*Pending*")=0,"Ready","Waiting")</f>
        <v>Ready</v>
      </c>
      <c r="I4" s="217" t="str">
        <f>_xlfn.XLOOKUP($A4,'Full Plan'!$A:$A,'Full Plan'!$N:$N,"")</f>
        <v>Received</v>
      </c>
      <c r="J4" s="218" t="str">
        <f>_xlfn.XLOOKUP($A4,'Full Plan'!$A:$A,'Full Plan'!$U:$U,"")&amp;IF(_xlfn.XLOOKUP($A4,'Full Plan'!$A:$A,'Full Plan'!$X:$X,"")="",""," ("&amp;_xlfn.XLOOKUP($A4,'Full Plan'!$A:$A,'Full Plan'!$X:$X,"")&amp;")")</f>
        <v>MW Link OK (18G3694)</v>
      </c>
      <c r="K4" s="218" t="str">
        <f>_xlfn.XLOOKUP($A4,'Full Plan'!$A:$A,'Full Plan'!$O:$O,"")</f>
        <v>Extention Brackets OK</v>
      </c>
      <c r="L4" s="218" t="str">
        <f>_xlfn.XLOOKUP($A4,'Full Plan'!$A:$A,'Full Plan'!$P:$P,"")</f>
        <v>Received</v>
      </c>
      <c r="M4" s="218" t="str">
        <f>_xlfn.XLOOKUP($A4,'Full Plan'!$A:$A,'Full Plan'!$Q:$Q,"")</f>
        <v>Received</v>
      </c>
      <c r="N4" s="218" t="str">
        <f>_xlfn.XLOOKUP($A4,'Full Plan'!$A:$A,'Full Plan'!$R:$R,"")</f>
        <v>Received</v>
      </c>
      <c r="O4" s="217" t="str">
        <f>_xlfn.XLOOKUP($A4,'Full Plan'!$A:$A,'Full Plan'!$K:$K,"")</f>
        <v>No CSR at HUB, used back-to-back from Hub</v>
      </c>
      <c r="P4" s="219"/>
    </row>
    <row r="5" spans="1:16" s="220" customFormat="1" ht="13.8">
      <c r="A5" s="221" t="s">
        <v>170</v>
      </c>
      <c r="B5" s="222" t="s">
        <v>171</v>
      </c>
      <c r="C5" s="223" t="str">
        <f>VLOOKUP(A5,'Full Plan'!A:E, 5,)</f>
        <v>Chanaka</v>
      </c>
      <c r="D5" s="224" t="str">
        <f>_xlfn.XLOOKUP($A5,'Full Plan'!$A:$A,'Full Plan'!$J:$J,"")</f>
        <v>On Air Pending</v>
      </c>
      <c r="E5" s="224">
        <f>_xlfn.XLOOKUP($A5,'Full Plan'!$A:$A,'Full Plan'!$F:$F,"")</f>
        <v>25</v>
      </c>
      <c r="F5" s="224" t="str">
        <f>VLOOKUP(A5,'Full Plan'!A:G, 7,)</f>
        <v>Huawei</v>
      </c>
      <c r="G5" s="224" t="str">
        <f>_xlfn.XLOOKUP($A5,'Full Plan'!$A:$A,'Full Plan'!$H:$H,"")</f>
        <v>WiBAS</v>
      </c>
      <c r="H5" s="225" t="str">
        <f>IF(COUNTIF(I5:N5,"*Pending*")=0,"Ready","Waiting")</f>
        <v>Ready</v>
      </c>
      <c r="I5" s="224" t="str">
        <f>_xlfn.XLOOKUP($A5,'Full Plan'!$A:$A,'Full Plan'!$N:$N,"")</f>
        <v>Received</v>
      </c>
      <c r="J5" s="225" t="str">
        <f>_xlfn.XLOOKUP($A5,'Full Plan'!$A:$A,'Full Plan'!$U:$U,"")&amp;IF(_xlfn.XLOOKUP($A5,'Full Plan'!$A:$A,'Full Plan'!$X:$X,"")="",""," ("&amp;_xlfn.XLOOKUP($A5,'Full Plan'!$A:$A,'Full Plan'!$X:$X,"")&amp;")")</f>
        <v>MW Link OK (10G1017)</v>
      </c>
      <c r="K5" s="225" t="str">
        <f>_xlfn.XLOOKUP($A5,'Full Plan'!$A:$A,'Full Plan'!$O:$O,"")</f>
        <v>Extention Brackets OK</v>
      </c>
      <c r="L5" s="225" t="str">
        <f>_xlfn.XLOOKUP($A5,'Full Plan'!$A:$A,'Full Plan'!$P:$P,"")</f>
        <v>Received</v>
      </c>
      <c r="M5" s="225" t="str">
        <f>_xlfn.XLOOKUP($A5,'Full Plan'!$A:$A,'Full Plan'!$Q:$Q,"")</f>
        <v>Received</v>
      </c>
      <c r="N5" s="225" t="str">
        <f>_xlfn.XLOOKUP($A5,'Full Plan'!$A:$A,'Full Plan'!$R:$R,"")</f>
        <v>Received</v>
      </c>
      <c r="O5" s="224" t="str">
        <f>_xlfn.XLOOKUP($A5,'Full Plan'!$A:$A,'Full Plan'!$K:$K,"")</f>
        <v>No power at site, Hub changed due to access issue</v>
      </c>
      <c r="P5" s="226"/>
    </row>
    <row r="6" spans="1:16" s="220" customFormat="1" ht="13.8">
      <c r="A6" s="221" t="s">
        <v>165</v>
      </c>
      <c r="B6" s="222" t="s">
        <v>166</v>
      </c>
      <c r="C6" s="223" t="str">
        <f>VLOOKUP(A6,'Full Plan'!A:E, 5,)</f>
        <v>Lucky</v>
      </c>
      <c r="D6" s="224" t="str">
        <f>_xlfn.XLOOKUP($A6,'Full Plan'!$A:$A,'Full Plan'!$J:$J,"")</f>
        <v>TE WIP</v>
      </c>
      <c r="E6" s="224">
        <f>_xlfn.XLOOKUP($A6,'Full Plan'!$A:$A,'Full Plan'!$F:$F,"")</f>
        <v>30</v>
      </c>
      <c r="F6" s="224" t="str">
        <f>VLOOKUP(A6,'Full Plan'!A:G, 7,)</f>
        <v>Huawei</v>
      </c>
      <c r="G6" s="224" t="str">
        <f>_xlfn.XLOOKUP($A6,'Full Plan'!$A:$A,'Full Plan'!$H:$H,"")</f>
        <v>MW-HYB</v>
      </c>
      <c r="H6" s="225" t="str">
        <f>IF(COUNTIF(I6:N6,"*Pending*")=0,"Ready","Waiting")</f>
        <v>Ready</v>
      </c>
      <c r="I6" s="224" t="str">
        <f>_xlfn.XLOOKUP($A6,'Full Plan'!$A:$A,'Full Plan'!$N:$N,"")</f>
        <v>Received</v>
      </c>
      <c r="J6" s="225" t="str">
        <f>_xlfn.XLOOKUP($A6,'Full Plan'!$A:$A,'Full Plan'!$U:$U,"")&amp;IF(_xlfn.XLOOKUP($A6,'Full Plan'!$A:$A,'Full Plan'!$X:$X,"")="",""," ("&amp;_xlfn.XLOOKUP($A6,'Full Plan'!$A:$A,'Full Plan'!$X:$X,"")&amp;")")</f>
        <v>MW Link OK (ACE WH - Collected on 24th July)</v>
      </c>
      <c r="K6" s="225" t="str">
        <f>_xlfn.XLOOKUP($A6,'Full Plan'!$A:$A,'Full Plan'!$O:$O,"")</f>
        <v>Extention Brackets OK</v>
      </c>
      <c r="L6" s="225" t="str">
        <f>_xlfn.XLOOKUP($A6,'Full Plan'!$A:$A,'Full Plan'!$P:$P,"")</f>
        <v>Received</v>
      </c>
      <c r="M6" s="225" t="str">
        <f>_xlfn.XLOOKUP($A6,'Full Plan'!$A:$A,'Full Plan'!$Q:$Q,"")</f>
        <v>Received</v>
      </c>
      <c r="N6" s="225" t="str">
        <f>_xlfn.XLOOKUP($A6,'Full Plan'!$A:$A,'Full Plan'!$R:$R,"")</f>
        <v>Received</v>
      </c>
      <c r="O6" s="224">
        <f>_xlfn.XLOOKUP($A6,'Full Plan'!$A:$A,'Full Plan'!$K:$K,"")</f>
        <v>0</v>
      </c>
      <c r="P6" s="226"/>
    </row>
    <row r="7" spans="1:16" s="220" customFormat="1" ht="13.8">
      <c r="A7" s="221" t="s">
        <v>163</v>
      </c>
      <c r="B7" s="222" t="s">
        <v>164</v>
      </c>
      <c r="C7" s="223" t="str">
        <f>VLOOKUP(A7,'Full Plan'!A:E, 5,)</f>
        <v>Chanaka</v>
      </c>
      <c r="D7" s="224" t="str">
        <f>_xlfn.XLOOKUP($A7,'Full Plan'!$A:$A,'Full Plan'!$J:$J,"")</f>
        <v>TE WIP</v>
      </c>
      <c r="E7" s="224">
        <f>_xlfn.XLOOKUP($A7,'Full Plan'!$A:$A,'Full Plan'!$F:$F,"")</f>
        <v>30</v>
      </c>
      <c r="F7" s="224" t="str">
        <f>VLOOKUP(A7,'Full Plan'!A:G, 7,)</f>
        <v>Huawei</v>
      </c>
      <c r="G7" s="224" t="str">
        <f>_xlfn.XLOOKUP($A7,'Full Plan'!$A:$A,'Full Plan'!$H:$H,"")</f>
        <v>MW-HYB</v>
      </c>
      <c r="H7" s="225" t="str">
        <f t="shared" ref="H7:H31" si="0">IF(COUNTIF(I7:N7,"*Pending*")=0,"Ready","Waiting")</f>
        <v>Ready</v>
      </c>
      <c r="I7" s="224" t="str">
        <f>_xlfn.XLOOKUP($A7,'Full Plan'!$A:$A,'Full Plan'!$N:$N,"")</f>
        <v>Received</v>
      </c>
      <c r="J7" s="225" t="str">
        <f>_xlfn.XLOOKUP($A7,'Full Plan'!$A:$A,'Full Plan'!$U:$U,"")&amp;IF(_xlfn.XLOOKUP($A7,'Full Plan'!$A:$A,'Full Plan'!$X:$X,"")="",""," ("&amp;_xlfn.XLOOKUP($A7,'Full Plan'!$A:$A,'Full Plan'!$X:$X,"")&amp;")")</f>
        <v>MW Link OK (ACE WH - Collected on 24th July)</v>
      </c>
      <c r="K7" s="225" t="str">
        <f>_xlfn.XLOOKUP($A7,'Full Plan'!$A:$A,'Full Plan'!$O:$O,"")</f>
        <v>Extention Brackets OK</v>
      </c>
      <c r="L7" s="225" t="str">
        <f>_xlfn.XLOOKUP($A7,'Full Plan'!$A:$A,'Full Plan'!$P:$P,"")</f>
        <v>Received</v>
      </c>
      <c r="M7" s="225" t="str">
        <f>_xlfn.XLOOKUP($A7,'Full Plan'!$A:$A,'Full Plan'!$Q:$Q,"")</f>
        <v>Received</v>
      </c>
      <c r="N7" s="225" t="str">
        <f>_xlfn.XLOOKUP($A7,'Full Plan'!$A:$A,'Full Plan'!$R:$R,"")</f>
        <v>Received</v>
      </c>
      <c r="O7" s="224" t="str">
        <f>_xlfn.XLOOKUP($A7,'Full Plan'!$A:$A,'Full Plan'!$K:$K,"")</f>
        <v>TE Materials Delivered on 27th July</v>
      </c>
      <c r="P7" s="226"/>
    </row>
    <row r="8" spans="1:16" s="220" customFormat="1" ht="13.8">
      <c r="A8" s="221" t="s">
        <v>180</v>
      </c>
      <c r="B8" s="222" t="s">
        <v>188</v>
      </c>
      <c r="C8" s="223" t="str">
        <f>VLOOKUP(A8,'Full Plan'!A:E, 5,)</f>
        <v>Manoj</v>
      </c>
      <c r="D8" s="224" t="str">
        <f>_xlfn.XLOOKUP($A8,'Full Plan'!$A:$A,'Full Plan'!$J:$J,"")</f>
        <v>To be Mobilized</v>
      </c>
      <c r="E8" s="224">
        <f>_xlfn.XLOOKUP($A8,'Full Plan'!$A:$A,'Full Plan'!$F:$F,"")</f>
        <v>20</v>
      </c>
      <c r="F8" s="224" t="str">
        <f>VLOOKUP(A8,'Full Plan'!A:G, 7,)</f>
        <v>Huawei</v>
      </c>
      <c r="G8" s="224" t="str">
        <f>_xlfn.XLOOKUP($A8,'Full Plan'!$A:$A,'Full Plan'!$H:$H,"")</f>
        <v>MW-HYB</v>
      </c>
      <c r="H8" s="225" t="str">
        <f t="shared" si="0"/>
        <v>Ready</v>
      </c>
      <c r="I8" s="224" t="str">
        <f>_xlfn.XLOOKUP($A8,'Full Plan'!$A:$A,'Full Plan'!$N:$N,"")</f>
        <v>Received</v>
      </c>
      <c r="J8" s="225" t="str">
        <f>_xlfn.XLOOKUP($A8,'Full Plan'!$A:$A,'Full Plan'!$U:$U,"")&amp;IF(_xlfn.XLOOKUP($A8,'Full Plan'!$A:$A,'Full Plan'!$X:$X,"")="",""," ("&amp;_xlfn.XLOOKUP($A8,'Full Plan'!$A:$A,'Full Plan'!$X:$X,"")&amp;")")</f>
        <v>MW Link OK (ACE WH &amp; 18G336 Superfine Removed Received on - 24th July &amp; 25th July)</v>
      </c>
      <c r="K8" s="225" t="str">
        <f>_xlfn.XLOOKUP($A8,'Full Plan'!$A:$A,'Full Plan'!$O:$O,"")</f>
        <v>Received</v>
      </c>
      <c r="L8" s="225" t="str">
        <f>_xlfn.XLOOKUP($A8,'Full Plan'!$A:$A,'Full Plan'!$P:$P,"")</f>
        <v>Received</v>
      </c>
      <c r="M8" s="225" t="str">
        <f>_xlfn.XLOOKUP($A8,'Full Plan'!$A:$A,'Full Plan'!$Q:$Q,"")</f>
        <v>Received</v>
      </c>
      <c r="N8" s="225" t="str">
        <f>_xlfn.XLOOKUP($A8,'Full Plan'!$A:$A,'Full Plan'!$R:$R,"")</f>
        <v>Received</v>
      </c>
      <c r="O8" s="224" t="str">
        <f>_xlfn.XLOOKUP($A8,'Full Plan'!$A:$A,'Full Plan'!$K:$K,"")</f>
        <v>TE Materials Delivered on 26th July</v>
      </c>
      <c r="P8" s="226"/>
    </row>
    <row r="9" spans="1:16" s="220" customFormat="1" ht="13.8">
      <c r="A9" s="256" t="s">
        <v>203</v>
      </c>
      <c r="B9" s="257" t="s">
        <v>204</v>
      </c>
      <c r="C9" s="258">
        <f>VLOOKUP(A9,'Full Plan'!A:E, 5,)</f>
        <v>0</v>
      </c>
      <c r="D9" s="224" t="str">
        <f>_xlfn.XLOOKUP($A9,'Full Plan'!$A:$A,'Full Plan'!$J:$J,"")</f>
        <v>On Hold</v>
      </c>
      <c r="E9" s="224">
        <f>_xlfn.XLOOKUP($A9,'Full Plan'!$A:$A,'Full Plan'!$F:$F,"")</f>
        <v>30</v>
      </c>
      <c r="F9" s="224" t="str">
        <f>VLOOKUP(A9,'Full Plan'!A:G, 7,)</f>
        <v>Huawei</v>
      </c>
      <c r="G9" s="224" t="str">
        <f>_xlfn.XLOOKUP($A9,'Full Plan'!$A:$A,'Full Plan'!$H:$H,"")</f>
        <v>MW-HYB</v>
      </c>
      <c r="H9" s="225" t="str">
        <f>IF(COUNTIF(I9:N9,"*Pending*")=0,"Ready","Waiting")</f>
        <v>Waiting</v>
      </c>
      <c r="I9" s="224" t="str">
        <f>_xlfn.XLOOKUP($A9,'Full Plan'!$A:$A,'Full Plan'!$N:$N,"")</f>
        <v>Received</v>
      </c>
      <c r="J9" s="225" t="str">
        <f>_xlfn.XLOOKUP($A9,'Full Plan'!$A:$A,'Full Plan'!$U:$U,"")&amp;IF(_xlfn.XLOOKUP($A9,'Full Plan'!$A:$A,'Full Plan'!$X:$X,"")="",""," ("&amp;_xlfn.XLOOKUP($A9,'Full Plan'!$A:$A,'Full Plan'!$X:$X,"")&amp;")")</f>
        <v>MW Link Pending (ACE WH &amp; 18G336 Superfine Removed Received on - 24th July &amp; 25th July)</v>
      </c>
      <c r="K9" s="225" t="str">
        <f>_xlfn.XLOOKUP($A9,'Full Plan'!$A:$A,'Full Plan'!$O:$O,"")</f>
        <v>Pending</v>
      </c>
      <c r="L9" s="225" t="str">
        <f>_xlfn.XLOOKUP($A9,'Full Plan'!$A:$A,'Full Plan'!$P:$P,"")</f>
        <v>Received</v>
      </c>
      <c r="M9" s="225" t="str">
        <f>_xlfn.XLOOKUP($A9,'Full Plan'!$A:$A,'Full Plan'!$Q:$Q,"")</f>
        <v>Pending</v>
      </c>
      <c r="N9" s="225" t="str">
        <f>_xlfn.XLOOKUP($A9,'Full Plan'!$A:$A,'Full Plan'!$R:$R,"")</f>
        <v>Pending</v>
      </c>
      <c r="O9" s="224" t="str">
        <f>_xlfn.XLOOKUP($A9,'Full Plan'!$A:$A,'Full Plan'!$K:$K,"")</f>
        <v>Site Hold by E.Co, despute</v>
      </c>
      <c r="P9" s="226"/>
    </row>
    <row r="10" spans="1:16" s="220" customFormat="1" ht="13.8">
      <c r="A10" s="221" t="s">
        <v>205</v>
      </c>
      <c r="B10" s="222" t="s">
        <v>206</v>
      </c>
      <c r="C10" s="223" t="str">
        <f>VLOOKUP(A10,'Full Plan'!A:E, 5,)</f>
        <v>Wasantha</v>
      </c>
      <c r="D10" s="224" t="str">
        <f>_xlfn.XLOOKUP($A10,'Full Plan'!$A:$A,'Full Plan'!$J:$J,"")</f>
        <v>On Hold</v>
      </c>
      <c r="E10" s="224">
        <f>_xlfn.XLOOKUP($A10,'Full Plan'!$A:$A,'Full Plan'!$F:$F,"")</f>
        <v>25</v>
      </c>
      <c r="F10" s="224" t="str">
        <f>VLOOKUP(A10,'Full Plan'!A:G, 7,)</f>
        <v>Huawei</v>
      </c>
      <c r="G10" s="224" t="str">
        <f>_xlfn.XLOOKUP($A10,'Full Plan'!$A:$A,'Full Plan'!$H:$H,"")</f>
        <v>WiBAS</v>
      </c>
      <c r="H10" s="225" t="str">
        <f>IF(COUNTIF(I10:N10,"*Pending*")=0,"Ready","Waiting")</f>
        <v>Ready</v>
      </c>
      <c r="I10" s="224" t="str">
        <f>_xlfn.XLOOKUP($A10,'Full Plan'!$A:$A,'Full Plan'!$N:$N,"")</f>
        <v>Received</v>
      </c>
      <c r="J10" s="225" t="str">
        <f>_xlfn.XLOOKUP($A10,'Full Plan'!$A:$A,'Full Plan'!$U:$U,"")&amp;IF(_xlfn.XLOOKUP($A10,'Full Plan'!$A:$A,'Full Plan'!$X:$X,"")="",""," ("&amp;_xlfn.XLOOKUP($A10,'Full Plan'!$A:$A,'Full Plan'!$X:$X,"")&amp;")")</f>
        <v>MW Link OK (10G1454, NO Low ODU)</v>
      </c>
      <c r="K10" s="225" t="str">
        <f>_xlfn.XLOOKUP($A10,'Full Plan'!$A:$A,'Full Plan'!$O:$O,"")</f>
        <v>Extention Brackets OK</v>
      </c>
      <c r="L10" s="225" t="str">
        <f>_xlfn.XLOOKUP($A10,'Full Plan'!$A:$A,'Full Plan'!$P:$P,"")</f>
        <v>Received</v>
      </c>
      <c r="M10" s="225" t="str">
        <f>_xlfn.XLOOKUP($A10,'Full Plan'!$A:$A,'Full Plan'!$Q:$Q,"")</f>
        <v>Received</v>
      </c>
      <c r="N10" s="225" t="str">
        <f>_xlfn.XLOOKUP($A10,'Full Plan'!$A:$A,'Full Plan'!$R:$R,"")</f>
        <v>Received</v>
      </c>
      <c r="O10" s="224">
        <f>_xlfn.XLOOKUP($A10,'Full Plan'!$A:$A,'Full Plan'!$K:$K,"")</f>
        <v>0</v>
      </c>
      <c r="P10" s="226"/>
    </row>
    <row r="11" spans="1:16" s="220" customFormat="1" ht="13.8">
      <c r="A11" s="221" t="s">
        <v>213</v>
      </c>
      <c r="B11" s="222" t="s">
        <v>214</v>
      </c>
      <c r="C11" s="223">
        <f>VLOOKUP(A11,'Full Plan'!A:E, 5,)</f>
        <v>0</v>
      </c>
      <c r="D11" s="224" t="str">
        <f>_xlfn.XLOOKUP($A11,'Full Plan'!$A:$A,'Full Plan'!$J:$J,"")</f>
        <v>On Hold</v>
      </c>
      <c r="E11" s="224">
        <f>_xlfn.XLOOKUP($A11,'Full Plan'!$A:$A,'Full Plan'!$F:$F,"")</f>
        <v>30</v>
      </c>
      <c r="F11" s="224" t="str">
        <f>VLOOKUP(A11,'Full Plan'!A:G, 7,)</f>
        <v>Huawei</v>
      </c>
      <c r="G11" s="224" t="str">
        <f>_xlfn.XLOOKUP($A11,'Full Plan'!$A:$A,'Full Plan'!$H:$H,"")</f>
        <v>MW-HYB</v>
      </c>
      <c r="H11" s="225" t="str">
        <f t="shared" si="0"/>
        <v>Waiting</v>
      </c>
      <c r="I11" s="224" t="str">
        <f>_xlfn.XLOOKUP($A11,'Full Plan'!$A:$A,'Full Plan'!$N:$N,"")</f>
        <v>Partially, No BBUs</v>
      </c>
      <c r="J11" s="225" t="str">
        <f>_xlfn.XLOOKUP($A11,'Full Plan'!$A:$A,'Full Plan'!$U:$U,"")&amp;IF(_xlfn.XLOOKUP($A11,'Full Plan'!$A:$A,'Full Plan'!$X:$X,"")="",""," ("&amp;_xlfn.XLOOKUP($A11,'Full Plan'!$A:$A,'Full Plan'!$X:$X,"")&amp;")")</f>
        <v>MW Link Pending (18G2980)</v>
      </c>
      <c r="K11" s="225" t="str">
        <f>_xlfn.XLOOKUP($A11,'Full Plan'!$A:$A,'Full Plan'!$O:$O,"")</f>
        <v>Extention Brackets OK</v>
      </c>
      <c r="L11" s="225" t="str">
        <f>_xlfn.XLOOKUP($A11,'Full Plan'!$A:$A,'Full Plan'!$P:$P,"")</f>
        <v>Received</v>
      </c>
      <c r="M11" s="225" t="str">
        <f>_xlfn.XLOOKUP($A11,'Full Plan'!$A:$A,'Full Plan'!$Q:$Q,"")</f>
        <v>Pending</v>
      </c>
      <c r="N11" s="225" t="str">
        <f>_xlfn.XLOOKUP($A11,'Full Plan'!$A:$A,'Full Plan'!$R:$R,"")</f>
        <v>Received</v>
      </c>
      <c r="O11" s="224" t="str">
        <f>_xlfn.XLOOKUP($A11,'Full Plan'!$A:$A,'Full Plan'!$K:$K,"")</f>
        <v>Tx WO &amp; Mapping Pending</v>
      </c>
      <c r="P11" s="226"/>
    </row>
    <row r="12" spans="1:16" s="220" customFormat="1" ht="13.8">
      <c r="A12" s="221" t="s">
        <v>211</v>
      </c>
      <c r="B12" s="222" t="s">
        <v>212</v>
      </c>
      <c r="C12" s="223">
        <f>VLOOKUP(A12,'Full Plan'!A:E, 5,)</f>
        <v>0</v>
      </c>
      <c r="D12" s="224" t="str">
        <f>_xlfn.XLOOKUP($A12,'Full Plan'!$A:$A,'Full Plan'!$J:$J,"")</f>
        <v>On Hold</v>
      </c>
      <c r="E12" s="224">
        <f>_xlfn.XLOOKUP($A12,'Full Plan'!$A:$A,'Full Plan'!$F:$F,"")</f>
        <v>30</v>
      </c>
      <c r="F12" s="224" t="str">
        <f>VLOOKUP(A12,'Full Plan'!A:G, 7,)</f>
        <v>Huawei</v>
      </c>
      <c r="G12" s="224" t="str">
        <f>_xlfn.XLOOKUP($A12,'Full Plan'!$A:$A,'Full Plan'!$H:$H,"")</f>
        <v>MW-HYB</v>
      </c>
      <c r="H12" s="225" t="str">
        <f>IF(COUNTIF(I12:N12,"*Pending*")=0,"Ready","Waiting")</f>
        <v>Waiting</v>
      </c>
      <c r="I12" s="224" t="str">
        <f>_xlfn.XLOOKUP($A12,'Full Plan'!$A:$A,'Full Plan'!$N:$N,"")</f>
        <v>Partially, No BBUs</v>
      </c>
      <c r="J12" s="225" t="str">
        <f>_xlfn.XLOOKUP($A12,'Full Plan'!$A:$A,'Full Plan'!$U:$U,"")&amp;IF(_xlfn.XLOOKUP($A12,'Full Plan'!$A:$A,'Full Plan'!$X:$X,"")="",""," ("&amp;_xlfn.XLOOKUP($A12,'Full Plan'!$A:$A,'Full Plan'!$X:$X,"")&amp;")")</f>
        <v>MW Link Pending</v>
      </c>
      <c r="K12" s="225" t="str">
        <f>_xlfn.XLOOKUP($A12,'Full Plan'!$A:$A,'Full Plan'!$O:$O,"")</f>
        <v>Extention Brackets OK</v>
      </c>
      <c r="L12" s="225" t="str">
        <f>_xlfn.XLOOKUP($A12,'Full Plan'!$A:$A,'Full Plan'!$P:$P,"")</f>
        <v>Received</v>
      </c>
      <c r="M12" s="225" t="str">
        <f>_xlfn.XLOOKUP($A12,'Full Plan'!$A:$A,'Full Plan'!$Q:$Q,"")</f>
        <v>Pending</v>
      </c>
      <c r="N12" s="225" t="str">
        <f>_xlfn.XLOOKUP($A12,'Full Plan'!$A:$A,'Full Plan'!$R:$R,"")</f>
        <v>Received</v>
      </c>
      <c r="O12" s="224" t="str">
        <f>_xlfn.XLOOKUP($A12,'Full Plan'!$A:$A,'Full Plan'!$K:$K,"")</f>
        <v>Tx WO &amp; Mapping Pending</v>
      </c>
      <c r="P12" s="226"/>
    </row>
    <row r="13" spans="1:16" s="220" customFormat="1" thickBot="1">
      <c r="A13" s="227" t="s">
        <v>215</v>
      </c>
      <c r="B13" s="228" t="s">
        <v>216</v>
      </c>
      <c r="C13" s="229">
        <f>VLOOKUP(A13,'Full Plan'!A:E, 5,)</f>
        <v>0</v>
      </c>
      <c r="D13" s="230" t="str">
        <f>_xlfn.XLOOKUP($A13,'Full Plan'!$A:$A,'Full Plan'!$J:$J,"")</f>
        <v>On Hold</v>
      </c>
      <c r="E13" s="230">
        <f>_xlfn.XLOOKUP($A13,'Full Plan'!$A:$A,'Full Plan'!$F:$F,"")</f>
        <v>20</v>
      </c>
      <c r="F13" s="230" t="str">
        <f>VLOOKUP(A13,'Full Plan'!A:G, 7,)</f>
        <v>Huawei</v>
      </c>
      <c r="G13" s="230" t="str">
        <f>_xlfn.XLOOKUP($A13,'Full Plan'!$A:$A,'Full Plan'!$H:$H,"")</f>
        <v>WiBAS</v>
      </c>
      <c r="H13" s="231" t="str">
        <f>IF(COUNTIF(I13:N13,"*Pending*")=0,"Ready","Waiting")</f>
        <v>Waiting</v>
      </c>
      <c r="I13" s="230" t="str">
        <f>_xlfn.XLOOKUP($A13,'Full Plan'!$A:$A,'Full Plan'!$N:$N,"")</f>
        <v>Pending</v>
      </c>
      <c r="J13" s="231" t="str">
        <f>_xlfn.XLOOKUP($A13,'Full Plan'!$A:$A,'Full Plan'!$U:$U,"")&amp;IF(_xlfn.XLOOKUP($A13,'Full Plan'!$A:$A,'Full Plan'!$X:$X,"")="",""," ("&amp;_xlfn.XLOOKUP($A13,'Full Plan'!$A:$A,'Full Plan'!$X:$X,"")&amp;")")</f>
        <v>MW Link Pending</v>
      </c>
      <c r="K13" s="231" t="str">
        <f>_xlfn.XLOOKUP($A13,'Full Plan'!$A:$A,'Full Plan'!$O:$O,"")</f>
        <v>Received</v>
      </c>
      <c r="L13" s="231" t="str">
        <f>_xlfn.XLOOKUP($A13,'Full Plan'!$A:$A,'Full Plan'!$P:$P,"")</f>
        <v>Received</v>
      </c>
      <c r="M13" s="231" t="str">
        <f>_xlfn.XLOOKUP($A13,'Full Plan'!$A:$A,'Full Plan'!$Q:$Q,"")</f>
        <v>Received</v>
      </c>
      <c r="N13" s="231" t="str">
        <f>_xlfn.XLOOKUP($A13,'Full Plan'!$A:$A,'Full Plan'!$R:$R,"")</f>
        <v>Received</v>
      </c>
      <c r="O13" s="230" t="str">
        <f>_xlfn.XLOOKUP($A13,'Full Plan'!$A:$A,'Full Plan'!$K:$K,"")</f>
        <v>Tx WO &amp; Mapping Pending</v>
      </c>
      <c r="P13" s="232"/>
    </row>
    <row r="14" spans="1:16" s="220" customFormat="1" ht="13.8">
      <c r="A14" s="233" t="s">
        <v>225</v>
      </c>
      <c r="B14" s="233" t="s">
        <v>226</v>
      </c>
      <c r="C14" s="234">
        <f>VLOOKUP(A14,'Full Plan'!A:E, 5,)</f>
        <v>0</v>
      </c>
      <c r="D14" s="234" t="str">
        <f>_xlfn.XLOOKUP($A14,'Full Plan'!$A:$A,'Full Plan'!$J:$J,"")</f>
        <v>On Hold</v>
      </c>
      <c r="E14" s="234">
        <f>_xlfn.XLOOKUP($A14,'Full Plan'!$A:$A,'Full Plan'!$F:$F,"")</f>
        <v>22</v>
      </c>
      <c r="F14" s="234" t="str">
        <f>VLOOKUP(A14,'Full Plan'!A:G, 7,)</f>
        <v>Ericsson</v>
      </c>
      <c r="G14" s="234" t="str">
        <f>_xlfn.XLOOKUP($A14,'Full Plan'!$A:$A,'Full Plan'!$H:$H,"")</f>
        <v>MW-HYB</v>
      </c>
      <c r="H14" s="233" t="str">
        <f t="shared" si="0"/>
        <v>Waiting</v>
      </c>
      <c r="I14" s="234" t="str">
        <f>_xlfn.XLOOKUP($A14,'Full Plan'!$A:$A,'Full Plan'!$N:$N,"")</f>
        <v>Pending</v>
      </c>
      <c r="J14" s="233" t="str">
        <f>_xlfn.XLOOKUP($A14,'Full Plan'!$A:$A,'Full Plan'!$U:$U,"")&amp;IF(_xlfn.XLOOKUP($A14,'Full Plan'!$A:$A,'Full Plan'!$X:$X,"")="",""," ("&amp;_xlfn.XLOOKUP($A14,'Full Plan'!$A:$A,'Full Plan'!$X:$X,"")&amp;")")</f>
        <v>MW Link Pending (23G2684)</v>
      </c>
      <c r="K14" s="233" t="str">
        <f>_xlfn.XLOOKUP($A14,'Full Plan'!$A:$A,'Full Plan'!$O:$O,"")</f>
        <v>Extention Brackets OK</v>
      </c>
      <c r="L14" s="233" t="str">
        <f>_xlfn.XLOOKUP($A14,'Full Plan'!$A:$A,'Full Plan'!$P:$P,"")</f>
        <v>Received</v>
      </c>
      <c r="M14" s="233" t="str">
        <f>_xlfn.XLOOKUP($A14,'Full Plan'!$A:$A,'Full Plan'!$Q:$Q,"")</f>
        <v>Received</v>
      </c>
      <c r="N14" s="233" t="str">
        <f>_xlfn.XLOOKUP($A14,'Full Plan'!$A:$A,'Full Plan'!$R:$R,"")</f>
        <v>Received</v>
      </c>
      <c r="O14" s="234">
        <f>_xlfn.XLOOKUP($A14,'Full Plan'!$A:$A,'Full Plan'!$K:$K,"")</f>
        <v>0</v>
      </c>
      <c r="P14" s="233"/>
    </row>
    <row r="15" spans="1:16" s="220" customFormat="1" ht="13.8">
      <c r="A15" s="225" t="s">
        <v>217</v>
      </c>
      <c r="B15" s="225" t="s">
        <v>218</v>
      </c>
      <c r="C15" s="224" t="str">
        <f>VLOOKUP(A15,'Full Plan'!A:E, 5,)</f>
        <v>Chanaka</v>
      </c>
      <c r="D15" s="224" t="str">
        <f>_xlfn.XLOOKUP($A15,'Full Plan'!$A:$A,'Full Plan'!$J:$J,"")</f>
        <v>On Hold</v>
      </c>
      <c r="E15" s="224">
        <f>_xlfn.XLOOKUP($A15,'Full Plan'!$A:$A,'Full Plan'!$F:$F,"")</f>
        <v>25</v>
      </c>
      <c r="F15" s="224" t="str">
        <f>VLOOKUP(A15,'Full Plan'!A:G, 7,)</f>
        <v>Huawei</v>
      </c>
      <c r="G15" s="224" t="str">
        <f>_xlfn.XLOOKUP($A15,'Full Plan'!$A:$A,'Full Plan'!$H:$H,"")</f>
        <v>OFN</v>
      </c>
      <c r="H15" s="225" t="str">
        <f>IF(COUNTIF(I15:N15,"*Pending*")=0,"Ready","Waiting")</f>
        <v>Waiting</v>
      </c>
      <c r="I15" s="224" t="str">
        <f>_xlfn.XLOOKUP($A15,'Full Plan'!$A:$A,'Full Plan'!$N:$N,"")</f>
        <v>Partially, No BBUs</v>
      </c>
      <c r="J15" s="225" t="str">
        <f>_xlfn.XLOOKUP($A15,'Full Plan'!$A:$A,'Full Plan'!$U:$U,"")&amp;IF(_xlfn.XLOOKUP($A15,'Full Plan'!$A:$A,'Full Plan'!$X:$X,"")="",""," ("&amp;_xlfn.XLOOKUP($A15,'Full Plan'!$A:$A,'Full Plan'!$X:$X,"")&amp;")")</f>
        <v>Tx Pending</v>
      </c>
      <c r="K15" s="225" t="str">
        <f>_xlfn.XLOOKUP($A15,'Full Plan'!$A:$A,'Full Plan'!$O:$O,"")</f>
        <v>Extention Brackets OK</v>
      </c>
      <c r="L15" s="225" t="str">
        <f>_xlfn.XLOOKUP($A15,'Full Plan'!$A:$A,'Full Plan'!$P:$P,"")</f>
        <v>Received</v>
      </c>
      <c r="M15" s="225" t="str">
        <f>_xlfn.XLOOKUP($A15,'Full Plan'!$A:$A,'Full Plan'!$Q:$Q,"")</f>
        <v>Received</v>
      </c>
      <c r="N15" s="225" t="str">
        <f>_xlfn.XLOOKUP($A15,'Full Plan'!$A:$A,'Full Plan'!$R:$R,"")</f>
        <v>N/A</v>
      </c>
      <c r="O15" s="224" t="str">
        <f>_xlfn.XLOOKUP($A15,'Full Plan'!$A:$A,'Full Plan'!$K:$K,"")</f>
        <v>bbu pending</v>
      </c>
      <c r="P15" s="225"/>
    </row>
    <row r="16" spans="1:16" s="220" customFormat="1" ht="13.8">
      <c r="A16" s="225" t="s">
        <v>221</v>
      </c>
      <c r="B16" s="225" t="s">
        <v>222</v>
      </c>
      <c r="C16" s="224" t="str">
        <f>VLOOKUP(A16,'Full Plan'!A:E, 5,)</f>
        <v>Lucky</v>
      </c>
      <c r="D16" s="224" t="str">
        <f>_xlfn.XLOOKUP($A16,'Full Plan'!$A:$A,'Full Plan'!$J:$J,"")</f>
        <v>On Hold</v>
      </c>
      <c r="E16" s="224">
        <f>_xlfn.XLOOKUP($A16,'Full Plan'!$A:$A,'Full Plan'!$F:$F,"")</f>
        <v>30</v>
      </c>
      <c r="F16" s="224" t="str">
        <f>VLOOKUP(A16,'Full Plan'!A:G, 7,)</f>
        <v>Huawei</v>
      </c>
      <c r="G16" s="224" t="str">
        <f>_xlfn.XLOOKUP($A16,'Full Plan'!$A:$A,'Full Plan'!$H:$H,"")</f>
        <v>OFN</v>
      </c>
      <c r="H16" s="225" t="str">
        <f>IF(COUNTIF(I16:N16,"*Pending*")=0,"Ready","Waiting")</f>
        <v>Waiting</v>
      </c>
      <c r="I16" s="224" t="str">
        <f>_xlfn.XLOOKUP($A16,'Full Plan'!$A:$A,'Full Plan'!$N:$N,"")</f>
        <v>Partially, No BBUs</v>
      </c>
      <c r="J16" s="225" t="str">
        <f>_xlfn.XLOOKUP($A16,'Full Plan'!$A:$A,'Full Plan'!$U:$U,"")&amp;IF(_xlfn.XLOOKUP($A16,'Full Plan'!$A:$A,'Full Plan'!$X:$X,"")="",""," ("&amp;_xlfn.XLOOKUP($A16,'Full Plan'!$A:$A,'Full Plan'!$X:$X,"")&amp;")")</f>
        <v>MW Link Pending</v>
      </c>
      <c r="K16" s="225" t="str">
        <f>_xlfn.XLOOKUP($A16,'Full Plan'!$A:$A,'Full Plan'!$O:$O,"")</f>
        <v>Pending</v>
      </c>
      <c r="L16" s="225" t="str">
        <f>_xlfn.XLOOKUP($A16,'Full Plan'!$A:$A,'Full Plan'!$P:$P,"")</f>
        <v>Received</v>
      </c>
      <c r="M16" s="225" t="str">
        <f>_xlfn.XLOOKUP($A16,'Full Plan'!$A:$A,'Full Plan'!$Q:$Q,"")</f>
        <v>Pending</v>
      </c>
      <c r="N16" s="225" t="str">
        <f>_xlfn.XLOOKUP($A16,'Full Plan'!$A:$A,'Full Plan'!$R:$R,"")</f>
        <v>N/A</v>
      </c>
      <c r="O16" s="224" t="str">
        <f>_xlfn.XLOOKUP($A16,'Full Plan'!$A:$A,'Full Plan'!$K:$K,"")</f>
        <v>bbu pending</v>
      </c>
      <c r="P16" s="225"/>
    </row>
    <row r="17" spans="1:16" s="220" customFormat="1" ht="13.8">
      <c r="A17" s="225" t="s">
        <v>201</v>
      </c>
      <c r="B17" s="225" t="s">
        <v>202</v>
      </c>
      <c r="C17" s="224">
        <f>VLOOKUP(A17,'Full Plan'!A:E, 5,)</f>
        <v>0</v>
      </c>
      <c r="D17" s="224" t="str">
        <f>_xlfn.XLOOKUP($A17,'Full Plan'!$A:$A,'Full Plan'!$J:$J,"")</f>
        <v>On Hold</v>
      </c>
      <c r="E17" s="224">
        <f>_xlfn.XLOOKUP($A17,'Full Plan'!$A:$A,'Full Plan'!$F:$F,"")</f>
        <v>30</v>
      </c>
      <c r="F17" s="224" t="str">
        <f>VLOOKUP(A17,'Full Plan'!A:G, 7,)</f>
        <v>Ericsson</v>
      </c>
      <c r="G17" s="224" t="str">
        <f>_xlfn.XLOOKUP($A17,'Full Plan'!$A:$A,'Full Plan'!$H:$H,"")</f>
        <v>MW-HYB</v>
      </c>
      <c r="H17" s="225" t="str">
        <f t="shared" si="0"/>
        <v>Waiting</v>
      </c>
      <c r="I17" s="224" t="str">
        <f>_xlfn.XLOOKUP($A17,'Full Plan'!$A:$A,'Full Plan'!$N:$N,"")</f>
        <v>Pending</v>
      </c>
      <c r="J17" s="225" t="str">
        <f>_xlfn.XLOOKUP($A17,'Full Plan'!$A:$A,'Full Plan'!$U:$U,"")&amp;IF(_xlfn.XLOOKUP($A17,'Full Plan'!$A:$A,'Full Plan'!$X:$X,"")="",""," ("&amp;_xlfn.XLOOKUP($A17,'Full Plan'!$A:$A,'Full Plan'!$X:$X,"")&amp;")")</f>
        <v>MW Link Pending (23G2496)</v>
      </c>
      <c r="K17" s="225" t="str">
        <f>_xlfn.XLOOKUP($A17,'Full Plan'!$A:$A,'Full Plan'!$O:$O,"")</f>
        <v>Pending</v>
      </c>
      <c r="L17" s="225" t="str">
        <f>_xlfn.XLOOKUP($A17,'Full Plan'!$A:$A,'Full Plan'!$P:$P,"")</f>
        <v>Received</v>
      </c>
      <c r="M17" s="225" t="str">
        <f>_xlfn.XLOOKUP($A17,'Full Plan'!$A:$A,'Full Plan'!$Q:$Q,"")</f>
        <v>Pending</v>
      </c>
      <c r="N17" s="225" t="str">
        <f>_xlfn.XLOOKUP($A17,'Full Plan'!$A:$A,'Full Plan'!$R:$R,"")</f>
        <v>Pending</v>
      </c>
      <c r="O17" s="224">
        <f>_xlfn.XLOOKUP($A17,'Full Plan'!$A:$A,'Full Plan'!$K:$K,"")</f>
        <v>0</v>
      </c>
      <c r="P17" s="225"/>
    </row>
    <row r="18" spans="1:16" s="220" customFormat="1" ht="13.8">
      <c r="A18" s="225" t="s">
        <v>223</v>
      </c>
      <c r="B18" s="225" t="s">
        <v>315</v>
      </c>
      <c r="C18" s="224">
        <f>VLOOKUP(A18,'Full Plan'!A:E, 5,)</f>
        <v>0</v>
      </c>
      <c r="D18" s="224" t="str">
        <f>_xlfn.XLOOKUP($A18,'Full Plan'!$A:$A,'Full Plan'!$J:$J,"")</f>
        <v>On Hold</v>
      </c>
      <c r="E18" s="224">
        <f>_xlfn.XLOOKUP($A18,'Full Plan'!$A:$A,'Full Plan'!$F:$F,"")</f>
        <v>30</v>
      </c>
      <c r="F18" s="224" t="str">
        <f>VLOOKUP(A18,'Full Plan'!A:G, 7,)</f>
        <v>Ericsson</v>
      </c>
      <c r="G18" s="224" t="str">
        <f>_xlfn.XLOOKUP($A18,'Full Plan'!$A:$A,'Full Plan'!$H:$H,"")</f>
        <v>MW-HYB</v>
      </c>
      <c r="H18" s="225" t="str">
        <f t="shared" si="0"/>
        <v>Waiting</v>
      </c>
      <c r="I18" s="224" t="str">
        <f>_xlfn.XLOOKUP($A18,'Full Plan'!$A:$A,'Full Plan'!$N:$N,"")</f>
        <v>Pending</v>
      </c>
      <c r="J18" s="225" t="str">
        <f>_xlfn.XLOOKUP($A18,'Full Plan'!$A:$A,'Full Plan'!$U:$U,"")&amp;IF(_xlfn.XLOOKUP($A18,'Full Plan'!$A:$A,'Full Plan'!$X:$X,"")="",""," ("&amp;_xlfn.XLOOKUP($A18,'Full Plan'!$A:$A,'Full Plan'!$X:$X,"")&amp;")")</f>
        <v>MW Link Pending (23G2161)</v>
      </c>
      <c r="K18" s="225" t="str">
        <f>_xlfn.XLOOKUP($A18,'Full Plan'!$A:$A,'Full Plan'!$O:$O,"")</f>
        <v>Pending</v>
      </c>
      <c r="L18" s="225" t="str">
        <f>_xlfn.XLOOKUP($A18,'Full Plan'!$A:$A,'Full Plan'!$P:$P,"")</f>
        <v>Received</v>
      </c>
      <c r="M18" s="225" t="str">
        <f>_xlfn.XLOOKUP($A18,'Full Plan'!$A:$A,'Full Plan'!$Q:$Q,"")</f>
        <v>Pending</v>
      </c>
      <c r="N18" s="225" t="str">
        <f>_xlfn.XLOOKUP($A18,'Full Plan'!$A:$A,'Full Plan'!$R:$R,"")</f>
        <v>Pending</v>
      </c>
      <c r="O18" s="224">
        <f>_xlfn.XLOOKUP($A18,'Full Plan'!$A:$A,'Full Plan'!$K:$K,"")</f>
        <v>0</v>
      </c>
      <c r="P18" s="225"/>
    </row>
    <row r="19" spans="1:16" s="220" customFormat="1" ht="13.8">
      <c r="A19" s="225" t="s">
        <v>227</v>
      </c>
      <c r="B19" s="225" t="s">
        <v>228</v>
      </c>
      <c r="C19" s="224">
        <f>VLOOKUP(A19,'Full Plan'!A:E, 5,)</f>
        <v>0</v>
      </c>
      <c r="D19" s="224" t="str">
        <f>_xlfn.XLOOKUP($A19,'Full Plan'!$A:$A,'Full Plan'!$J:$J,"")</f>
        <v>On Hold</v>
      </c>
      <c r="E19" s="224">
        <f>_xlfn.XLOOKUP($A19,'Full Plan'!$A:$A,'Full Plan'!$F:$F,"")</f>
        <v>20</v>
      </c>
      <c r="F19" s="224" t="str">
        <f>VLOOKUP(A19,'Full Plan'!A:G, 7,)</f>
        <v>Ericsson</v>
      </c>
      <c r="G19" s="224" t="str">
        <f>_xlfn.XLOOKUP($A19,'Full Plan'!$A:$A,'Full Plan'!$H:$H,"")</f>
        <v>MW-HYB</v>
      </c>
      <c r="H19" s="225" t="str">
        <f t="shared" si="0"/>
        <v>Waiting</v>
      </c>
      <c r="I19" s="224" t="str">
        <f>_xlfn.XLOOKUP($A19,'Full Plan'!$A:$A,'Full Plan'!$N:$N,"")</f>
        <v>Pending</v>
      </c>
      <c r="J19" s="225" t="str">
        <f>_xlfn.XLOOKUP($A19,'Full Plan'!$A:$A,'Full Plan'!$U:$U,"")&amp;IF(_xlfn.XLOOKUP($A19,'Full Plan'!$A:$A,'Full Plan'!$X:$X,"")="",""," ("&amp;_xlfn.XLOOKUP($A19,'Full Plan'!$A:$A,'Full Plan'!$X:$X,"")&amp;")")</f>
        <v>MW Link OK (18G2006)</v>
      </c>
      <c r="K19" s="225" t="str">
        <f>_xlfn.XLOOKUP($A19,'Full Plan'!$A:$A,'Full Plan'!$O:$O,"")</f>
        <v>Received</v>
      </c>
      <c r="L19" s="225" t="str">
        <f>_xlfn.XLOOKUP($A19,'Full Plan'!$A:$A,'Full Plan'!$P:$P,"")</f>
        <v>Received</v>
      </c>
      <c r="M19" s="225" t="str">
        <f>_xlfn.XLOOKUP($A19,'Full Plan'!$A:$A,'Full Plan'!$Q:$Q,"")</f>
        <v>Received</v>
      </c>
      <c r="N19" s="225" t="str">
        <f>_xlfn.XLOOKUP($A19,'Full Plan'!$A:$A,'Full Plan'!$R:$R,"")</f>
        <v>Received</v>
      </c>
      <c r="O19" s="224">
        <f>_xlfn.XLOOKUP($A19,'Full Plan'!$A:$A,'Full Plan'!$K:$K,"")</f>
        <v>0</v>
      </c>
      <c r="P19" s="225"/>
    </row>
    <row r="20" spans="1:16" s="220" customFormat="1" ht="13.8">
      <c r="A20" s="225" t="s">
        <v>183</v>
      </c>
      <c r="B20" s="225" t="s">
        <v>191</v>
      </c>
      <c r="C20" s="224">
        <f>VLOOKUP(A20,'Full Plan'!A:E, 5,)</f>
        <v>0</v>
      </c>
      <c r="D20" s="224" t="str">
        <f>_xlfn.XLOOKUP($A20,'Full Plan'!$A:$A,'Full Plan'!$J:$J,"")</f>
        <v>On Hold</v>
      </c>
      <c r="E20" s="224">
        <f>_xlfn.XLOOKUP($A20,'Full Plan'!$A:$A,'Full Plan'!$F:$F,"")</f>
        <v>25</v>
      </c>
      <c r="F20" s="224" t="str">
        <f>VLOOKUP(A20,'Full Plan'!A:G, 7,)</f>
        <v>Ericsson</v>
      </c>
      <c r="G20" s="224" t="str">
        <f>_xlfn.XLOOKUP($A20,'Full Plan'!$A:$A,'Full Plan'!$H:$H,"")</f>
        <v>OFN</v>
      </c>
      <c r="H20" s="225" t="str">
        <f t="shared" si="0"/>
        <v>Waiting</v>
      </c>
      <c r="I20" s="224" t="str">
        <f>_xlfn.XLOOKUP($A20,'Full Plan'!$A:$A,'Full Plan'!$N:$N,"")</f>
        <v>Pending</v>
      </c>
      <c r="J20" s="225" t="str">
        <f>_xlfn.XLOOKUP($A20,'Full Plan'!$A:$A,'Full Plan'!$U:$U,"")&amp;IF(_xlfn.XLOOKUP($A20,'Full Plan'!$A:$A,'Full Plan'!$X:$X,"")="",""," ("&amp;_xlfn.XLOOKUP($A20,'Full Plan'!$A:$A,'Full Plan'!$X:$X,"")&amp;")")</f>
        <v>Tx Pending</v>
      </c>
      <c r="K20" s="225" t="str">
        <f>_xlfn.XLOOKUP($A20,'Full Plan'!$A:$A,'Full Plan'!$O:$O,"")</f>
        <v>Extention Brackets OK</v>
      </c>
      <c r="L20" s="225" t="str">
        <f>_xlfn.XLOOKUP($A20,'Full Plan'!$A:$A,'Full Plan'!$P:$P,"")</f>
        <v>Pending</v>
      </c>
      <c r="M20" s="225" t="str">
        <f>_xlfn.XLOOKUP($A20,'Full Plan'!$A:$A,'Full Plan'!$Q:$Q,"")</f>
        <v>Received</v>
      </c>
      <c r="N20" s="225" t="str">
        <f>_xlfn.XLOOKUP($A20,'Full Plan'!$A:$A,'Full Plan'!$R:$R,"")</f>
        <v>N/A</v>
      </c>
      <c r="O20" s="224">
        <f>_xlfn.XLOOKUP($A20,'Full Plan'!$A:$A,'Full Plan'!$K:$K,"")</f>
        <v>0</v>
      </c>
      <c r="P20" s="225"/>
    </row>
    <row r="21" spans="1:16" s="220" customFormat="1" ht="13.8">
      <c r="A21" s="225" t="s">
        <v>184</v>
      </c>
      <c r="B21" s="225" t="s">
        <v>193</v>
      </c>
      <c r="C21" s="224">
        <f>VLOOKUP(A21,'Full Plan'!A:E, 5,)</f>
        <v>0</v>
      </c>
      <c r="D21" s="224" t="str">
        <f>_xlfn.XLOOKUP($A21,'Full Plan'!$A:$A,'Full Plan'!$J:$J,"")</f>
        <v>On Hold</v>
      </c>
      <c r="E21" s="224">
        <f>_xlfn.XLOOKUP($A21,'Full Plan'!$A:$A,'Full Plan'!$F:$F,"")</f>
        <v>25</v>
      </c>
      <c r="F21" s="224" t="str">
        <f>VLOOKUP(A21,'Full Plan'!A:G, 7,)</f>
        <v>Ericsson</v>
      </c>
      <c r="G21" s="224" t="str">
        <f>_xlfn.XLOOKUP($A21,'Full Plan'!$A:$A,'Full Plan'!$H:$H,"")</f>
        <v>OFN</v>
      </c>
      <c r="H21" s="225" t="str">
        <f t="shared" si="0"/>
        <v>Waiting</v>
      </c>
      <c r="I21" s="224" t="str">
        <f>_xlfn.XLOOKUP($A21,'Full Plan'!$A:$A,'Full Plan'!$N:$N,"")</f>
        <v>Pending</v>
      </c>
      <c r="J21" s="225" t="str">
        <f>_xlfn.XLOOKUP($A21,'Full Plan'!$A:$A,'Full Plan'!$U:$U,"")&amp;IF(_xlfn.XLOOKUP($A21,'Full Plan'!$A:$A,'Full Plan'!$X:$X,"")="",""," ("&amp;_xlfn.XLOOKUP($A21,'Full Plan'!$A:$A,'Full Plan'!$X:$X,"")&amp;")")</f>
        <v>Tx Pending</v>
      </c>
      <c r="K21" s="225" t="str">
        <f>_xlfn.XLOOKUP($A21,'Full Plan'!$A:$A,'Full Plan'!$O:$O,"")</f>
        <v>Extention Brackets OK</v>
      </c>
      <c r="L21" s="225" t="str">
        <f>_xlfn.XLOOKUP($A21,'Full Plan'!$A:$A,'Full Plan'!$P:$P,"")</f>
        <v>Pending</v>
      </c>
      <c r="M21" s="225" t="str">
        <f>_xlfn.XLOOKUP($A21,'Full Plan'!$A:$A,'Full Plan'!$Q:$Q,"")</f>
        <v>Received</v>
      </c>
      <c r="N21" s="225" t="str">
        <f>_xlfn.XLOOKUP($A21,'Full Plan'!$A:$A,'Full Plan'!$R:$R,"")</f>
        <v>N/A</v>
      </c>
      <c r="O21" s="224">
        <f>_xlfn.XLOOKUP($A21,'Full Plan'!$A:$A,'Full Plan'!$K:$K,"")</f>
        <v>0</v>
      </c>
      <c r="P21" s="225"/>
    </row>
    <row r="22" spans="1:16" s="220" customFormat="1" ht="13.8">
      <c r="A22" s="225" t="s">
        <v>181</v>
      </c>
      <c r="B22" s="225" t="s">
        <v>189</v>
      </c>
      <c r="C22" s="224">
        <f>VLOOKUP(A22,'Full Plan'!A:E, 5,)</f>
        <v>0</v>
      </c>
      <c r="D22" s="224" t="str">
        <f>_xlfn.XLOOKUP($A22,'Full Plan'!$A:$A,'Full Plan'!$J:$J,"")</f>
        <v>On Hold</v>
      </c>
      <c r="E22" s="224">
        <f>_xlfn.XLOOKUP($A22,'Full Plan'!$A:$A,'Full Plan'!$F:$F,"")</f>
        <v>30</v>
      </c>
      <c r="F22" s="224" t="str">
        <f>VLOOKUP(A22,'Full Plan'!A:G, 7,)</f>
        <v>Ericsson</v>
      </c>
      <c r="G22" s="224" t="str">
        <f>_xlfn.XLOOKUP($A22,'Full Plan'!$A:$A,'Full Plan'!$H:$H,"")</f>
        <v>OFN</v>
      </c>
      <c r="H22" s="225" t="str">
        <f t="shared" si="0"/>
        <v>Waiting</v>
      </c>
      <c r="I22" s="224" t="str">
        <f>_xlfn.XLOOKUP($A22,'Full Plan'!$A:$A,'Full Plan'!$N:$N,"")</f>
        <v>Pending</v>
      </c>
      <c r="J22" s="225" t="str">
        <f>_xlfn.XLOOKUP($A22,'Full Plan'!$A:$A,'Full Plan'!$U:$U,"")&amp;IF(_xlfn.XLOOKUP($A22,'Full Plan'!$A:$A,'Full Plan'!$X:$X,"")="",""," ("&amp;_xlfn.XLOOKUP($A22,'Full Plan'!$A:$A,'Full Plan'!$X:$X,"")&amp;")")</f>
        <v>Tx Pending</v>
      </c>
      <c r="K22" s="225" t="str">
        <f>_xlfn.XLOOKUP($A22,'Full Plan'!$A:$A,'Full Plan'!$O:$O,"")</f>
        <v>Extention Brackets OK</v>
      </c>
      <c r="L22" s="225" t="str">
        <f>_xlfn.XLOOKUP($A22,'Full Plan'!$A:$A,'Full Plan'!$P:$P,"")</f>
        <v>Received</v>
      </c>
      <c r="M22" s="225" t="str">
        <f>_xlfn.XLOOKUP($A22,'Full Plan'!$A:$A,'Full Plan'!$Q:$Q,"")</f>
        <v>Pending</v>
      </c>
      <c r="N22" s="225" t="str">
        <f>_xlfn.XLOOKUP($A22,'Full Plan'!$A:$A,'Full Plan'!$R:$R,"")</f>
        <v>N/A</v>
      </c>
      <c r="O22" s="224">
        <f>_xlfn.XLOOKUP($A22,'Full Plan'!$A:$A,'Full Plan'!$K:$K,"")</f>
        <v>0</v>
      </c>
      <c r="P22" s="225"/>
    </row>
    <row r="23" spans="1:16" s="220" customFormat="1" ht="13.8">
      <c r="A23" s="225" t="s">
        <v>219</v>
      </c>
      <c r="B23" s="225" t="s">
        <v>220</v>
      </c>
      <c r="C23" s="224">
        <f>VLOOKUP(A23,'Full Plan'!A:E, 5,)</f>
        <v>0</v>
      </c>
      <c r="D23" s="224" t="str">
        <f>_xlfn.XLOOKUP($A23,'Full Plan'!$A:$A,'Full Plan'!$J:$J,"")</f>
        <v>On Hold</v>
      </c>
      <c r="E23" s="224">
        <f>_xlfn.XLOOKUP($A23,'Full Plan'!$A:$A,'Full Plan'!$F:$F,"")</f>
        <v>20</v>
      </c>
      <c r="F23" s="224" t="str">
        <f>VLOOKUP(A23,'Full Plan'!A:G, 7,)</f>
        <v>Huawei</v>
      </c>
      <c r="G23" s="224" t="str">
        <f>_xlfn.XLOOKUP($A23,'Full Plan'!$A:$A,'Full Plan'!$H:$H,"")</f>
        <v>OFN</v>
      </c>
      <c r="H23" s="225" t="str">
        <f t="shared" si="0"/>
        <v>Waiting</v>
      </c>
      <c r="I23" s="224" t="str">
        <f>_xlfn.XLOOKUP($A23,'Full Plan'!$A:$A,'Full Plan'!$N:$N,"")</f>
        <v>Partially, No BBUs</v>
      </c>
      <c r="J23" s="225" t="str">
        <f>_xlfn.XLOOKUP($A23,'Full Plan'!$A:$A,'Full Plan'!$U:$U,"")&amp;IF(_xlfn.XLOOKUP($A23,'Full Plan'!$A:$A,'Full Plan'!$X:$X,"")="",""," ("&amp;_xlfn.XLOOKUP($A23,'Full Plan'!$A:$A,'Full Plan'!$X:$X,"")&amp;")")</f>
        <v>Tx Pending</v>
      </c>
      <c r="K23" s="225" t="str">
        <f>_xlfn.XLOOKUP($A23,'Full Plan'!$A:$A,'Full Plan'!$O:$O,"")</f>
        <v>Extention Brackets OK</v>
      </c>
      <c r="L23" s="225" t="str">
        <f>_xlfn.XLOOKUP($A23,'Full Plan'!$A:$A,'Full Plan'!$P:$P,"")</f>
        <v>Received</v>
      </c>
      <c r="M23" s="225" t="str">
        <f>_xlfn.XLOOKUP($A23,'Full Plan'!$A:$A,'Full Plan'!$Q:$Q,"")</f>
        <v>Received</v>
      </c>
      <c r="N23" s="225" t="str">
        <f>_xlfn.XLOOKUP($A23,'Full Plan'!$A:$A,'Full Plan'!$R:$R,"")</f>
        <v>N/A</v>
      </c>
      <c r="O23" s="224" t="str">
        <f>_xlfn.XLOOKUP($A23,'Full Plan'!$A:$A,'Full Plan'!$K:$K,"")</f>
        <v>bbu pending</v>
      </c>
      <c r="P23" s="225"/>
    </row>
    <row r="24" spans="1:16" s="220" customFormat="1" ht="13.8">
      <c r="A24" s="225" t="s">
        <v>209</v>
      </c>
      <c r="B24" s="225" t="s">
        <v>210</v>
      </c>
      <c r="C24" s="224">
        <f>VLOOKUP(A24,'Full Plan'!A:E, 5,)</f>
        <v>0</v>
      </c>
      <c r="D24" s="224" t="str">
        <f>_xlfn.XLOOKUP($A24,'Full Plan'!$A:$A,'Full Plan'!$J:$J,"")</f>
        <v>On Hold</v>
      </c>
      <c r="E24" s="224">
        <f>_xlfn.XLOOKUP($A24,'Full Plan'!$A:$A,'Full Plan'!$F:$F,"")</f>
        <v>20</v>
      </c>
      <c r="F24" s="224" t="str">
        <f>VLOOKUP(A24,'Full Plan'!A:G, 7,)</f>
        <v>Huawei</v>
      </c>
      <c r="G24" s="224" t="str">
        <f>_xlfn.XLOOKUP($A24,'Full Plan'!$A:$A,'Full Plan'!$H:$H,"")</f>
        <v>OFN</v>
      </c>
      <c r="H24" s="225" t="str">
        <f t="shared" si="0"/>
        <v>Waiting</v>
      </c>
      <c r="I24" s="224" t="str">
        <f>_xlfn.XLOOKUP($A24,'Full Plan'!$A:$A,'Full Plan'!$N:$N,"")</f>
        <v>Partially, No BBUs</v>
      </c>
      <c r="J24" s="225" t="str">
        <f>_xlfn.XLOOKUP($A24,'Full Plan'!$A:$A,'Full Plan'!$U:$U,"")&amp;IF(_xlfn.XLOOKUP($A24,'Full Plan'!$A:$A,'Full Plan'!$X:$X,"")="",""," ("&amp;_xlfn.XLOOKUP($A24,'Full Plan'!$A:$A,'Full Plan'!$X:$X,"")&amp;")")</f>
        <v>Tx Pending</v>
      </c>
      <c r="K24" s="225" t="str">
        <f>_xlfn.XLOOKUP($A24,'Full Plan'!$A:$A,'Full Plan'!$O:$O,"")</f>
        <v>Received</v>
      </c>
      <c r="L24" s="225" t="str">
        <f>_xlfn.XLOOKUP($A24,'Full Plan'!$A:$A,'Full Plan'!$P:$P,"")</f>
        <v>Received</v>
      </c>
      <c r="M24" s="225" t="str">
        <f>_xlfn.XLOOKUP($A24,'Full Plan'!$A:$A,'Full Plan'!$Q:$Q,"")</f>
        <v>Received</v>
      </c>
      <c r="N24" s="225" t="str">
        <f>_xlfn.XLOOKUP($A24,'Full Plan'!$A:$A,'Full Plan'!$R:$R,"")</f>
        <v>N/A</v>
      </c>
      <c r="O24" s="224" t="str">
        <f>_xlfn.XLOOKUP($A24,'Full Plan'!$A:$A,'Full Plan'!$K:$K,"")</f>
        <v>despute, bbu pending</v>
      </c>
      <c r="P24" s="225"/>
    </row>
    <row r="25" spans="1:16" s="220" customFormat="1" ht="13.8">
      <c r="A25" s="225" t="s">
        <v>207</v>
      </c>
      <c r="B25" s="225" t="s">
        <v>208</v>
      </c>
      <c r="C25" s="224">
        <f>VLOOKUP(A25,'Full Plan'!A:E, 5,)</f>
        <v>0</v>
      </c>
      <c r="D25" s="224" t="str">
        <f>_xlfn.XLOOKUP($A25,'Full Plan'!$A:$A,'Full Plan'!$J:$J,"")</f>
        <v>On Hold</v>
      </c>
      <c r="E25" s="224">
        <f>_xlfn.XLOOKUP($A25,'Full Plan'!$A:$A,'Full Plan'!$F:$F,"")</f>
        <v>20</v>
      </c>
      <c r="F25" s="224" t="str">
        <f>VLOOKUP(A25,'Full Plan'!A:G, 7,)</f>
        <v>Huawei</v>
      </c>
      <c r="G25" s="224" t="str">
        <f>_xlfn.XLOOKUP($A25,'Full Plan'!$A:$A,'Full Plan'!$H:$H,"")</f>
        <v>OFN</v>
      </c>
      <c r="H25" s="225" t="str">
        <f t="shared" si="0"/>
        <v>Waiting</v>
      </c>
      <c r="I25" s="224" t="str">
        <f>_xlfn.XLOOKUP($A25,'Full Plan'!$A:$A,'Full Plan'!$N:$N,"")</f>
        <v>Partially, No BBUs</v>
      </c>
      <c r="J25" s="225" t="str">
        <f>_xlfn.XLOOKUP($A25,'Full Plan'!$A:$A,'Full Plan'!$U:$U,"")&amp;IF(_xlfn.XLOOKUP($A25,'Full Plan'!$A:$A,'Full Plan'!$X:$X,"")="",""," ("&amp;_xlfn.XLOOKUP($A25,'Full Plan'!$A:$A,'Full Plan'!$X:$X,"")&amp;")")</f>
        <v>Tx Pending</v>
      </c>
      <c r="K25" s="225" t="str">
        <f>_xlfn.XLOOKUP($A25,'Full Plan'!$A:$A,'Full Plan'!$O:$O,"")</f>
        <v>Received</v>
      </c>
      <c r="L25" s="225" t="str">
        <f>_xlfn.XLOOKUP($A25,'Full Plan'!$A:$A,'Full Plan'!$P:$P,"")</f>
        <v>Received</v>
      </c>
      <c r="M25" s="225" t="str">
        <f>_xlfn.XLOOKUP($A25,'Full Plan'!$A:$A,'Full Plan'!$Q:$Q,"")</f>
        <v>Received</v>
      </c>
      <c r="N25" s="225" t="str">
        <f>_xlfn.XLOOKUP($A25,'Full Plan'!$A:$A,'Full Plan'!$R:$R,"")</f>
        <v>N/A</v>
      </c>
      <c r="O25" s="224" t="str">
        <f>_xlfn.XLOOKUP($A25,'Full Plan'!$A:$A,'Full Plan'!$K:$K,"")</f>
        <v>bbu pending</v>
      </c>
      <c r="P25" s="225"/>
    </row>
    <row r="26" spans="1:16" s="220" customFormat="1" ht="13.8">
      <c r="A26" s="225" t="s">
        <v>294</v>
      </c>
      <c r="B26" s="225" t="s">
        <v>295</v>
      </c>
      <c r="C26" s="224">
        <f>VLOOKUP(A26,'Full Plan'!A:E, 5,)</f>
        <v>0</v>
      </c>
      <c r="D26" s="224" t="str">
        <f>_xlfn.XLOOKUP($A26,'Full Plan'!$A:$A,'Full Plan'!$J:$J,"")</f>
        <v>On Hold</v>
      </c>
      <c r="E26" s="224">
        <f>_xlfn.XLOOKUP($A26,'Full Plan'!$A:$A,'Full Plan'!$F:$F,"")</f>
        <v>30</v>
      </c>
      <c r="F26" s="224" t="str">
        <f>VLOOKUP(A26,'Full Plan'!A:G, 7,)</f>
        <v>Ericsson</v>
      </c>
      <c r="G26" s="224" t="str">
        <f>_xlfn.XLOOKUP($A26,'Full Plan'!$A:$A,'Full Plan'!$H:$H,"")</f>
        <v>OFN</v>
      </c>
      <c r="H26" s="225" t="str">
        <f t="shared" si="0"/>
        <v>Waiting</v>
      </c>
      <c r="I26" s="224" t="str">
        <f>_xlfn.XLOOKUP($A26,'Full Plan'!$A:$A,'Full Plan'!$N:$N,"")</f>
        <v>Pending</v>
      </c>
      <c r="J26" s="225" t="str">
        <f>_xlfn.XLOOKUP($A26,'Full Plan'!$A:$A,'Full Plan'!$U:$U,"")&amp;IF(_xlfn.XLOOKUP($A26,'Full Plan'!$A:$A,'Full Plan'!$X:$X,"")="",""," ("&amp;_xlfn.XLOOKUP($A26,'Full Plan'!$A:$A,'Full Plan'!$X:$X,"")&amp;")")</f>
        <v>MW Link OK</v>
      </c>
      <c r="K26" s="225" t="str">
        <f>_xlfn.XLOOKUP($A26,'Full Plan'!$A:$A,'Full Plan'!$O:$O,"")</f>
        <v>Extention Brackets OK</v>
      </c>
      <c r="L26" s="225" t="str">
        <f>_xlfn.XLOOKUP($A26,'Full Plan'!$A:$A,'Full Plan'!$P:$P,"")</f>
        <v>Pending</v>
      </c>
      <c r="M26" s="225" t="str">
        <f>_xlfn.XLOOKUP($A26,'Full Plan'!$A:$A,'Full Plan'!$Q:$Q,"")</f>
        <v>Pending</v>
      </c>
      <c r="N26" s="225" t="str">
        <f>_xlfn.XLOOKUP($A26,'Full Plan'!$A:$A,'Full Plan'!$R:$R,"")</f>
        <v>N/A</v>
      </c>
      <c r="O26" s="224" t="str">
        <f>_xlfn.XLOOKUP($A26,'Full Plan'!$A:$A,'Full Plan'!$K:$K,"")</f>
        <v>Design Pending</v>
      </c>
      <c r="P26" s="225"/>
    </row>
    <row r="27" spans="1:16" s="220" customFormat="1" ht="13.8">
      <c r="A27" s="253" t="s">
        <v>307</v>
      </c>
      <c r="B27" s="253" t="s">
        <v>308</v>
      </c>
      <c r="C27" s="254">
        <f>VLOOKUP(A27,'Full Plan'!A:E, 5,)</f>
        <v>0</v>
      </c>
      <c r="D27" s="224" t="str">
        <f>_xlfn.XLOOKUP($A27,'Full Plan'!$A:$A,'Full Plan'!$J:$J,"")</f>
        <v>On Hold</v>
      </c>
      <c r="E27" s="224">
        <f>_xlfn.XLOOKUP($A27,'Full Plan'!$A:$A,'Full Plan'!$F:$F,"")</f>
        <v>30</v>
      </c>
      <c r="F27" s="224" t="str">
        <f>VLOOKUP(A27,'Full Plan'!A:G, 7,)</f>
        <v>Huawei</v>
      </c>
      <c r="G27" s="224" t="str">
        <f>_xlfn.XLOOKUP($A27,'Full Plan'!$A:$A,'Full Plan'!$H:$H,"")</f>
        <v>OFN</v>
      </c>
      <c r="H27" s="225" t="str">
        <f t="shared" si="0"/>
        <v>Waiting</v>
      </c>
      <c r="I27" s="224" t="str">
        <f>_xlfn.XLOOKUP($A27,'Full Plan'!$A:$A,'Full Plan'!$N:$N,"")</f>
        <v>Partially, No BBUs</v>
      </c>
      <c r="J27" s="225" t="str">
        <f>_xlfn.XLOOKUP($A27,'Full Plan'!$A:$A,'Full Plan'!$U:$U,"")&amp;IF(_xlfn.XLOOKUP($A27,'Full Plan'!$A:$A,'Full Plan'!$X:$X,"")="",""," ("&amp;_xlfn.XLOOKUP($A27,'Full Plan'!$A:$A,'Full Plan'!$X:$X,"")&amp;")")</f>
        <v>MW Link Pending</v>
      </c>
      <c r="K27" s="225" t="str">
        <f>_xlfn.XLOOKUP($A27,'Full Plan'!$A:$A,'Full Plan'!$O:$O,"")</f>
        <v>Pending</v>
      </c>
      <c r="L27" s="225" t="str">
        <f>_xlfn.XLOOKUP($A27,'Full Plan'!$A:$A,'Full Plan'!$P:$P,"")</f>
        <v>Pending</v>
      </c>
      <c r="M27" s="225" t="str">
        <f>_xlfn.XLOOKUP($A27,'Full Plan'!$A:$A,'Full Plan'!$Q:$Q,"")</f>
        <v>Pending</v>
      </c>
      <c r="N27" s="225" t="str">
        <f>_xlfn.XLOOKUP($A27,'Full Plan'!$A:$A,'Full Plan'!$R:$R,"")</f>
        <v>N/A</v>
      </c>
      <c r="O27" s="224" t="str">
        <f>_xlfn.XLOOKUP($A27,'Full Plan'!$A:$A,'Full Plan'!$K:$K,"")</f>
        <v>Hold by E.co</v>
      </c>
      <c r="P27" s="225"/>
    </row>
    <row r="28" spans="1:16" s="220" customFormat="1" ht="13.8">
      <c r="A28" s="253" t="s">
        <v>316</v>
      </c>
      <c r="B28" s="253" t="s">
        <v>317</v>
      </c>
      <c r="C28" s="254">
        <f>VLOOKUP(A28,'Full Plan'!A:E, 5,)</f>
        <v>0</v>
      </c>
      <c r="D28" s="224" t="str">
        <f>_xlfn.XLOOKUP($A28,'Full Plan'!$A:$A,'Full Plan'!$J:$J,"")</f>
        <v>On Hold</v>
      </c>
      <c r="E28" s="224">
        <f>_xlfn.XLOOKUP($A28,'Full Plan'!$A:$A,'Full Plan'!$F:$F,"")</f>
        <v>30</v>
      </c>
      <c r="F28" s="224" t="str">
        <f>VLOOKUP(A28,'Full Plan'!A:G, 7,)</f>
        <v>Ericsson</v>
      </c>
      <c r="G28" s="224" t="str">
        <f>_xlfn.XLOOKUP($A28,'Full Plan'!$A:$A,'Full Plan'!$H:$H,"")</f>
        <v>OFN</v>
      </c>
      <c r="H28" s="225" t="str">
        <f t="shared" si="0"/>
        <v>Waiting</v>
      </c>
      <c r="I28" s="224" t="str">
        <f>_xlfn.XLOOKUP($A28,'Full Plan'!$A:$A,'Full Plan'!$N:$N,"")</f>
        <v>Pending</v>
      </c>
      <c r="J28" s="225" t="str">
        <f>_xlfn.XLOOKUP($A28,'Full Plan'!$A:$A,'Full Plan'!$U:$U,"")&amp;IF(_xlfn.XLOOKUP($A28,'Full Plan'!$A:$A,'Full Plan'!$X:$X,"")="",""," ("&amp;_xlfn.XLOOKUP($A28,'Full Plan'!$A:$A,'Full Plan'!$X:$X,"")&amp;")")</f>
        <v>Tx Pending</v>
      </c>
      <c r="K28" s="225" t="str">
        <f>_xlfn.XLOOKUP($A28,'Full Plan'!$A:$A,'Full Plan'!$O:$O,"")</f>
        <v>Pending</v>
      </c>
      <c r="L28" s="225" t="str">
        <f>_xlfn.XLOOKUP($A28,'Full Plan'!$A:$A,'Full Plan'!$P:$P,"")</f>
        <v>Pending</v>
      </c>
      <c r="M28" s="225" t="str">
        <f>_xlfn.XLOOKUP($A28,'Full Plan'!$A:$A,'Full Plan'!$Q:$Q,"")</f>
        <v>Pending</v>
      </c>
      <c r="N28" s="225" t="str">
        <f>_xlfn.XLOOKUP($A28,'Full Plan'!$A:$A,'Full Plan'!$R:$R,"")</f>
        <v>N/A</v>
      </c>
      <c r="O28" s="224" t="str">
        <f>_xlfn.XLOOKUP($A28,'Full Plan'!$A:$A,'Full Plan'!$K:$K,"")</f>
        <v>Hold by E.co</v>
      </c>
      <c r="P28" s="225"/>
    </row>
    <row r="29" spans="1:16" s="220" customFormat="1" ht="13.8">
      <c r="A29" s="253" t="s">
        <v>311</v>
      </c>
      <c r="B29" s="253" t="s">
        <v>312</v>
      </c>
      <c r="C29" s="254">
        <f>VLOOKUP(A29,'Full Plan'!A:E, 5,)</f>
        <v>0</v>
      </c>
      <c r="D29" s="224" t="str">
        <f>_xlfn.XLOOKUP($A29,'Full Plan'!$A:$A,'Full Plan'!$J:$J,"")</f>
        <v>On Hold</v>
      </c>
      <c r="E29" s="224">
        <f>_xlfn.XLOOKUP($A29,'Full Plan'!$A:$A,'Full Plan'!$F:$F,"")</f>
        <v>30</v>
      </c>
      <c r="F29" s="224" t="str">
        <f>VLOOKUP(A29,'Full Plan'!A:G, 7,)</f>
        <v>Huawei</v>
      </c>
      <c r="G29" s="224" t="str">
        <f>_xlfn.XLOOKUP($A29,'Full Plan'!$A:$A,'Full Plan'!$H:$H,"")</f>
        <v>MW-HYB</v>
      </c>
      <c r="H29" s="225" t="str">
        <f t="shared" si="0"/>
        <v>Waiting</v>
      </c>
      <c r="I29" s="224" t="str">
        <f>_xlfn.XLOOKUP($A29,'Full Plan'!$A:$A,'Full Plan'!$N:$N,"")</f>
        <v>Received</v>
      </c>
      <c r="J29" s="225" t="str">
        <f>_xlfn.XLOOKUP($A29,'Full Plan'!$A:$A,'Full Plan'!$U:$U,"")&amp;IF(_xlfn.XLOOKUP($A29,'Full Plan'!$A:$A,'Full Plan'!$X:$X,"")="",""," ("&amp;_xlfn.XLOOKUP($A29,'Full Plan'!$A:$A,'Full Plan'!$X:$X,"")&amp;")")</f>
        <v>MW Link Pending (23G2259)</v>
      </c>
      <c r="K29" s="225" t="str">
        <f>_xlfn.XLOOKUP($A29,'Full Plan'!$A:$A,'Full Plan'!$O:$O,"")</f>
        <v>Pending</v>
      </c>
      <c r="L29" s="225" t="str">
        <f>_xlfn.XLOOKUP($A29,'Full Plan'!$A:$A,'Full Plan'!$P:$P,"")</f>
        <v>Pending</v>
      </c>
      <c r="M29" s="225" t="str">
        <f>_xlfn.XLOOKUP($A29,'Full Plan'!$A:$A,'Full Plan'!$Q:$Q,"")</f>
        <v>Pending</v>
      </c>
      <c r="N29" s="225" t="str">
        <f>_xlfn.XLOOKUP($A29,'Full Plan'!$A:$A,'Full Plan'!$R:$R,"")</f>
        <v>Pending</v>
      </c>
      <c r="O29" s="224" t="str">
        <f>_xlfn.XLOOKUP($A29,'Full Plan'!$A:$A,'Full Plan'!$K:$K,"")</f>
        <v>Hold by E.co</v>
      </c>
      <c r="P29" s="225"/>
    </row>
    <row r="30" spans="1:16" s="220" customFormat="1" ht="13.8">
      <c r="A30" s="253" t="s">
        <v>309</v>
      </c>
      <c r="B30" s="253" t="s">
        <v>310</v>
      </c>
      <c r="C30" s="254">
        <f>VLOOKUP(A30,'Full Plan'!A:E, 5,)</f>
        <v>0</v>
      </c>
      <c r="D30" s="224" t="str">
        <f>_xlfn.XLOOKUP($A30,'Full Plan'!$A:$A,'Full Plan'!$J:$J,"")</f>
        <v>On Hold</v>
      </c>
      <c r="E30" s="224">
        <f>_xlfn.XLOOKUP($A30,'Full Plan'!$A:$A,'Full Plan'!$F:$F,"")</f>
        <v>20</v>
      </c>
      <c r="F30" s="224" t="str">
        <f>VLOOKUP(A30,'Full Plan'!A:G, 7,)</f>
        <v>Huawei</v>
      </c>
      <c r="G30" s="224" t="str">
        <f>_xlfn.XLOOKUP($A30,'Full Plan'!$A:$A,'Full Plan'!$H:$H,"")</f>
        <v>WiBAS</v>
      </c>
      <c r="H30" s="225" t="str">
        <f t="shared" si="0"/>
        <v>Waiting</v>
      </c>
      <c r="I30" s="224" t="str">
        <f>_xlfn.XLOOKUP($A30,'Full Plan'!$A:$A,'Full Plan'!$N:$N,"")</f>
        <v>Partially, No BBUs</v>
      </c>
      <c r="J30" s="225" t="str">
        <f>_xlfn.XLOOKUP($A30,'Full Plan'!$A:$A,'Full Plan'!$U:$U,"")&amp;IF(_xlfn.XLOOKUP($A30,'Full Plan'!$A:$A,'Full Plan'!$X:$X,"")="",""," ("&amp;_xlfn.XLOOKUP($A30,'Full Plan'!$A:$A,'Full Plan'!$X:$X,"")&amp;")")</f>
        <v>MW Link Pending</v>
      </c>
      <c r="K30" s="225" t="str">
        <f>_xlfn.XLOOKUP($A30,'Full Plan'!$A:$A,'Full Plan'!$O:$O,"")</f>
        <v>Pending</v>
      </c>
      <c r="L30" s="225" t="str">
        <f>_xlfn.XLOOKUP($A30,'Full Plan'!$A:$A,'Full Plan'!$P:$P,"")</f>
        <v>Pending</v>
      </c>
      <c r="M30" s="225" t="str">
        <f>_xlfn.XLOOKUP($A30,'Full Plan'!$A:$A,'Full Plan'!$Q:$Q,"")</f>
        <v>Pending</v>
      </c>
      <c r="N30" s="225" t="str">
        <f>_xlfn.XLOOKUP($A30,'Full Plan'!$A:$A,'Full Plan'!$R:$R,"")</f>
        <v>Pending</v>
      </c>
      <c r="O30" s="224" t="str">
        <f>_xlfn.XLOOKUP($A30,'Full Plan'!$A:$A,'Full Plan'!$K:$K,"")</f>
        <v>Hold by E.co</v>
      </c>
      <c r="P30" s="225"/>
    </row>
    <row r="31" spans="1:16" s="220" customFormat="1" ht="13.8">
      <c r="A31" s="253" t="s">
        <v>318</v>
      </c>
      <c r="B31" s="253" t="s">
        <v>319</v>
      </c>
      <c r="C31" s="254">
        <f>VLOOKUP(A31,'Full Plan'!A:E, 5,)</f>
        <v>0</v>
      </c>
      <c r="D31" s="224" t="str">
        <f>_xlfn.XLOOKUP($A31,'Full Plan'!$A:$A,'Full Plan'!$J:$J,"")</f>
        <v>On Hold</v>
      </c>
      <c r="E31" s="224">
        <f>_xlfn.XLOOKUP($A31,'Full Plan'!$A:$A,'Full Plan'!$F:$F,"")</f>
        <v>20</v>
      </c>
      <c r="F31" s="224" t="str">
        <f>VLOOKUP(A31,'Full Plan'!A:G, 7,)</f>
        <v>Huawei</v>
      </c>
      <c r="G31" s="224" t="str">
        <f>_xlfn.XLOOKUP($A31,'Full Plan'!$A:$A,'Full Plan'!$H:$H,"")</f>
        <v>WiBAS</v>
      </c>
      <c r="H31" s="225" t="str">
        <f t="shared" si="0"/>
        <v>Waiting</v>
      </c>
      <c r="I31" s="224" t="str">
        <f>_xlfn.XLOOKUP($A31,'Full Plan'!$A:$A,'Full Plan'!$N:$N,"")</f>
        <v>Partially, No BBUs</v>
      </c>
      <c r="J31" s="225" t="str">
        <f>_xlfn.XLOOKUP($A31,'Full Plan'!$A:$A,'Full Plan'!$U:$U,"")&amp;IF(_xlfn.XLOOKUP($A31,'Full Plan'!$A:$A,'Full Plan'!$X:$X,"")="",""," ("&amp;_xlfn.XLOOKUP($A31,'Full Plan'!$A:$A,'Full Plan'!$X:$X,"")&amp;")")</f>
        <v>MW Link Pending</v>
      </c>
      <c r="K31" s="225" t="str">
        <f>_xlfn.XLOOKUP($A31,'Full Plan'!$A:$A,'Full Plan'!$O:$O,"")</f>
        <v>Pending</v>
      </c>
      <c r="L31" s="225" t="str">
        <f>_xlfn.XLOOKUP($A31,'Full Plan'!$A:$A,'Full Plan'!$P:$P,"")</f>
        <v>Pending</v>
      </c>
      <c r="M31" s="225" t="str">
        <f>_xlfn.XLOOKUP($A31,'Full Plan'!$A:$A,'Full Plan'!$Q:$Q,"")</f>
        <v>Pending</v>
      </c>
      <c r="N31" s="225" t="str">
        <f>_xlfn.XLOOKUP($A31,'Full Plan'!$A:$A,'Full Plan'!$R:$R,"")</f>
        <v>Pending</v>
      </c>
      <c r="O31" s="224">
        <f>_xlfn.XLOOKUP($A31,'Full Plan'!$A:$A,'Full Plan'!$K:$K,"")</f>
        <v>0</v>
      </c>
      <c r="P31" s="225"/>
    </row>
    <row r="32" spans="1:16" s="220" customFormat="1" ht="13.8">
      <c r="A32" s="255" t="s">
        <v>305</v>
      </c>
      <c r="B32" s="255" t="s">
        <v>306</v>
      </c>
      <c r="C32" s="254">
        <f>VLOOKUP(A32,'Full Plan'!A:E, 5,)</f>
        <v>0</v>
      </c>
      <c r="D32" s="224" t="str">
        <f>_xlfn.XLOOKUP($A32,'Full Plan'!$A:$A,'Full Plan'!$J:$J,"")</f>
        <v>On Hold</v>
      </c>
      <c r="E32" s="224">
        <f>_xlfn.XLOOKUP($A32,'Full Plan'!$A:$A,'Full Plan'!$F:$F,"")</f>
        <v>30</v>
      </c>
      <c r="F32" s="224" t="str">
        <f>VLOOKUP(A32,'Full Plan'!A:G, 7,)</f>
        <v>Huawei</v>
      </c>
      <c r="G32" s="224" t="str">
        <f>_xlfn.XLOOKUP($A32,'Full Plan'!$A:$A,'Full Plan'!$H:$H,"")</f>
        <v>MW-HYB</v>
      </c>
      <c r="H32" s="225" t="str">
        <f>IF(COUNTIF(I32:N32,"*Pending*")=0,"Ready","Waiting")</f>
        <v>Waiting</v>
      </c>
      <c r="I32" s="224" t="str">
        <f>_xlfn.XLOOKUP($A32,'Full Plan'!$A:$A,'Full Plan'!$N:$N,"")</f>
        <v>Partially, No BBUs</v>
      </c>
      <c r="J32" s="225" t="str">
        <f>_xlfn.XLOOKUP($A32,'Full Plan'!$A:$A,'Full Plan'!$U:$U,"")&amp;IF(_xlfn.XLOOKUP($A32,'Full Plan'!$A:$A,'Full Plan'!$X:$X,"")="",""," ("&amp;_xlfn.XLOOKUP($A32,'Full Plan'!$A:$A,'Full Plan'!$X:$X,"")&amp;")")</f>
        <v>MW Link Pending (18G2997(0.9|0.9))</v>
      </c>
      <c r="K32" s="225" t="str">
        <f>_xlfn.XLOOKUP($A32,'Full Plan'!$A:$A,'Full Plan'!$O:$O,"")</f>
        <v>Pending</v>
      </c>
      <c r="L32" s="225" t="str">
        <f>_xlfn.XLOOKUP($A32,'Full Plan'!$A:$A,'Full Plan'!$P:$P,"")</f>
        <v>Pending</v>
      </c>
      <c r="M32" s="225" t="str">
        <f>_xlfn.XLOOKUP($A32,'Full Plan'!$A:$A,'Full Plan'!$Q:$Q,"")</f>
        <v>Pending</v>
      </c>
      <c r="N32" s="225" t="str">
        <f>_xlfn.XLOOKUP($A32,'Full Plan'!$A:$A,'Full Plan'!$R:$R,"")</f>
        <v>Pending</v>
      </c>
      <c r="O32" s="224" t="str">
        <f>_xlfn.XLOOKUP($A32,'Full Plan'!$A:$A,'Full Plan'!$K:$K,"")</f>
        <v>Hold by E.co</v>
      </c>
      <c r="P32" s="225"/>
    </row>
    <row r="33" spans="1:16" s="220" customFormat="1" ht="13.8">
      <c r="A33" s="241" t="s">
        <v>313</v>
      </c>
      <c r="B33" s="241" t="s">
        <v>314</v>
      </c>
      <c r="C33" s="242">
        <f>VLOOKUP(A33,'Full Plan'!A:E, 5,)</f>
        <v>0</v>
      </c>
      <c r="D33" s="224" t="str">
        <f>_xlfn.XLOOKUP($A33,'Full Plan'!$A:$A,'Full Plan'!$J:$J,"")</f>
        <v>On Hold</v>
      </c>
      <c r="E33" s="224">
        <f>_xlfn.XLOOKUP($A33,'Full Plan'!$A:$A,'Full Plan'!$F:$F,"")</f>
        <v>30</v>
      </c>
      <c r="F33" s="224" t="str">
        <f>VLOOKUP(A33,'Full Plan'!A:G, 7,)</f>
        <v>Huawei</v>
      </c>
      <c r="G33" s="224" t="str">
        <f>_xlfn.XLOOKUP($A33,'Full Plan'!$A:$A,'Full Plan'!$H:$H,"")</f>
        <v>MW-HYB</v>
      </c>
      <c r="H33" s="225" t="str">
        <f>IF(COUNTIF(I33:N33,"*Pending*")=0,"Ready","Waiting")</f>
        <v>Waiting</v>
      </c>
      <c r="I33" s="224" t="str">
        <f>_xlfn.XLOOKUP($A33,'Full Plan'!$A:$A,'Full Plan'!$N:$N,"")</f>
        <v>Received</v>
      </c>
      <c r="J33" s="225" t="str">
        <f>_xlfn.XLOOKUP($A33,'Full Plan'!$A:$A,'Full Plan'!$U:$U,"")&amp;IF(_xlfn.XLOOKUP($A33,'Full Plan'!$A:$A,'Full Plan'!$X:$X,"")="",""," ("&amp;_xlfn.XLOOKUP($A33,'Full Plan'!$A:$A,'Full Plan'!$X:$X,"")&amp;")")</f>
        <v>MW Link Pending (23G2835)</v>
      </c>
      <c r="K33" s="225" t="str">
        <f>_xlfn.XLOOKUP($A33,'Full Plan'!$A:$A,'Full Plan'!$O:$O,"")</f>
        <v>Pending</v>
      </c>
      <c r="L33" s="225" t="str">
        <f>_xlfn.XLOOKUP($A33,'Full Plan'!$A:$A,'Full Plan'!$P:$P,"")</f>
        <v>Pending</v>
      </c>
      <c r="M33" s="225" t="str">
        <f>_xlfn.XLOOKUP($A33,'Full Plan'!$A:$A,'Full Plan'!$Q:$Q,"")</f>
        <v>Pending</v>
      </c>
      <c r="N33" s="225" t="str">
        <f>_xlfn.XLOOKUP($A33,'Full Plan'!$A:$A,'Full Plan'!$R:$R,"")</f>
        <v>Pending</v>
      </c>
      <c r="O33" s="224" t="str">
        <f>_xlfn.XLOOKUP($A33,'Full Plan'!$A:$A,'Full Plan'!$K:$K,"")</f>
        <v>Hold by E.co</v>
      </c>
      <c r="P33" s="225"/>
    </row>
    <row r="34" spans="1:16" s="220" customFormat="1" ht="13.8">
      <c r="A34" s="241" t="s">
        <v>179</v>
      </c>
      <c r="B34" s="241" t="s">
        <v>186</v>
      </c>
      <c r="C34" s="242">
        <f>VLOOKUP(A34,'Full Plan'!A:E, 5,)</f>
        <v>0</v>
      </c>
      <c r="D34" s="224" t="str">
        <f>_xlfn.XLOOKUP($A34,'Full Plan'!$A:$A,'Full Plan'!$J:$J,"")</f>
        <v>On Hold</v>
      </c>
      <c r="E34" s="224">
        <f>_xlfn.XLOOKUP($A34,'Full Plan'!$A:$A,'Full Plan'!$F:$F,"")</f>
        <v>30</v>
      </c>
      <c r="F34" s="224" t="str">
        <f>VLOOKUP(A34,'Full Plan'!A:G, 7,)</f>
        <v>Huawei</v>
      </c>
      <c r="G34" s="224" t="str">
        <f>_xlfn.XLOOKUP($A34,'Full Plan'!$A:$A,'Full Plan'!$H:$H,"")</f>
        <v>MW-HYB</v>
      </c>
      <c r="H34" s="225" t="str">
        <f>IF(COUNTIF(I34:N34,"*Pending*")=0,"Ready","Waiting")</f>
        <v>Waiting</v>
      </c>
      <c r="I34" s="224" t="str">
        <f>_xlfn.XLOOKUP($A34,'Full Plan'!$A:$A,'Full Plan'!$N:$N,"")</f>
        <v>Received</v>
      </c>
      <c r="J34" s="225" t="str">
        <f>_xlfn.XLOOKUP($A34,'Full Plan'!$A:$A,'Full Plan'!$U:$U,"")&amp;IF(_xlfn.XLOOKUP($A34,'Full Plan'!$A:$A,'Full Plan'!$X:$X,"")="",""," ("&amp;_xlfn.XLOOKUP($A34,'Full Plan'!$A:$A,'Full Plan'!$X:$X,"")&amp;")")</f>
        <v>MW Link Pending (23G593)</v>
      </c>
      <c r="K34" s="225" t="str">
        <f>_xlfn.XLOOKUP($A34,'Full Plan'!$A:$A,'Full Plan'!$O:$O,"")</f>
        <v>Pending</v>
      </c>
      <c r="L34" s="225" t="str">
        <f>_xlfn.XLOOKUP($A34,'Full Plan'!$A:$A,'Full Plan'!$P:$P,"")</f>
        <v>Received</v>
      </c>
      <c r="M34" s="225" t="str">
        <f>_xlfn.XLOOKUP($A34,'Full Plan'!$A:$A,'Full Plan'!$Q:$Q,"")</f>
        <v>Received</v>
      </c>
      <c r="N34" s="225" t="str">
        <f>_xlfn.XLOOKUP($A34,'Full Plan'!$A:$A,'Full Plan'!$R:$R,"")</f>
        <v>Received</v>
      </c>
      <c r="O34" s="224" t="str">
        <f>_xlfn.XLOOKUP($A34,'Full Plan'!$A:$A,'Full Plan'!$K:$K,"")</f>
        <v>Hold by E.co</v>
      </c>
      <c r="P34" s="225"/>
    </row>
    <row r="35" spans="1:16" s="220" customFormat="1" ht="13.8">
      <c r="A35" s="243"/>
      <c r="B35" s="243"/>
      <c r="C35" s="244"/>
      <c r="D35" s="245"/>
      <c r="E35" s="245"/>
      <c r="F35" s="245"/>
      <c r="G35" s="245"/>
      <c r="I35" s="245"/>
      <c r="O35" s="245"/>
    </row>
  </sheetData>
  <autoFilter ref="A2:P32" xr:uid="{7F6601B8-B970-4590-A03D-5CC8A83E6D75}"/>
  <conditionalFormatting sqref="H3:N35">
    <cfRule type="containsText" dxfId="204" priority="82" operator="containsText" text="Pending">
      <formula>NOT(ISERROR(SEARCH("Pending",H3)))</formula>
    </cfRule>
  </conditionalFormatting>
  <conditionalFormatting sqref="H3:N35">
    <cfRule type="containsText" dxfId="203" priority="83" operator="containsText" text="OK">
      <formula>NOT(ISERROR(SEARCH("OK",H3)))</formula>
    </cfRule>
  </conditionalFormatting>
  <conditionalFormatting sqref="H3:N35">
    <cfRule type="containsText" dxfId="202" priority="84" operator="containsText" text="Received">
      <formula>NOT(ISERROR(SEARCH("Received",H3)))</formula>
    </cfRule>
  </conditionalFormatting>
  <conditionalFormatting sqref="H3:N35">
    <cfRule type="containsText" dxfId="201" priority="85" operator="containsText" text="Ready">
      <formula>NOT(ISERROR(SEARCH("Ready",H3)))</formula>
    </cfRule>
  </conditionalFormatting>
  <conditionalFormatting sqref="H3:N35">
    <cfRule type="containsText" dxfId="200" priority="86" operator="containsText" text="N/A">
      <formula>NOT(ISERROR(SEARCH("N/A",H3)))</formula>
    </cfRule>
  </conditionalFormatting>
  <conditionalFormatting sqref="D3:D35">
    <cfRule type="containsText" dxfId="199" priority="88" operator="containsText" text="Installation Completed">
      <formula>NOT(ISERROR(SEARCH("Installation Completed",D3)))</formula>
    </cfRule>
  </conditionalFormatting>
  <conditionalFormatting sqref="D3:D35">
    <cfRule type="containsText" dxfId="198" priority="90" operator="containsText" text="To be Mobilized">
      <formula>NOT(ISERROR(SEARCH("To be Mobilized",D3)))</formula>
    </cfRule>
  </conditionalFormatting>
  <conditionalFormatting sqref="D3:D35">
    <cfRule type="containsText" dxfId="197" priority="92" operator="containsText" text="Commissioning Pending">
      <formula>NOT(ISERROR(SEARCH("Commissioning Pending",D3)))</formula>
    </cfRule>
  </conditionalFormatting>
  <conditionalFormatting sqref="D3:D35">
    <cfRule type="containsText" dxfId="196" priority="94" operator="containsText" text="On Air Pending">
      <formula>NOT(ISERROR(SEARCH("On Air Pending",D3)))</formula>
    </cfRule>
  </conditionalFormatting>
  <conditionalFormatting sqref="D3:D35">
    <cfRule type="containsText" dxfId="195" priority="96" operator="containsText" text="On Air">
      <formula>NOT(ISERROR(SEARCH("On Air",D3)))</formula>
    </cfRule>
  </conditionalFormatting>
  <conditionalFormatting sqref="D3:D35">
    <cfRule type="containsText" dxfId="194" priority="98" operator="containsText" text="TE WIP">
      <formula>NOT(ISERROR(SEARCH("TE WIP",D3)))</formula>
    </cfRule>
  </conditionalFormatting>
  <conditionalFormatting sqref="D3:D35">
    <cfRule type="containsText" dxfId="193" priority="100" operator="containsText" text="Tx Pending">
      <formula>NOT(ISERROR(SEARCH("Tx Pending",D3)))</formula>
    </cfRule>
  </conditionalFormatting>
  <conditionalFormatting sqref="D3:D35">
    <cfRule type="containsText" dxfId="192" priority="102" operator="containsText" text="Partially Completed">
      <formula>NOT(ISERROR(SEARCH("Partially Completed",D3)))</formula>
    </cfRule>
  </conditionalFormatting>
  <conditionalFormatting sqref="D3:D35">
    <cfRule type="containsText" dxfId="191" priority="104" operator="containsText" text="On Hold">
      <formula>NOT(ISERROR(SEARCH("On Hold",D3)))</formula>
    </cfRule>
  </conditionalFormatting>
  <conditionalFormatting sqref="E3:F35">
    <cfRule type="containsText" dxfId="190" priority="108" operator="containsText" text="30">
      <formula>NOT(ISERROR(SEARCH("30",E3)))</formula>
    </cfRule>
  </conditionalFormatting>
  <conditionalFormatting sqref="E3:F35">
    <cfRule type="containsText" dxfId="189" priority="106" operator="containsText" text="25">
      <formula>NOT(ISERROR(SEARCH("25",E3)))</formula>
    </cfRule>
  </conditionalFormatting>
  <conditionalFormatting sqref="E3:F35">
    <cfRule type="containsText" dxfId="188" priority="110" operator="containsText" text="20">
      <formula>NOT(ISERROR(SEARCH("20",E3)))</formula>
    </cfRule>
  </conditionalFormatting>
  <conditionalFormatting sqref="A1:B35 D1:P35">
    <cfRule type="containsText" dxfId="187" priority="13" operator="containsText" text="Partially">
      <formula>NOT(ISERROR(SEARCH("Partially",A1)))</formula>
    </cfRule>
  </conditionalFormatting>
  <conditionalFormatting sqref="A1:A1048576">
    <cfRule type="duplicateValues" dxfId="186" priority="8"/>
  </conditionalFormatting>
  <conditionalFormatting sqref="A1:B1048576">
    <cfRule type="duplicateValues" dxfId="185" priority="524"/>
  </conditionalFormatting>
  <conditionalFormatting sqref="E1:E1048576">
    <cfRule type="containsText" dxfId="184" priority="2" operator="containsText" text="22">
      <formula>NOT(ISERROR(SEARCH("22",E1)))</formula>
    </cfRule>
  </conditionalFormatting>
  <conditionalFormatting sqref="A1:A1048576">
    <cfRule type="duplicateValues" dxfId="183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CFC16-56D9-468A-9F15-E867D31C4CF5}">
  <sheetPr codeName="Sheet9"/>
  <dimension ref="A1:G27"/>
  <sheetViews>
    <sheetView zoomScale="90" zoomScaleNormal="90" workbookViewId="0">
      <selection activeCell="E20" sqref="E20"/>
    </sheetView>
  </sheetViews>
  <sheetFormatPr defaultRowHeight="14.4"/>
  <cols>
    <col min="1" max="1" width="18.21875" customWidth="1"/>
    <col min="2" max="2" width="26.21875" style="1" bestFit="1" customWidth="1"/>
    <col min="3" max="3" width="14" bestFit="1" customWidth="1"/>
    <col min="4" max="4" width="19.88671875" bestFit="1" customWidth="1"/>
    <col min="5" max="5" width="38.6640625" bestFit="1" customWidth="1"/>
    <col min="6" max="6" width="24.5546875" bestFit="1" customWidth="1"/>
    <col min="7" max="7" width="22.109375" style="1" bestFit="1" customWidth="1"/>
    <col min="8" max="8" width="19.77734375" customWidth="1"/>
    <col min="9" max="9" width="19.109375" bestFit="1" customWidth="1"/>
    <col min="10" max="10" width="8.77734375" bestFit="1" customWidth="1"/>
    <col min="11" max="11" width="29.6640625" bestFit="1" customWidth="1"/>
    <col min="12" max="12" width="9.88671875" bestFit="1" customWidth="1"/>
  </cols>
  <sheetData>
    <row r="1" spans="1:7" ht="30" customHeight="1" thickBot="1">
      <c r="A1" s="105" t="s">
        <v>0</v>
      </c>
      <c r="B1" s="105" t="s">
        <v>1</v>
      </c>
      <c r="C1" s="105" t="s">
        <v>420</v>
      </c>
      <c r="D1" s="124" t="s">
        <v>15</v>
      </c>
      <c r="E1" s="124" t="s">
        <v>141</v>
      </c>
      <c r="F1" s="124" t="s">
        <v>140</v>
      </c>
      <c r="G1" s="124" t="s">
        <v>149</v>
      </c>
    </row>
    <row r="2" spans="1:7" s="240" customFormat="1" ht="19.95" customHeight="1" thickBot="1">
      <c r="A2" s="238">
        <f t="shared" ref="A2:G2" si="0">SUBTOTAL(103, A4:A128)</f>
        <v>10</v>
      </c>
      <c r="B2" s="238">
        <f t="shared" si="0"/>
        <v>10</v>
      </c>
      <c r="C2" s="238">
        <f t="shared" si="0"/>
        <v>24</v>
      </c>
      <c r="D2" s="239">
        <f t="shared" si="0"/>
        <v>24</v>
      </c>
      <c r="E2" s="239">
        <f t="shared" si="0"/>
        <v>24</v>
      </c>
      <c r="F2" s="239">
        <f t="shared" si="0"/>
        <v>24</v>
      </c>
      <c r="G2" s="239">
        <f t="shared" si="0"/>
        <v>24</v>
      </c>
    </row>
    <row r="3" spans="1:7" s="237" customFormat="1" ht="19.95" customHeight="1" thickBot="1">
      <c r="A3" s="235" t="s">
        <v>167</v>
      </c>
      <c r="B3" s="236" t="s">
        <v>168</v>
      </c>
      <c r="C3" s="118" t="str">
        <f>VLOOKUP(A3,'Full Plan'!A:I,8,)</f>
        <v>MW-HYB</v>
      </c>
      <c r="D3" s="119" t="str">
        <f>VLOOKUP(A3,'Full Plan'!A:J, 10,)</f>
        <v>On Air Pending</v>
      </c>
      <c r="E3" s="120" t="str">
        <f>VLOOKUP(A3,'Full Plan'!A:K, 11,)</f>
        <v>CSR Installed on 26th July</v>
      </c>
      <c r="F3" s="120" t="str">
        <f>VLOOKUP(A3,'Full Plan'!A:M, 13,)</f>
        <v>PAT Done on 26th July</v>
      </c>
      <c r="G3" s="185">
        <f>VLOOKUP(A3,'Full Plan'!A:AH, 34,)</f>
        <v>0</v>
      </c>
    </row>
    <row r="4" spans="1:7" s="237" customFormat="1" ht="19.95" customHeight="1" thickBot="1">
      <c r="A4" s="235" t="s">
        <v>182</v>
      </c>
      <c r="B4" s="236" t="s">
        <v>190</v>
      </c>
      <c r="C4" s="118" t="str">
        <f>VLOOKUP(A4,'Full Plan'!A:I,8,)</f>
        <v>MW-HYB</v>
      </c>
      <c r="D4" s="119" t="str">
        <f>VLOOKUP(A4,'Full Plan'!A:J, 10,)</f>
        <v>Installation Completed</v>
      </c>
      <c r="E4" s="120" t="str">
        <f>VLOOKUP(A4,'Full Plan'!A:K, 11,)</f>
        <v>No CSR at HUB, used back-to-back from Hub</v>
      </c>
      <c r="F4" s="120" t="str">
        <f>VLOOKUP(A4,'Full Plan'!A:M, 13,)</f>
        <v>PAT Done on 24th July</v>
      </c>
      <c r="G4" s="185">
        <f>VLOOKUP(A4,'Full Plan'!A:AH, 34,)</f>
        <v>46228</v>
      </c>
    </row>
    <row r="5" spans="1:7" s="237" customFormat="1" ht="19.95" customHeight="1" thickBot="1">
      <c r="A5" s="235" t="s">
        <v>170</v>
      </c>
      <c r="B5" s="236" t="s">
        <v>171</v>
      </c>
      <c r="C5" s="118" t="str">
        <f>VLOOKUP(A5,'Full Plan'!A:I,8,)</f>
        <v>WiBAS</v>
      </c>
      <c r="D5" s="119" t="str">
        <f>VLOOKUP(A5,'Full Plan'!A:J, 10,)</f>
        <v>On Air Pending</v>
      </c>
      <c r="E5" s="120" t="str">
        <f>VLOOKUP(A5,'Full Plan'!A:K, 11,)</f>
        <v>No power at site, Hub changed due to access issue</v>
      </c>
      <c r="F5" s="120" t="str">
        <f>VLOOKUP(A5,'Full Plan'!A:M, 13,)</f>
        <v>PAT Plan on 27th July</v>
      </c>
      <c r="G5" s="185">
        <f>VLOOKUP(A5,'Full Plan'!A:AH, 34,)</f>
        <v>0</v>
      </c>
    </row>
    <row r="6" spans="1:7" s="237" customFormat="1" ht="19.95" customHeight="1" thickBot="1">
      <c r="A6" s="235" t="s">
        <v>165</v>
      </c>
      <c r="B6" s="236" t="s">
        <v>166</v>
      </c>
      <c r="C6" s="118" t="str">
        <f>VLOOKUP(A6,'Full Plan'!A:I,8,)</f>
        <v>MW-HYB</v>
      </c>
      <c r="D6" s="119" t="str">
        <f>VLOOKUP(A6,'Full Plan'!A:J, 10,)</f>
        <v>TE WIP</v>
      </c>
      <c r="E6" s="120">
        <f>VLOOKUP(A6,'Full Plan'!A:K, 11,)</f>
        <v>0</v>
      </c>
      <c r="F6" s="120" t="str">
        <f>VLOOKUP(A6,'Full Plan'!A:M, 13,)</f>
        <v>PAT Plan on 29th July</v>
      </c>
      <c r="G6" s="185">
        <f>VLOOKUP(A6,'Full Plan'!A:AH, 34,)</f>
        <v>0</v>
      </c>
    </row>
    <row r="7" spans="1:7" s="237" customFormat="1" ht="19.95" customHeight="1" thickBot="1">
      <c r="A7" s="235" t="s">
        <v>180</v>
      </c>
      <c r="B7" s="236" t="s">
        <v>188</v>
      </c>
      <c r="C7" s="118" t="str">
        <f>VLOOKUP(A7,'Full Plan'!A:I,8,)</f>
        <v>MW-HYB</v>
      </c>
      <c r="D7" s="119" t="str">
        <f>VLOOKUP(A7,'Full Plan'!A:J, 10,)</f>
        <v>To be Mobilized</v>
      </c>
      <c r="E7" s="120" t="str">
        <f>VLOOKUP(A7,'Full Plan'!A:K, 11,)</f>
        <v>TE Materials Delivered on 26th July</v>
      </c>
      <c r="F7" s="120">
        <f>VLOOKUP(A7,'Full Plan'!A:M, 13,)</f>
        <v>0</v>
      </c>
      <c r="G7" s="185">
        <f>VLOOKUP(A7,'Full Plan'!A:AH, 34,)</f>
        <v>0</v>
      </c>
    </row>
    <row r="8" spans="1:7" s="237" customFormat="1" ht="19.95" customHeight="1" thickBot="1">
      <c r="A8" s="235" t="s">
        <v>163</v>
      </c>
      <c r="B8" s="236" t="s">
        <v>164</v>
      </c>
      <c r="C8" s="118" t="str">
        <f>VLOOKUP(A8,'Full Plan'!A:I,8,)</f>
        <v>MW-HYB</v>
      </c>
      <c r="D8" s="119" t="str">
        <f>VLOOKUP(A8,'Full Plan'!A:J, 10,)</f>
        <v>TE WIP</v>
      </c>
      <c r="E8" s="120" t="str">
        <f>VLOOKUP(A8,'Full Plan'!A:K, 11,)</f>
        <v>TE Materials Delivered on 27th July</v>
      </c>
      <c r="F8" s="120" t="str">
        <f>VLOOKUP(A8,'Full Plan'!A:M, 13,)</f>
        <v>PAT Plan on 30th July</v>
      </c>
      <c r="G8" s="185">
        <f>VLOOKUP(A8,'Full Plan'!A:AH, 34,)</f>
        <v>0</v>
      </c>
    </row>
    <row r="9" spans="1:7" s="237" customFormat="1" ht="19.95" customHeight="1" thickBot="1">
      <c r="A9" s="235" t="s">
        <v>205</v>
      </c>
      <c r="B9" s="236" t="s">
        <v>206</v>
      </c>
      <c r="C9" s="118" t="str">
        <f>VLOOKUP(A9,'Full Plan'!A:I,8,)</f>
        <v>WiBAS</v>
      </c>
      <c r="D9" s="119" t="str">
        <f>VLOOKUP(A9,'Full Plan'!A:J, 10,)</f>
        <v>On Hold</v>
      </c>
      <c r="E9" s="120">
        <f>VLOOKUP(A9,'Full Plan'!A:K, 11,)</f>
        <v>0</v>
      </c>
      <c r="F9" s="120">
        <f>VLOOKUP(A9,'Full Plan'!A:M, 13,)</f>
        <v>0</v>
      </c>
      <c r="G9" s="185">
        <f>VLOOKUP(A9,'Full Plan'!A:AH, 34,)</f>
        <v>0</v>
      </c>
    </row>
    <row r="10" spans="1:7" s="237" customFormat="1" ht="19.95" customHeight="1" thickBot="1">
      <c r="A10" s="235" t="s">
        <v>213</v>
      </c>
      <c r="B10" s="236" t="s">
        <v>214</v>
      </c>
      <c r="C10" s="118" t="str">
        <f>VLOOKUP(A10,'Full Plan'!A:I,8,)</f>
        <v>MW-HYB</v>
      </c>
      <c r="D10" s="119" t="str">
        <f>VLOOKUP(A10,'Full Plan'!A:J, 10,)</f>
        <v>On Hold</v>
      </c>
      <c r="E10" s="120" t="str">
        <f>VLOOKUP(A10,'Full Plan'!A:K, 11,)</f>
        <v>Tx WO &amp; Mapping Pending</v>
      </c>
      <c r="F10" s="120">
        <f>VLOOKUP(A10,'Full Plan'!A:M, 13,)</f>
        <v>0</v>
      </c>
      <c r="G10" s="185">
        <f>VLOOKUP(A10,'Full Plan'!A:AH, 34,)</f>
        <v>0</v>
      </c>
    </row>
    <row r="11" spans="1:7" s="237" customFormat="1" ht="19.95" customHeight="1" thickBot="1">
      <c r="A11" s="235" t="s">
        <v>203</v>
      </c>
      <c r="B11" s="236" t="s">
        <v>204</v>
      </c>
      <c r="C11" s="118" t="str">
        <f>VLOOKUP(A11,'Full Plan'!A:I,8,)</f>
        <v>MW-HYB</v>
      </c>
      <c r="D11" s="119" t="str">
        <f>VLOOKUP(A11,'Full Plan'!A:J, 10,)</f>
        <v>On Hold</v>
      </c>
      <c r="E11" s="120" t="str">
        <f>VLOOKUP(A11,'Full Plan'!A:K, 11,)</f>
        <v>Site Hold by E.Co, despute</v>
      </c>
      <c r="F11" s="120">
        <f>VLOOKUP(A11,'Full Plan'!A:M, 13,)</f>
        <v>0</v>
      </c>
      <c r="G11" s="185">
        <f>VLOOKUP(A11,'Full Plan'!A:AH, 34,)</f>
        <v>0</v>
      </c>
    </row>
    <row r="12" spans="1:7" s="237" customFormat="1" ht="19.95" customHeight="1" thickBot="1">
      <c r="A12" s="235" t="s">
        <v>211</v>
      </c>
      <c r="B12" s="236" t="s">
        <v>212</v>
      </c>
      <c r="C12" s="118" t="str">
        <f>VLOOKUP(A12,'Full Plan'!A:I,8,)</f>
        <v>MW-HYB</v>
      </c>
      <c r="D12" s="119" t="str">
        <f>VLOOKUP(A12,'Full Plan'!A:J, 10,)</f>
        <v>On Hold</v>
      </c>
      <c r="E12" s="120" t="str">
        <f>VLOOKUP(A12,'Full Plan'!A:K, 11,)</f>
        <v>Tx WO &amp; Mapping Pending</v>
      </c>
      <c r="F12" s="120">
        <f>VLOOKUP(A12,'Full Plan'!A:M, 13,)</f>
        <v>0</v>
      </c>
      <c r="G12" s="185">
        <f>VLOOKUP(A12,'Full Plan'!A:AH, 34,)</f>
        <v>0</v>
      </c>
    </row>
    <row r="13" spans="1:7" s="237" customFormat="1" ht="19.95" customHeight="1" thickBot="1">
      <c r="A13" s="235" t="s">
        <v>215</v>
      </c>
      <c r="B13" s="236" t="s">
        <v>216</v>
      </c>
      <c r="C13" s="118" t="str">
        <f>VLOOKUP(A13,'Full Plan'!A:I,8,)</f>
        <v>WiBAS</v>
      </c>
      <c r="D13" s="119" t="str">
        <f>VLOOKUP(A13,'Full Plan'!A:J, 10,)</f>
        <v>On Hold</v>
      </c>
      <c r="E13" s="120" t="str">
        <f>VLOOKUP(A13,'Full Plan'!A:K, 11,)</f>
        <v>Tx WO &amp; Mapping Pending</v>
      </c>
      <c r="F13" s="120">
        <f>VLOOKUP(A13,'Full Plan'!A:M, 13,)</f>
        <v>0</v>
      </c>
      <c r="G13" s="185">
        <f>VLOOKUP(A13,'Full Plan'!A:AH, 34,)</f>
        <v>0</v>
      </c>
    </row>
    <row r="14" spans="1:7" s="237" customFormat="1" ht="19.95" customHeight="1" thickBot="1">
      <c r="A14" s="116"/>
      <c r="B14" s="117"/>
      <c r="C14" s="118" t="e">
        <f>VLOOKUP(A14,'Full Plan'!A:I,8,)</f>
        <v>#N/A</v>
      </c>
      <c r="D14" s="119" t="e">
        <f>VLOOKUP(A14,'Full Plan'!A:J, 10,)</f>
        <v>#N/A</v>
      </c>
      <c r="E14" s="120" t="e">
        <f>VLOOKUP(A14,'Full Plan'!A:K, 11,)</f>
        <v>#N/A</v>
      </c>
      <c r="F14" s="120" t="e">
        <f>VLOOKUP(A14,'Full Plan'!A:M, 13,)</f>
        <v>#N/A</v>
      </c>
      <c r="G14" s="185" t="e">
        <f>VLOOKUP(A14,'Full Plan'!A:AH, 34,)</f>
        <v>#N/A</v>
      </c>
    </row>
    <row r="15" spans="1:7" s="237" customFormat="1" ht="19.95" customHeight="1" thickBot="1">
      <c r="A15" s="116"/>
      <c r="B15" s="117"/>
      <c r="C15" s="118" t="e">
        <f>VLOOKUP(A15,'Full Plan'!A:I,8,)</f>
        <v>#N/A</v>
      </c>
      <c r="D15" s="119" t="e">
        <f>VLOOKUP(A15,'Full Plan'!A:J, 10,)</f>
        <v>#N/A</v>
      </c>
      <c r="E15" s="120" t="e">
        <f>VLOOKUP(A15,'Full Plan'!A:K, 11,)</f>
        <v>#N/A</v>
      </c>
      <c r="F15" s="120" t="e">
        <f>VLOOKUP(A15,'Full Plan'!A:M, 13,)</f>
        <v>#N/A</v>
      </c>
      <c r="G15" s="185" t="e">
        <f>VLOOKUP(A15,'Full Plan'!A:AH, 34,)</f>
        <v>#N/A</v>
      </c>
    </row>
    <row r="16" spans="1:7" s="237" customFormat="1" ht="19.95" customHeight="1" thickBot="1">
      <c r="A16" s="116"/>
      <c r="B16" s="117"/>
      <c r="C16" s="118" t="e">
        <f>VLOOKUP(A16,'Full Plan'!A:I,8,)</f>
        <v>#N/A</v>
      </c>
      <c r="D16" s="119" t="e">
        <f>VLOOKUP(A16,'Full Plan'!A:J, 10,)</f>
        <v>#N/A</v>
      </c>
      <c r="E16" s="120" t="e">
        <f>VLOOKUP(A16,'Full Plan'!A:K, 11,)</f>
        <v>#N/A</v>
      </c>
      <c r="F16" s="120" t="e">
        <f>VLOOKUP(A16,'Full Plan'!A:M, 13,)</f>
        <v>#N/A</v>
      </c>
      <c r="G16" s="185" t="e">
        <f>VLOOKUP(A16,'Full Plan'!A:AH, 34,)</f>
        <v>#N/A</v>
      </c>
    </row>
    <row r="17" spans="1:7" s="237" customFormat="1" ht="19.95" customHeight="1" thickBot="1">
      <c r="A17" s="116"/>
      <c r="B17" s="117"/>
      <c r="C17" s="118" t="e">
        <f>VLOOKUP(A17,'Full Plan'!A:I,8,)</f>
        <v>#N/A</v>
      </c>
      <c r="D17" s="119" t="e">
        <f>VLOOKUP(A17,'Full Plan'!A:J, 10,)</f>
        <v>#N/A</v>
      </c>
      <c r="E17" s="120" t="e">
        <f>VLOOKUP(A17,'Full Plan'!A:K, 11,)</f>
        <v>#N/A</v>
      </c>
      <c r="F17" s="120" t="e">
        <f>VLOOKUP(A17,'Full Plan'!A:M, 13,)</f>
        <v>#N/A</v>
      </c>
      <c r="G17" s="185" t="e">
        <f>VLOOKUP(A17,'Full Plan'!A:AH, 34,)</f>
        <v>#N/A</v>
      </c>
    </row>
    <row r="18" spans="1:7" s="237" customFormat="1" ht="19.95" customHeight="1" thickBot="1">
      <c r="A18" s="116"/>
      <c r="B18" s="117"/>
      <c r="C18" s="118" t="e">
        <f>VLOOKUP(A18,'Full Plan'!A:I,8,)</f>
        <v>#N/A</v>
      </c>
      <c r="D18" s="119" t="e">
        <f>VLOOKUP(A18,'Full Plan'!A:J, 10,)</f>
        <v>#N/A</v>
      </c>
      <c r="E18" s="120" t="e">
        <f>VLOOKUP(A18,'Full Plan'!A:K, 11,)</f>
        <v>#N/A</v>
      </c>
      <c r="F18" s="120" t="e">
        <f>VLOOKUP(A18,'Full Plan'!A:M, 13,)</f>
        <v>#N/A</v>
      </c>
      <c r="G18" s="185" t="e">
        <f>VLOOKUP(A18,'Full Plan'!A:AH, 34,)</f>
        <v>#N/A</v>
      </c>
    </row>
    <row r="19" spans="1:7" s="237" customFormat="1" ht="19.95" customHeight="1" thickBot="1">
      <c r="A19" s="116"/>
      <c r="B19" s="117"/>
      <c r="C19" s="118" t="e">
        <f>VLOOKUP(A19,'Full Plan'!A:I,8,)</f>
        <v>#N/A</v>
      </c>
      <c r="D19" s="119" t="e">
        <f>VLOOKUP(A19,'Full Plan'!A:J, 10,)</f>
        <v>#N/A</v>
      </c>
      <c r="E19" s="120" t="e">
        <f>VLOOKUP(A19,'Full Plan'!A:K, 11,)</f>
        <v>#N/A</v>
      </c>
      <c r="F19" s="120" t="e">
        <f>VLOOKUP(A19,'Full Plan'!A:M, 13,)</f>
        <v>#N/A</v>
      </c>
      <c r="G19" s="185" t="e">
        <f>VLOOKUP(A19,'Full Plan'!A:AH, 34,)</f>
        <v>#N/A</v>
      </c>
    </row>
    <row r="20" spans="1:7" s="237" customFormat="1" ht="19.95" customHeight="1" thickBot="1">
      <c r="A20" s="116"/>
      <c r="B20" s="117"/>
      <c r="C20" s="118" t="e">
        <f>VLOOKUP(A20,'Full Plan'!A:I,8,)</f>
        <v>#N/A</v>
      </c>
      <c r="D20" s="119" t="e">
        <f>VLOOKUP(A20,'Full Plan'!A:J, 10,)</f>
        <v>#N/A</v>
      </c>
      <c r="E20" s="120" t="e">
        <f>VLOOKUP(A20,'Full Plan'!A:K, 11,)</f>
        <v>#N/A</v>
      </c>
      <c r="F20" s="120" t="e">
        <f>VLOOKUP(A20,'Full Plan'!A:M, 13,)</f>
        <v>#N/A</v>
      </c>
      <c r="G20" s="185" t="e">
        <f>VLOOKUP(A20,'Full Plan'!A:AH, 34,)</f>
        <v>#N/A</v>
      </c>
    </row>
    <row r="21" spans="1:7" s="237" customFormat="1" ht="19.95" customHeight="1" thickBot="1">
      <c r="A21" s="119"/>
      <c r="B21" s="121"/>
      <c r="C21" s="118" t="e">
        <f>VLOOKUP(A21,'Full Plan'!A:I,8,)</f>
        <v>#N/A</v>
      </c>
      <c r="D21" s="119" t="e">
        <f>VLOOKUP(A21,'Full Plan'!A:J, 10,)</f>
        <v>#N/A</v>
      </c>
      <c r="E21" s="120" t="e">
        <f>VLOOKUP(A21,'Full Plan'!A:K, 11,)</f>
        <v>#N/A</v>
      </c>
      <c r="F21" s="120" t="e">
        <f>VLOOKUP(A21,'Full Plan'!A:M, 13,)</f>
        <v>#N/A</v>
      </c>
      <c r="G21" s="185" t="e">
        <f>VLOOKUP(A21,'Full Plan'!A:AH, 34,)</f>
        <v>#N/A</v>
      </c>
    </row>
    <row r="22" spans="1:7" s="237" customFormat="1" ht="19.95" customHeight="1" thickBot="1">
      <c r="A22" s="119"/>
      <c r="B22" s="121"/>
      <c r="C22" s="118" t="e">
        <f>VLOOKUP(A22,'Full Plan'!A:I,8,)</f>
        <v>#N/A</v>
      </c>
      <c r="D22" s="119" t="e">
        <f>VLOOKUP(A22,'Full Plan'!A:J, 10,)</f>
        <v>#N/A</v>
      </c>
      <c r="E22" s="120" t="e">
        <f>VLOOKUP(A22,'Full Plan'!A:K, 11,)</f>
        <v>#N/A</v>
      </c>
      <c r="F22" s="120" t="e">
        <f>VLOOKUP(A22,'Full Plan'!A:M, 13,)</f>
        <v>#N/A</v>
      </c>
      <c r="G22" s="185" t="e">
        <f>VLOOKUP(A22,'Full Plan'!A:AH, 34,)</f>
        <v>#N/A</v>
      </c>
    </row>
    <row r="23" spans="1:7" s="237" customFormat="1" ht="19.95" customHeight="1" thickBot="1">
      <c r="A23" s="119"/>
      <c r="B23" s="121"/>
      <c r="C23" s="118" t="e">
        <f>VLOOKUP(A23,'Full Plan'!A:I,8,)</f>
        <v>#N/A</v>
      </c>
      <c r="D23" s="119" t="e">
        <f>VLOOKUP(A23,'Full Plan'!A:J, 10,)</f>
        <v>#N/A</v>
      </c>
      <c r="E23" s="120" t="e">
        <f>VLOOKUP(A23,'Full Plan'!A:K, 11,)</f>
        <v>#N/A</v>
      </c>
      <c r="F23" s="120" t="e">
        <f>VLOOKUP(A23,'Full Plan'!A:M, 13,)</f>
        <v>#N/A</v>
      </c>
      <c r="G23" s="185" t="e">
        <f>VLOOKUP(A23,'Full Plan'!A:AH, 34,)</f>
        <v>#N/A</v>
      </c>
    </row>
    <row r="24" spans="1:7" s="237" customFormat="1" ht="19.95" customHeight="1" thickBot="1">
      <c r="A24" s="116"/>
      <c r="B24" s="117"/>
      <c r="C24" s="118" t="e">
        <f>VLOOKUP(A24,'Full Plan'!A:I,8,)</f>
        <v>#N/A</v>
      </c>
      <c r="D24" s="119" t="e">
        <f>VLOOKUP(A24,'Full Plan'!A:J, 10,)</f>
        <v>#N/A</v>
      </c>
      <c r="E24" s="120" t="e">
        <f>VLOOKUP(A24,'Full Plan'!A:K, 11,)</f>
        <v>#N/A</v>
      </c>
      <c r="F24" s="120" t="e">
        <f>VLOOKUP(A24,'Full Plan'!A:M, 13,)</f>
        <v>#N/A</v>
      </c>
      <c r="G24" s="185" t="e">
        <f>VLOOKUP(A24,'Full Plan'!A:AH, 34,)</f>
        <v>#N/A</v>
      </c>
    </row>
    <row r="25" spans="1:7" s="237" customFormat="1" ht="19.95" customHeight="1" thickBot="1">
      <c r="A25" s="119"/>
      <c r="B25" s="121"/>
      <c r="C25" s="118" t="e">
        <f>VLOOKUP(A25,'Full Plan'!A:I,8,)</f>
        <v>#N/A</v>
      </c>
      <c r="D25" s="119" t="e">
        <f>VLOOKUP(A25,'Full Plan'!A:J, 10,)</f>
        <v>#N/A</v>
      </c>
      <c r="E25" s="120" t="e">
        <f>VLOOKUP(A25,'Full Plan'!A:K, 11,)</f>
        <v>#N/A</v>
      </c>
      <c r="F25" s="120" t="e">
        <f>VLOOKUP(A25,'Full Plan'!A:M, 13,)</f>
        <v>#N/A</v>
      </c>
      <c r="G25" s="185" t="e">
        <f>VLOOKUP(A25,'Full Plan'!A:AH, 34,)</f>
        <v>#N/A</v>
      </c>
    </row>
    <row r="26" spans="1:7" s="237" customFormat="1" ht="19.95" customHeight="1" thickBot="1">
      <c r="A26" s="116"/>
      <c r="B26" s="117"/>
      <c r="C26" s="118" t="e">
        <f>VLOOKUP(A26,'Full Plan'!A:I,8,)</f>
        <v>#N/A</v>
      </c>
      <c r="D26" s="119" t="e">
        <f>VLOOKUP(A26,'Full Plan'!A:J, 10,)</f>
        <v>#N/A</v>
      </c>
      <c r="E26" s="120" t="e">
        <f>VLOOKUP(A26,'Full Plan'!A:K, 11,)</f>
        <v>#N/A</v>
      </c>
      <c r="F26" s="120" t="e">
        <f>VLOOKUP(A26,'Full Plan'!A:M, 13,)</f>
        <v>#N/A</v>
      </c>
      <c r="G26" s="185" t="e">
        <f>VLOOKUP(A26,'Full Plan'!A:AH, 34,)</f>
        <v>#N/A</v>
      </c>
    </row>
    <row r="27" spans="1:7" s="237" customFormat="1" ht="19.95" customHeight="1" thickBot="1">
      <c r="A27" s="122"/>
      <c r="B27" s="123"/>
      <c r="C27" s="118" t="e">
        <f>VLOOKUP(A27,'Full Plan'!A:I,8,)</f>
        <v>#N/A</v>
      </c>
      <c r="D27" s="119" t="e">
        <f>VLOOKUP(A27,'Full Plan'!A:J, 10,)</f>
        <v>#N/A</v>
      </c>
      <c r="E27" s="120" t="e">
        <f>VLOOKUP(A27,'Full Plan'!A:K, 11,)</f>
        <v>#N/A</v>
      </c>
      <c r="F27" s="120" t="e">
        <f>VLOOKUP(A27,'Full Plan'!A:M, 13,)</f>
        <v>#N/A</v>
      </c>
      <c r="G27" s="185" t="e">
        <f>VLOOKUP(A27,'Full Plan'!A:AH, 34,)</f>
        <v>#N/A</v>
      </c>
    </row>
  </sheetData>
  <conditionalFormatting sqref="A2:G2">
    <cfRule type="expression" dxfId="182" priority="143">
      <formula>$V2=TODAY() +1</formula>
    </cfRule>
    <cfRule type="expression" dxfId="181" priority="144">
      <formula>$V2=TODAY()</formula>
    </cfRule>
  </conditionalFormatting>
  <conditionalFormatting sqref="D3:D27">
    <cfRule type="containsText" dxfId="180" priority="67" operator="containsText" text="To be Mobilized">
      <formula>NOT(ISERROR(SEARCH("To be Mobilized",D3)))</formula>
    </cfRule>
    <cfRule type="containsText" dxfId="179" priority="68" operator="containsText" text="Commissioning Pending">
      <formula>NOT(ISERROR(SEARCH("Commissioning Pending",D3)))</formula>
    </cfRule>
    <cfRule type="containsText" dxfId="178" priority="69" operator="containsText" text="On Air Pending">
      <formula>NOT(ISERROR(SEARCH("On Air Pending",D3)))</formula>
    </cfRule>
    <cfRule type="containsText" dxfId="177" priority="70" operator="containsText" text="On Air">
      <formula>NOT(ISERROR(SEARCH("On Air",D3)))</formula>
    </cfRule>
    <cfRule type="containsText" dxfId="176" priority="72" operator="containsText" text="Tx Pending">
      <formula>NOT(ISERROR(SEARCH("Tx Pending",D3)))</formula>
    </cfRule>
    <cfRule type="containsText" dxfId="175" priority="73" operator="containsText" text="Partially Completed">
      <formula>NOT(ISERROR(SEARCH("Partially Completed",D3)))</formula>
    </cfRule>
    <cfRule type="containsText" dxfId="174" priority="74" operator="containsText" text="On Hold">
      <formula>NOT(ISERROR(SEARCH("On Hold",D3)))</formula>
    </cfRule>
  </conditionalFormatting>
  <conditionalFormatting sqref="D3:D27">
    <cfRule type="containsText" dxfId="173" priority="64" operator="containsText" text="Installation Completed">
      <formula>NOT(ISERROR(SEARCH("Installation Completed",D3)))</formula>
    </cfRule>
    <cfRule type="containsText" dxfId="172" priority="71" operator="containsText" text="TE WIP">
      <formula>NOT(ISERROR(SEARCH("TE WIP",D3)))</formula>
    </cfRule>
  </conditionalFormatting>
  <conditionalFormatting sqref="B23">
    <cfRule type="duplicateValues" dxfId="171" priority="40"/>
  </conditionalFormatting>
  <conditionalFormatting sqref="A23">
    <cfRule type="duplicateValues" dxfId="170" priority="39"/>
  </conditionalFormatting>
  <conditionalFormatting sqref="B26:B27 B14:B22 B24">
    <cfRule type="duplicateValues" dxfId="169" priority="305"/>
  </conditionalFormatting>
  <conditionalFormatting sqref="A26:A27 A14:A22 A24">
    <cfRule type="duplicateValues" dxfId="168" priority="310"/>
  </conditionalFormatting>
  <conditionalFormatting sqref="A5:B13 A3:B3">
    <cfRule type="containsText" dxfId="167" priority="4" operator="containsText" text="Partially">
      <formula>NOT(ISERROR(SEARCH("Partially",A3)))</formula>
    </cfRule>
  </conditionalFormatting>
  <conditionalFormatting sqref="A4:B4">
    <cfRule type="containsText" dxfId="166" priority="1" operator="containsText" text="Partially">
      <formula>NOT(ISERROR(SEARCH("Partially",A4)))</formula>
    </cfRule>
  </conditionalFormatting>
  <conditionalFormatting sqref="A4:B4">
    <cfRule type="duplicateValues" dxfId="165" priority="2"/>
  </conditionalFormatting>
  <conditionalFormatting sqref="A3:A13">
    <cfRule type="duplicateValues" dxfId="164" priority="599"/>
  </conditionalFormatting>
  <conditionalFormatting sqref="A5:B13 A3:B3">
    <cfRule type="duplicateValues" dxfId="163" priority="63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13FB-4511-4A50-B6B8-D99725A90955}">
  <sheetPr codeName="Sheet4"/>
  <dimension ref="A1:AS282"/>
  <sheetViews>
    <sheetView zoomScale="70" zoomScaleNormal="70" workbookViewId="0">
      <pane xSplit="4" ySplit="2" topLeftCell="AH3" activePane="bottomRight" state="frozen"/>
      <selection activeCell="RR41" sqref="RR41"/>
      <selection pane="topRight" activeCell="RR41" sqref="RR41"/>
      <selection pane="bottomLeft" activeCell="RR41" sqref="RR41"/>
      <selection pane="bottomRight" activeCell="A6" sqref="A6:XFD6"/>
    </sheetView>
  </sheetViews>
  <sheetFormatPr defaultColWidth="8.88671875" defaultRowHeight="13.2"/>
  <cols>
    <col min="1" max="1" width="12.33203125" style="84" bestFit="1" customWidth="1"/>
    <col min="2" max="2" width="28.33203125" style="84" bestFit="1" customWidth="1"/>
    <col min="3" max="3" width="35.5546875" style="84" bestFit="1" customWidth="1"/>
    <col min="4" max="4" width="15.88671875" style="82" bestFit="1" customWidth="1"/>
    <col min="5" max="5" width="16.33203125" style="84" bestFit="1" customWidth="1"/>
    <col min="6" max="6" width="29.33203125" style="84" bestFit="1" customWidth="1"/>
    <col min="7" max="7" width="21.88671875" style="137" bestFit="1" customWidth="1"/>
    <col min="8" max="8" width="15.44140625" style="137" bestFit="1" customWidth="1"/>
    <col min="9" max="9" width="13.77734375" style="137" bestFit="1" customWidth="1"/>
    <col min="10" max="10" width="29.33203125" style="137" bestFit="1" customWidth="1"/>
    <col min="11" max="11" width="16.33203125" style="137" bestFit="1" customWidth="1"/>
    <col min="12" max="12" width="19.109375" style="137" bestFit="1" customWidth="1"/>
    <col min="13" max="13" width="22.33203125" style="137" bestFit="1" customWidth="1"/>
    <col min="14" max="14" width="19.77734375" style="137" bestFit="1" customWidth="1"/>
    <col min="15" max="15" width="9.109375" style="137" bestFit="1" customWidth="1"/>
    <col min="16" max="16" width="20.33203125" style="82" bestFit="1" customWidth="1"/>
    <col min="17" max="17" width="27.44140625" style="82" bestFit="1" customWidth="1"/>
    <col min="18" max="18" width="14.44140625" style="82" bestFit="1" customWidth="1"/>
    <col min="19" max="19" width="14.6640625" style="82" bestFit="1" customWidth="1"/>
    <col min="20" max="20" width="14.44140625" style="82" bestFit="1" customWidth="1"/>
    <col min="21" max="21" width="16.88671875" style="82" bestFit="1" customWidth="1"/>
    <col min="22" max="22" width="22.44140625" style="82" bestFit="1" customWidth="1"/>
    <col min="23" max="23" width="14.44140625" style="82" bestFit="1" customWidth="1"/>
    <col min="24" max="24" width="22.44140625" style="82" customWidth="1"/>
    <col min="25" max="25" width="42.77734375" style="84" bestFit="1" customWidth="1"/>
    <col min="26" max="26" width="18.77734375" style="137" bestFit="1" customWidth="1"/>
    <col min="27" max="27" width="25.88671875" style="137" bestFit="1" customWidth="1"/>
    <col min="28" max="28" width="13.21875" style="137" bestFit="1" customWidth="1"/>
    <col min="29" max="29" width="14.6640625" style="137" bestFit="1" customWidth="1"/>
    <col min="30" max="30" width="14.109375" style="137" bestFit="1" customWidth="1"/>
    <col min="31" max="31" width="16.77734375" style="137" bestFit="1" customWidth="1"/>
    <col min="32" max="32" width="21" style="137" bestFit="1" customWidth="1"/>
    <col min="33" max="33" width="13.33203125" style="137" bestFit="1" customWidth="1"/>
    <col min="34" max="34" width="21" style="137" bestFit="1" customWidth="1"/>
    <col min="35" max="35" width="39.21875" style="138" bestFit="1" customWidth="1"/>
    <col min="36" max="36" width="22.21875" style="138" bestFit="1" customWidth="1"/>
    <col min="37" max="37" width="13.44140625" style="138" bestFit="1" customWidth="1"/>
    <col min="38" max="39" width="15.21875" style="138" bestFit="1" customWidth="1"/>
    <col min="40" max="40" width="45" style="138" bestFit="1" customWidth="1"/>
    <col min="41" max="41" width="18" style="138" bestFit="1" customWidth="1"/>
    <col min="42" max="42" width="40.44140625" style="138" bestFit="1" customWidth="1"/>
    <col min="43" max="43" width="7.88671875" style="137" bestFit="1" customWidth="1"/>
    <col min="44" max="44" width="25.88671875" style="137" bestFit="1" customWidth="1"/>
    <col min="45" max="45" width="19.109375" style="137" bestFit="1" customWidth="1"/>
    <col min="46" max="16384" width="8.88671875" style="6"/>
  </cols>
  <sheetData>
    <row r="1" spans="1:45" s="5" customFormat="1" ht="49.95" customHeight="1">
      <c r="A1" s="81" t="s">
        <v>25</v>
      </c>
      <c r="B1" s="81" t="s">
        <v>71</v>
      </c>
      <c r="C1" s="81" t="s">
        <v>118</v>
      </c>
      <c r="D1" s="81" t="s">
        <v>21</v>
      </c>
      <c r="E1" s="81" t="s">
        <v>26</v>
      </c>
      <c r="F1" s="81" t="s">
        <v>16</v>
      </c>
      <c r="G1" s="81" t="s">
        <v>27</v>
      </c>
      <c r="H1" s="81" t="s">
        <v>28</v>
      </c>
      <c r="I1" s="81" t="s">
        <v>29</v>
      </c>
      <c r="J1" s="81" t="s">
        <v>30</v>
      </c>
      <c r="K1" s="81" t="s">
        <v>31</v>
      </c>
      <c r="L1" s="81" t="s">
        <v>22</v>
      </c>
      <c r="M1" s="81" t="s">
        <v>32</v>
      </c>
      <c r="N1" s="81" t="s">
        <v>33</v>
      </c>
      <c r="O1" s="81" t="s">
        <v>34</v>
      </c>
      <c r="P1" s="81" t="s">
        <v>35</v>
      </c>
      <c r="Q1" s="81" t="s">
        <v>36</v>
      </c>
      <c r="R1" s="81" t="s">
        <v>37</v>
      </c>
      <c r="S1" s="81" t="s">
        <v>38</v>
      </c>
      <c r="T1" s="81" t="s">
        <v>39</v>
      </c>
      <c r="U1" s="81" t="s">
        <v>40</v>
      </c>
      <c r="V1" s="81" t="s">
        <v>41</v>
      </c>
      <c r="W1" s="81" t="s">
        <v>42</v>
      </c>
      <c r="X1" s="81" t="s">
        <v>43</v>
      </c>
      <c r="Y1" s="81" t="s">
        <v>44</v>
      </c>
      <c r="Z1" s="81" t="s">
        <v>45</v>
      </c>
      <c r="AA1" s="81" t="s">
        <v>46</v>
      </c>
      <c r="AB1" s="81" t="s">
        <v>47</v>
      </c>
      <c r="AC1" s="81" t="s">
        <v>48</v>
      </c>
      <c r="AD1" s="81" t="s">
        <v>49</v>
      </c>
      <c r="AE1" s="81" t="s">
        <v>50</v>
      </c>
      <c r="AF1" s="81" t="s">
        <v>51</v>
      </c>
      <c r="AG1" s="81" t="s">
        <v>52</v>
      </c>
      <c r="AH1" s="81" t="s">
        <v>53</v>
      </c>
      <c r="AI1" s="81" t="s">
        <v>54</v>
      </c>
      <c r="AJ1" s="81" t="s">
        <v>55</v>
      </c>
      <c r="AK1" s="81" t="s">
        <v>56</v>
      </c>
      <c r="AL1" s="81" t="s">
        <v>265</v>
      </c>
      <c r="AM1" s="81" t="s">
        <v>266</v>
      </c>
      <c r="AN1" s="81" t="s">
        <v>57</v>
      </c>
      <c r="AO1" s="81" t="s">
        <v>58</v>
      </c>
      <c r="AP1" s="81" t="s">
        <v>131</v>
      </c>
      <c r="AQ1" s="81" t="s">
        <v>45</v>
      </c>
      <c r="AR1" s="81" t="s">
        <v>46</v>
      </c>
      <c r="AS1" s="81" t="s">
        <v>139</v>
      </c>
    </row>
    <row r="2" spans="1:45" s="5" customFormat="1" ht="19.95" customHeight="1">
      <c r="A2" s="17">
        <f t="shared" ref="A2:AS2" si="0">SUBTOTAL(103, A3:A152)</f>
        <v>32</v>
      </c>
      <c r="B2" s="17">
        <f t="shared" si="0"/>
        <v>32</v>
      </c>
      <c r="C2" s="17">
        <f t="shared" si="0"/>
        <v>32</v>
      </c>
      <c r="D2" s="17">
        <f t="shared" si="0"/>
        <v>32</v>
      </c>
      <c r="E2" s="17">
        <f t="shared" si="0"/>
        <v>22</v>
      </c>
      <c r="F2" s="17">
        <f t="shared" si="0"/>
        <v>2</v>
      </c>
      <c r="G2" s="17">
        <f t="shared" si="0"/>
        <v>32</v>
      </c>
      <c r="H2" s="17">
        <f t="shared" si="0"/>
        <v>9</v>
      </c>
      <c r="I2" s="17">
        <f t="shared" si="0"/>
        <v>9</v>
      </c>
      <c r="J2" s="17">
        <f t="shared" si="0"/>
        <v>1</v>
      </c>
      <c r="K2" s="17">
        <f t="shared" si="0"/>
        <v>9</v>
      </c>
      <c r="L2" s="17">
        <f t="shared" si="0"/>
        <v>10</v>
      </c>
      <c r="M2" s="17">
        <f t="shared" si="0"/>
        <v>9</v>
      </c>
      <c r="N2" s="17">
        <f t="shared" si="0"/>
        <v>9</v>
      </c>
      <c r="O2" s="17">
        <f t="shared" si="0"/>
        <v>10</v>
      </c>
      <c r="P2" s="17">
        <f t="shared" si="0"/>
        <v>10</v>
      </c>
      <c r="Q2" s="17">
        <f t="shared" si="0"/>
        <v>10</v>
      </c>
      <c r="R2" s="17">
        <f t="shared" si="0"/>
        <v>9</v>
      </c>
      <c r="S2" s="17">
        <f t="shared" si="0"/>
        <v>9</v>
      </c>
      <c r="T2" s="17">
        <f t="shared" si="0"/>
        <v>9</v>
      </c>
      <c r="U2" s="17">
        <f t="shared" si="0"/>
        <v>9</v>
      </c>
      <c r="V2" s="17">
        <f t="shared" si="0"/>
        <v>9</v>
      </c>
      <c r="W2" s="17">
        <f t="shared" si="0"/>
        <v>9</v>
      </c>
      <c r="X2" s="17">
        <f t="shared" si="0"/>
        <v>9</v>
      </c>
      <c r="Y2" s="17">
        <f t="shared" si="0"/>
        <v>10</v>
      </c>
      <c r="Z2" s="17">
        <f t="shared" si="0"/>
        <v>9</v>
      </c>
      <c r="AA2" s="17">
        <f t="shared" si="0"/>
        <v>9</v>
      </c>
      <c r="AB2" s="17">
        <f t="shared" si="0"/>
        <v>9</v>
      </c>
      <c r="AC2" s="17">
        <f t="shared" si="0"/>
        <v>9</v>
      </c>
      <c r="AD2" s="17">
        <f t="shared" si="0"/>
        <v>9</v>
      </c>
      <c r="AE2" s="17">
        <f t="shared" si="0"/>
        <v>9</v>
      </c>
      <c r="AF2" s="17">
        <f t="shared" si="0"/>
        <v>9</v>
      </c>
      <c r="AG2" s="17">
        <f t="shared" si="0"/>
        <v>9</v>
      </c>
      <c r="AH2" s="17">
        <f t="shared" si="0"/>
        <v>9</v>
      </c>
      <c r="AI2" s="17">
        <f t="shared" si="0"/>
        <v>9</v>
      </c>
      <c r="AJ2" s="17">
        <f t="shared" si="0"/>
        <v>10</v>
      </c>
      <c r="AK2" s="17">
        <f t="shared" si="0"/>
        <v>8</v>
      </c>
      <c r="AL2" s="17">
        <f t="shared" si="0"/>
        <v>10</v>
      </c>
      <c r="AM2" s="17">
        <f t="shared" si="0"/>
        <v>10</v>
      </c>
      <c r="AN2" s="17">
        <f t="shared" si="0"/>
        <v>10</v>
      </c>
      <c r="AO2" s="17">
        <f t="shared" si="0"/>
        <v>10</v>
      </c>
      <c r="AP2" s="17">
        <f t="shared" si="0"/>
        <v>0</v>
      </c>
      <c r="AQ2" s="17">
        <f t="shared" si="0"/>
        <v>32</v>
      </c>
      <c r="AR2" s="17">
        <f t="shared" si="0"/>
        <v>32</v>
      </c>
      <c r="AS2" s="17">
        <f t="shared" si="0"/>
        <v>32</v>
      </c>
    </row>
    <row r="3" spans="1:45" ht="19.95" customHeight="1">
      <c r="A3" s="167" t="s">
        <v>163</v>
      </c>
      <c r="B3" s="21" t="s">
        <v>164</v>
      </c>
      <c r="C3" s="21" t="s">
        <v>185</v>
      </c>
      <c r="D3" s="40" t="s">
        <v>8</v>
      </c>
      <c r="E3" s="23" t="s">
        <v>195</v>
      </c>
      <c r="F3" s="21" t="s">
        <v>172</v>
      </c>
      <c r="G3" s="14" t="s">
        <v>61</v>
      </c>
      <c r="H3" s="14" t="s">
        <v>59</v>
      </c>
      <c r="I3" s="14">
        <v>400</v>
      </c>
      <c r="J3" s="14"/>
      <c r="K3" s="14" t="s">
        <v>60</v>
      </c>
      <c r="L3" s="14" t="s">
        <v>247</v>
      </c>
      <c r="M3" s="14">
        <v>3.58</v>
      </c>
      <c r="N3" s="14">
        <v>20</v>
      </c>
      <c r="O3" s="14">
        <v>-29.05</v>
      </c>
      <c r="P3" s="87" t="s">
        <v>163</v>
      </c>
      <c r="Q3" s="87" t="s">
        <v>164</v>
      </c>
      <c r="R3" s="13">
        <v>9.4768559999999997</v>
      </c>
      <c r="S3" s="13">
        <v>80.190871999999999</v>
      </c>
      <c r="T3" s="15">
        <v>0</v>
      </c>
      <c r="U3" s="15">
        <v>17920</v>
      </c>
      <c r="V3" s="15">
        <v>0.6</v>
      </c>
      <c r="W3" s="15">
        <v>46</v>
      </c>
      <c r="X3" s="15">
        <v>27</v>
      </c>
      <c r="Y3" s="78" t="s">
        <v>248</v>
      </c>
      <c r="Z3" s="22" t="s">
        <v>249</v>
      </c>
      <c r="AA3" s="22" t="s">
        <v>250</v>
      </c>
      <c r="AB3" s="22">
        <v>9.4992400000000004</v>
      </c>
      <c r="AC3" s="22">
        <v>80.214393000000001</v>
      </c>
      <c r="AD3" s="22">
        <v>0</v>
      </c>
      <c r="AE3" s="22">
        <v>18930</v>
      </c>
      <c r="AF3" s="22">
        <v>1.2</v>
      </c>
      <c r="AG3" s="22">
        <v>226</v>
      </c>
      <c r="AH3" s="22">
        <v>30</v>
      </c>
      <c r="AI3" s="83" t="s">
        <v>251</v>
      </c>
      <c r="AJ3" s="23" t="s">
        <v>255</v>
      </c>
      <c r="AK3" s="23" t="s">
        <v>253</v>
      </c>
      <c r="AL3" s="23" t="s">
        <v>254</v>
      </c>
      <c r="AM3" s="23" t="s">
        <v>252</v>
      </c>
      <c r="AN3" s="23" t="s">
        <v>256</v>
      </c>
      <c r="AO3" s="23" t="s">
        <v>257</v>
      </c>
      <c r="AP3" s="23"/>
      <c r="AQ3" s="36" t="str">
        <f>Z3</f>
        <v>KI0023</v>
      </c>
      <c r="AR3" s="36" t="str">
        <f>AA3</f>
        <v>Pooneryne_DTL</v>
      </c>
      <c r="AS3" s="36" t="str">
        <f>L3</f>
        <v>18G3920</v>
      </c>
    </row>
    <row r="4" spans="1:45" ht="19.95" customHeight="1">
      <c r="A4" s="167" t="s">
        <v>165</v>
      </c>
      <c r="B4" s="21" t="s">
        <v>166</v>
      </c>
      <c r="C4" s="21" t="s">
        <v>185</v>
      </c>
      <c r="D4" s="40" t="s">
        <v>8</v>
      </c>
      <c r="E4" s="23" t="s">
        <v>196</v>
      </c>
      <c r="F4" s="21" t="s">
        <v>172</v>
      </c>
      <c r="G4" s="14" t="s">
        <v>61</v>
      </c>
      <c r="H4" s="14" t="s">
        <v>59</v>
      </c>
      <c r="I4" s="14">
        <v>400</v>
      </c>
      <c r="J4" s="14"/>
      <c r="K4" s="14" t="s">
        <v>60</v>
      </c>
      <c r="L4" s="14" t="s">
        <v>258</v>
      </c>
      <c r="M4" s="14">
        <v>3.17</v>
      </c>
      <c r="N4" s="14">
        <v>20</v>
      </c>
      <c r="O4" s="14">
        <v>-27.99</v>
      </c>
      <c r="P4" s="87" t="s">
        <v>165</v>
      </c>
      <c r="Q4" s="87" t="s">
        <v>166</v>
      </c>
      <c r="R4" s="13">
        <v>9.4910460000000008</v>
      </c>
      <c r="S4" s="13">
        <v>80.186674999999994</v>
      </c>
      <c r="T4" s="15">
        <v>0</v>
      </c>
      <c r="U4" s="15">
        <v>17920</v>
      </c>
      <c r="V4" s="15">
        <v>0.6</v>
      </c>
      <c r="W4" s="15">
        <v>73</v>
      </c>
      <c r="X4" s="15">
        <v>27</v>
      </c>
      <c r="Y4" s="78" t="s">
        <v>259</v>
      </c>
      <c r="Z4" s="22" t="s">
        <v>249</v>
      </c>
      <c r="AA4" s="22" t="s">
        <v>250</v>
      </c>
      <c r="AB4" s="22">
        <v>9.4992400000000004</v>
      </c>
      <c r="AC4" s="22">
        <v>80.214393000000001</v>
      </c>
      <c r="AD4" s="22">
        <v>0</v>
      </c>
      <c r="AE4" s="22">
        <v>18930</v>
      </c>
      <c r="AF4" s="22">
        <v>1.2</v>
      </c>
      <c r="AG4" s="22">
        <v>253</v>
      </c>
      <c r="AH4" s="22">
        <v>35</v>
      </c>
      <c r="AI4" s="83" t="s">
        <v>260</v>
      </c>
      <c r="AJ4" s="23" t="s">
        <v>264</v>
      </c>
      <c r="AK4" s="23" t="s">
        <v>262</v>
      </c>
      <c r="AL4" s="23" t="s">
        <v>263</v>
      </c>
      <c r="AM4" s="23" t="s">
        <v>261</v>
      </c>
      <c r="AN4" s="23" t="s">
        <v>256</v>
      </c>
      <c r="AO4" s="23" t="s">
        <v>267</v>
      </c>
      <c r="AP4" s="23"/>
      <c r="AQ4" s="36" t="str">
        <f t="shared" ref="AQ4:AQ34" si="1">Z4</f>
        <v>KI0023</v>
      </c>
      <c r="AR4" s="36" t="str">
        <f t="shared" ref="AR4:AR34" si="2">AA4</f>
        <v>Pooneryne_DTL</v>
      </c>
      <c r="AS4" s="36" t="str">
        <f t="shared" ref="AS4:AS34" si="3">L4</f>
        <v>18G3921</v>
      </c>
    </row>
    <row r="5" spans="1:45" ht="19.95" customHeight="1">
      <c r="A5" s="167" t="s">
        <v>167</v>
      </c>
      <c r="B5" s="85" t="s">
        <v>168</v>
      </c>
      <c r="C5" s="21" t="s">
        <v>185</v>
      </c>
      <c r="D5" s="40" t="s">
        <v>8</v>
      </c>
      <c r="E5" s="23" t="s">
        <v>197</v>
      </c>
      <c r="F5" s="21"/>
      <c r="G5" s="14" t="s">
        <v>61</v>
      </c>
      <c r="H5" s="14" t="s">
        <v>59</v>
      </c>
      <c r="I5" s="14">
        <v>400</v>
      </c>
      <c r="J5" s="14"/>
      <c r="K5" s="14" t="s">
        <v>60</v>
      </c>
      <c r="L5" s="14" t="s">
        <v>234</v>
      </c>
      <c r="M5" s="14">
        <v>3.16</v>
      </c>
      <c r="N5" s="14">
        <v>20</v>
      </c>
      <c r="O5" s="14">
        <v>-32.97</v>
      </c>
      <c r="P5" s="87" t="s">
        <v>167</v>
      </c>
      <c r="Q5" s="87" t="s">
        <v>168</v>
      </c>
      <c r="R5" s="13">
        <v>8.7992709999999992</v>
      </c>
      <c r="S5" s="13">
        <v>79.982692</v>
      </c>
      <c r="T5" s="15">
        <v>7.44</v>
      </c>
      <c r="U5" s="15">
        <v>17920</v>
      </c>
      <c r="V5" s="15">
        <v>0.6</v>
      </c>
      <c r="W5" s="15">
        <v>111</v>
      </c>
      <c r="X5" s="15">
        <v>25</v>
      </c>
      <c r="Y5" s="78" t="s">
        <v>235</v>
      </c>
      <c r="Z5" s="22" t="s">
        <v>236</v>
      </c>
      <c r="AA5" s="22" t="s">
        <v>237</v>
      </c>
      <c r="AB5" s="22">
        <v>8.7889119999999998</v>
      </c>
      <c r="AC5" s="22">
        <v>80.009517000000002</v>
      </c>
      <c r="AD5" s="22">
        <v>11.3</v>
      </c>
      <c r="AE5" s="22">
        <v>18930</v>
      </c>
      <c r="AF5" s="22">
        <v>0.6</v>
      </c>
      <c r="AG5" s="22">
        <v>291</v>
      </c>
      <c r="AH5" s="22">
        <v>25</v>
      </c>
      <c r="AI5" s="83" t="s">
        <v>238</v>
      </c>
      <c r="AJ5" s="23" t="s">
        <v>242</v>
      </c>
      <c r="AK5" s="23" t="s">
        <v>241</v>
      </c>
      <c r="AL5" s="23" t="s">
        <v>240</v>
      </c>
      <c r="AM5" s="23" t="s">
        <v>239</v>
      </c>
      <c r="AN5" s="23" t="s">
        <v>492</v>
      </c>
      <c r="AO5" s="23" t="s">
        <v>491</v>
      </c>
      <c r="AP5" s="23"/>
      <c r="AQ5" s="36" t="str">
        <f t="shared" si="1"/>
        <v>MA0035</v>
      </c>
      <c r="AR5" s="36" t="str">
        <f t="shared" si="2"/>
        <v>Veppankulam</v>
      </c>
      <c r="AS5" s="36" t="str">
        <f t="shared" si="3"/>
        <v>18G3917</v>
      </c>
    </row>
    <row r="6" spans="1:45" ht="19.95" customHeight="1">
      <c r="A6" s="167" t="s">
        <v>182</v>
      </c>
      <c r="B6" s="21" t="s">
        <v>190</v>
      </c>
      <c r="C6" s="21" t="s">
        <v>187</v>
      </c>
      <c r="D6" s="40" t="s">
        <v>8</v>
      </c>
      <c r="E6" s="23" t="s">
        <v>198</v>
      </c>
      <c r="F6" s="21"/>
      <c r="G6" s="14" t="s">
        <v>61</v>
      </c>
      <c r="H6" s="14" t="s">
        <v>59</v>
      </c>
      <c r="I6" s="14">
        <v>400</v>
      </c>
      <c r="J6" s="14"/>
      <c r="K6" s="14" t="s">
        <v>60</v>
      </c>
      <c r="L6" s="14" t="s">
        <v>271</v>
      </c>
      <c r="M6" s="14">
        <v>2.5299999999999998</v>
      </c>
      <c r="N6" s="14">
        <v>20</v>
      </c>
      <c r="O6" s="14">
        <v>-31.83</v>
      </c>
      <c r="P6" s="87" t="s">
        <v>182</v>
      </c>
      <c r="Q6" s="87" t="s">
        <v>190</v>
      </c>
      <c r="R6" s="13">
        <v>9.2157149999999994</v>
      </c>
      <c r="S6" s="13">
        <v>80.635919999999999</v>
      </c>
      <c r="T6" s="15">
        <v>0</v>
      </c>
      <c r="U6" s="15">
        <v>17920</v>
      </c>
      <c r="V6" s="15">
        <v>0.6</v>
      </c>
      <c r="W6" s="15">
        <v>120</v>
      </c>
      <c r="X6" s="15">
        <v>27</v>
      </c>
      <c r="Y6" s="78" t="s">
        <v>272</v>
      </c>
      <c r="Z6" s="22" t="s">
        <v>273</v>
      </c>
      <c r="AA6" s="22" t="s">
        <v>274</v>
      </c>
      <c r="AB6" s="22">
        <v>9.2043300000000006</v>
      </c>
      <c r="AC6" s="22">
        <v>80.655900000000003</v>
      </c>
      <c r="AD6" s="22">
        <v>0</v>
      </c>
      <c r="AE6" s="22">
        <v>18930</v>
      </c>
      <c r="AF6" s="22">
        <v>0.6</v>
      </c>
      <c r="AG6" s="22">
        <v>300</v>
      </c>
      <c r="AH6" s="22">
        <v>30</v>
      </c>
      <c r="AI6" s="83" t="s">
        <v>275</v>
      </c>
      <c r="AJ6" s="23" t="s">
        <v>281</v>
      </c>
      <c r="AK6" s="23" t="s">
        <v>282</v>
      </c>
      <c r="AL6" s="23" t="s">
        <v>280</v>
      </c>
      <c r="AM6" s="23" t="s">
        <v>279</v>
      </c>
      <c r="AN6" s="23" t="s">
        <v>283</v>
      </c>
      <c r="AO6" s="23" t="s">
        <v>130</v>
      </c>
      <c r="AP6" s="23"/>
      <c r="AQ6" s="36" t="str">
        <f t="shared" si="1"/>
        <v>MU0052</v>
      </c>
      <c r="AR6" s="36" t="str">
        <f t="shared" si="2"/>
        <v>Muthiankattu</v>
      </c>
      <c r="AS6" s="36" t="str">
        <f t="shared" si="3"/>
        <v>18G3922</v>
      </c>
    </row>
    <row r="7" spans="1:45" ht="19.95" customHeight="1">
      <c r="A7" s="167" t="s">
        <v>170</v>
      </c>
      <c r="B7" s="21" t="s">
        <v>171</v>
      </c>
      <c r="C7" s="21" t="s">
        <v>187</v>
      </c>
      <c r="D7" s="40" t="s">
        <v>10</v>
      </c>
      <c r="E7" s="23" t="s">
        <v>199</v>
      </c>
      <c r="F7" s="23"/>
      <c r="G7" s="14" t="s">
        <v>92</v>
      </c>
      <c r="H7" s="14" t="s">
        <v>59</v>
      </c>
      <c r="I7" s="14">
        <v>200</v>
      </c>
      <c r="J7" s="86" t="s">
        <v>132</v>
      </c>
      <c r="K7" s="14" t="s">
        <v>60</v>
      </c>
      <c r="L7" s="14" t="s">
        <v>293</v>
      </c>
      <c r="M7" s="14">
        <v>4.8</v>
      </c>
      <c r="N7" s="14">
        <v>20</v>
      </c>
      <c r="O7" s="14">
        <v>-50</v>
      </c>
      <c r="P7" s="15" t="s">
        <v>170</v>
      </c>
      <c r="Q7" s="15" t="s">
        <v>171</v>
      </c>
      <c r="R7" s="15">
        <v>9.4291820000000008</v>
      </c>
      <c r="S7" s="15">
        <v>80.572123000000005</v>
      </c>
      <c r="T7" s="15">
        <v>7.92</v>
      </c>
      <c r="U7" s="15">
        <v>10567</v>
      </c>
      <c r="V7" s="15">
        <v>0.3</v>
      </c>
      <c r="W7" s="15">
        <v>248</v>
      </c>
      <c r="X7" s="15">
        <v>19</v>
      </c>
      <c r="Y7" s="78" t="s">
        <v>477</v>
      </c>
      <c r="Z7" s="22" t="s">
        <v>471</v>
      </c>
      <c r="AA7" s="22" t="s">
        <v>475</v>
      </c>
      <c r="AB7" s="22">
        <v>9.4107299999999992</v>
      </c>
      <c r="AC7" s="22">
        <v>80.522099999999995</v>
      </c>
      <c r="AD7" s="22">
        <v>0</v>
      </c>
      <c r="AE7" s="22">
        <v>10217</v>
      </c>
      <c r="AF7" s="22">
        <v>0.6</v>
      </c>
      <c r="AG7" s="22">
        <v>67</v>
      </c>
      <c r="AH7" s="22">
        <v>30</v>
      </c>
      <c r="AI7" s="83" t="s">
        <v>476</v>
      </c>
      <c r="AJ7" s="192" t="s">
        <v>292</v>
      </c>
      <c r="AK7" s="192"/>
      <c r="AL7" s="192" t="s">
        <v>291</v>
      </c>
      <c r="AM7" s="192" t="s">
        <v>472</v>
      </c>
      <c r="AN7" s="192" t="s">
        <v>473</v>
      </c>
      <c r="AO7" s="192" t="s">
        <v>474</v>
      </c>
      <c r="AP7" s="23"/>
      <c r="AQ7" s="36" t="str">
        <f t="shared" si="1"/>
        <v>KI0034</v>
      </c>
      <c r="AR7" s="36" t="str">
        <f t="shared" si="2"/>
        <v>Dharmapuram</v>
      </c>
      <c r="AS7" s="36" t="str">
        <f t="shared" si="3"/>
        <v>10G1549</v>
      </c>
    </row>
    <row r="8" spans="1:45" ht="19.95" customHeight="1">
      <c r="A8" s="167" t="s">
        <v>180</v>
      </c>
      <c r="B8" s="21" t="s">
        <v>188</v>
      </c>
      <c r="C8" s="21" t="s">
        <v>187</v>
      </c>
      <c r="D8" s="40" t="s">
        <v>8</v>
      </c>
      <c r="E8" s="23" t="s">
        <v>328</v>
      </c>
      <c r="F8" s="23"/>
      <c r="G8" s="14" t="s">
        <v>61</v>
      </c>
      <c r="H8" s="14" t="s">
        <v>59</v>
      </c>
      <c r="I8" s="14">
        <v>400</v>
      </c>
      <c r="J8" s="14"/>
      <c r="K8" s="14" t="s">
        <v>60</v>
      </c>
      <c r="L8" s="14" t="s">
        <v>446</v>
      </c>
      <c r="M8" s="14">
        <v>4.5599999999999996</v>
      </c>
      <c r="N8" s="14">
        <v>20</v>
      </c>
      <c r="O8" s="14">
        <v>-31.15</v>
      </c>
      <c r="P8" s="15" t="s">
        <v>180</v>
      </c>
      <c r="Q8" s="15" t="s">
        <v>188</v>
      </c>
      <c r="R8" s="15">
        <v>9.2143449999999998</v>
      </c>
      <c r="S8" s="15">
        <v>80.324506999999997</v>
      </c>
      <c r="T8" s="15">
        <v>0</v>
      </c>
      <c r="U8" s="15">
        <v>17920</v>
      </c>
      <c r="V8" s="15">
        <v>0.6</v>
      </c>
      <c r="W8" s="15">
        <v>307</v>
      </c>
      <c r="X8" s="15">
        <v>19</v>
      </c>
      <c r="Y8" s="78" t="s">
        <v>447</v>
      </c>
      <c r="Z8" s="22" t="s">
        <v>448</v>
      </c>
      <c r="AA8" s="22" t="s">
        <v>450</v>
      </c>
      <c r="AB8" s="22">
        <v>9.2392249999999994</v>
      </c>
      <c r="AC8" s="22">
        <v>80.291433330000004</v>
      </c>
      <c r="AD8" s="22">
        <v>0</v>
      </c>
      <c r="AE8" s="22">
        <v>18930</v>
      </c>
      <c r="AF8" s="22">
        <v>1.2</v>
      </c>
      <c r="AG8" s="22">
        <v>127</v>
      </c>
      <c r="AH8" s="22">
        <v>30</v>
      </c>
      <c r="AI8" s="83" t="s">
        <v>449</v>
      </c>
      <c r="AJ8" s="192" t="s">
        <v>478</v>
      </c>
      <c r="AK8" s="192" t="s">
        <v>479</v>
      </c>
      <c r="AL8" s="192" t="s">
        <v>452</v>
      </c>
      <c r="AM8" s="192" t="s">
        <v>451</v>
      </c>
      <c r="AN8" s="192" t="s">
        <v>453</v>
      </c>
      <c r="AO8" s="192" t="s">
        <v>454</v>
      </c>
      <c r="AP8" s="23"/>
      <c r="AQ8" s="36" t="str">
        <f t="shared" si="1"/>
        <v>MU0045</v>
      </c>
      <c r="AR8" s="36" t="str">
        <f t="shared" si="2"/>
        <v>Thunukkai_North</v>
      </c>
      <c r="AS8" s="36" t="str">
        <f t="shared" si="3"/>
        <v>18G3926</v>
      </c>
    </row>
    <row r="9" spans="1:45" ht="19.95" customHeight="1">
      <c r="A9" s="140" t="s">
        <v>211</v>
      </c>
      <c r="B9" s="21" t="s">
        <v>212</v>
      </c>
      <c r="C9" s="21" t="s">
        <v>229</v>
      </c>
      <c r="D9" s="112" t="s">
        <v>8</v>
      </c>
      <c r="E9" s="23"/>
      <c r="F9" s="23"/>
      <c r="G9" s="14" t="s">
        <v>61</v>
      </c>
      <c r="H9" s="14"/>
      <c r="I9" s="14"/>
      <c r="J9" s="14"/>
      <c r="K9" s="14"/>
      <c r="L9" s="14"/>
      <c r="M9" s="14"/>
      <c r="N9" s="14"/>
      <c r="O9" s="14"/>
      <c r="P9" s="15"/>
      <c r="Q9" s="15"/>
      <c r="R9" s="15"/>
      <c r="S9" s="15"/>
      <c r="T9" s="15"/>
      <c r="U9" s="15"/>
      <c r="V9" s="15"/>
      <c r="W9" s="15"/>
      <c r="X9" s="15"/>
      <c r="Y9" s="78"/>
      <c r="Z9" s="22"/>
      <c r="AA9" s="22"/>
      <c r="AB9" s="22"/>
      <c r="AC9" s="22"/>
      <c r="AD9" s="22"/>
      <c r="AE9" s="22"/>
      <c r="AF9" s="22"/>
      <c r="AG9" s="22"/>
      <c r="AH9" s="22"/>
      <c r="AI9" s="83"/>
      <c r="AJ9" s="23"/>
      <c r="AK9" s="23"/>
      <c r="AL9" s="23"/>
      <c r="AM9" s="23"/>
      <c r="AN9" s="23"/>
      <c r="AO9" s="23"/>
      <c r="AP9" s="23"/>
      <c r="AQ9" s="36">
        <f t="shared" si="1"/>
        <v>0</v>
      </c>
      <c r="AR9" s="36">
        <f t="shared" si="2"/>
        <v>0</v>
      </c>
      <c r="AS9" s="36">
        <f t="shared" si="3"/>
        <v>0</v>
      </c>
    </row>
    <row r="10" spans="1:45" ht="19.95" customHeight="1">
      <c r="A10" s="140" t="s">
        <v>213</v>
      </c>
      <c r="B10" s="21" t="s">
        <v>214</v>
      </c>
      <c r="C10" s="21" t="s">
        <v>229</v>
      </c>
      <c r="D10" s="112" t="s">
        <v>8</v>
      </c>
      <c r="E10" s="23"/>
      <c r="F10" s="23"/>
      <c r="G10" s="14" t="s">
        <v>61</v>
      </c>
      <c r="H10" s="14"/>
      <c r="I10" s="14"/>
      <c r="J10" s="14"/>
      <c r="K10" s="14"/>
      <c r="L10" s="14"/>
      <c r="M10" s="14"/>
      <c r="N10" s="14"/>
      <c r="O10" s="14"/>
      <c r="P10" s="15"/>
      <c r="Q10" s="15"/>
      <c r="R10" s="15"/>
      <c r="S10" s="15"/>
      <c r="T10" s="15"/>
      <c r="U10" s="15"/>
      <c r="V10" s="15"/>
      <c r="W10" s="15"/>
      <c r="X10" s="15"/>
      <c r="Y10" s="78"/>
      <c r="Z10" s="22"/>
      <c r="AA10" s="22"/>
      <c r="AB10" s="22"/>
      <c r="AC10" s="22"/>
      <c r="AD10" s="22"/>
      <c r="AE10" s="22"/>
      <c r="AF10" s="22"/>
      <c r="AG10" s="22"/>
      <c r="AH10" s="22"/>
      <c r="AI10" s="83"/>
      <c r="AJ10" s="23"/>
      <c r="AK10" s="23"/>
      <c r="AL10" s="23"/>
      <c r="AM10" s="23"/>
      <c r="AN10" s="23"/>
      <c r="AO10" s="23"/>
      <c r="AP10" s="23"/>
      <c r="AQ10" s="36">
        <f t="shared" si="1"/>
        <v>0</v>
      </c>
      <c r="AR10" s="36">
        <f t="shared" si="2"/>
        <v>0</v>
      </c>
      <c r="AS10" s="36">
        <f t="shared" si="3"/>
        <v>0</v>
      </c>
    </row>
    <row r="11" spans="1:45" ht="19.95" customHeight="1">
      <c r="A11" s="140" t="s">
        <v>215</v>
      </c>
      <c r="B11" s="21" t="s">
        <v>216</v>
      </c>
      <c r="C11" s="21" t="s">
        <v>229</v>
      </c>
      <c r="D11" s="112" t="s">
        <v>8</v>
      </c>
      <c r="E11" s="23"/>
      <c r="F11" s="23"/>
      <c r="G11" s="14" t="s">
        <v>61</v>
      </c>
      <c r="H11" s="14"/>
      <c r="I11" s="14"/>
      <c r="J11" s="14"/>
      <c r="K11" s="14"/>
      <c r="L11" s="14"/>
      <c r="M11" s="14"/>
      <c r="N11" s="14"/>
      <c r="O11" s="14"/>
      <c r="P11" s="15"/>
      <c r="Q11" s="15"/>
      <c r="R11" s="15"/>
      <c r="S11" s="15"/>
      <c r="T11" s="15"/>
      <c r="U11" s="15"/>
      <c r="V11" s="15"/>
      <c r="W11" s="15"/>
      <c r="X11" s="15"/>
      <c r="Y11" s="78"/>
      <c r="Z11" s="22"/>
      <c r="AA11" s="22"/>
      <c r="AB11" s="22"/>
      <c r="AC11" s="22"/>
      <c r="AD11" s="22"/>
      <c r="AE11" s="22"/>
      <c r="AF11" s="22"/>
      <c r="AG11" s="22"/>
      <c r="AH11" s="22"/>
      <c r="AI11" s="83"/>
      <c r="AJ11" s="23"/>
      <c r="AK11" s="23"/>
      <c r="AL11" s="23"/>
      <c r="AM11" s="23"/>
      <c r="AN11" s="23"/>
      <c r="AO11" s="23"/>
      <c r="AP11" s="23"/>
      <c r="AQ11" s="36">
        <f t="shared" si="1"/>
        <v>0</v>
      </c>
      <c r="AR11" s="36">
        <f t="shared" si="2"/>
        <v>0</v>
      </c>
      <c r="AS11" s="36">
        <f t="shared" si="3"/>
        <v>0</v>
      </c>
    </row>
    <row r="12" spans="1:45" ht="19.95" customHeight="1">
      <c r="A12" s="140" t="s">
        <v>205</v>
      </c>
      <c r="B12" s="21" t="s">
        <v>206</v>
      </c>
      <c r="C12" s="21" t="s">
        <v>187</v>
      </c>
      <c r="D12" s="112" t="s">
        <v>10</v>
      </c>
      <c r="E12" s="23" t="s">
        <v>231</v>
      </c>
      <c r="F12" s="23"/>
      <c r="G12" s="14" t="s">
        <v>92</v>
      </c>
      <c r="H12" s="14"/>
      <c r="I12" s="14"/>
      <c r="J12" s="14"/>
      <c r="K12" s="14"/>
      <c r="L12" s="14" t="s">
        <v>526</v>
      </c>
      <c r="M12" s="14"/>
      <c r="N12" s="14"/>
      <c r="O12" s="14">
        <v>-50</v>
      </c>
      <c r="P12" s="15" t="s">
        <v>205</v>
      </c>
      <c r="Q12" s="15" t="s">
        <v>206</v>
      </c>
      <c r="R12" s="15"/>
      <c r="S12" s="15"/>
      <c r="T12" s="15"/>
      <c r="U12" s="15"/>
      <c r="V12" s="15"/>
      <c r="W12" s="15"/>
      <c r="X12" s="15"/>
      <c r="Y12" s="78" t="s">
        <v>347</v>
      </c>
      <c r="Z12" s="22"/>
      <c r="AA12" s="22"/>
      <c r="AB12" s="22"/>
      <c r="AC12" s="22"/>
      <c r="AD12" s="22"/>
      <c r="AE12" s="22"/>
      <c r="AF12" s="22"/>
      <c r="AG12" s="22"/>
      <c r="AH12" s="22"/>
      <c r="AI12" s="83"/>
      <c r="AJ12" s="23" t="s">
        <v>352</v>
      </c>
      <c r="AK12" s="23"/>
      <c r="AL12" s="23" t="s">
        <v>351</v>
      </c>
      <c r="AM12" s="23" t="s">
        <v>350</v>
      </c>
      <c r="AN12" s="23" t="s">
        <v>353</v>
      </c>
      <c r="AO12" s="23" t="s">
        <v>178</v>
      </c>
      <c r="AP12" s="23"/>
      <c r="AQ12" s="36">
        <f t="shared" si="1"/>
        <v>0</v>
      </c>
      <c r="AR12" s="36">
        <f t="shared" si="2"/>
        <v>0</v>
      </c>
      <c r="AS12" s="36" t="str">
        <f t="shared" si="3"/>
        <v>10G1547</v>
      </c>
    </row>
    <row r="13" spans="1:45" ht="19.95" customHeight="1">
      <c r="A13" s="139" t="s">
        <v>203</v>
      </c>
      <c r="B13" s="130" t="s">
        <v>204</v>
      </c>
      <c r="C13" s="130" t="s">
        <v>187</v>
      </c>
      <c r="D13" s="112" t="s">
        <v>8</v>
      </c>
      <c r="E13" s="23" t="s">
        <v>421</v>
      </c>
      <c r="F13" s="23"/>
      <c r="G13" s="14" t="s">
        <v>61</v>
      </c>
      <c r="H13" s="14" t="s">
        <v>59</v>
      </c>
      <c r="I13" s="14">
        <v>400</v>
      </c>
      <c r="J13" s="14"/>
      <c r="K13" s="14" t="s">
        <v>60</v>
      </c>
      <c r="L13" s="14" t="s">
        <v>455</v>
      </c>
      <c r="M13" s="14">
        <v>4.63</v>
      </c>
      <c r="N13" s="14">
        <v>20</v>
      </c>
      <c r="O13" s="14">
        <v>-31.28</v>
      </c>
      <c r="P13" s="15" t="s">
        <v>203</v>
      </c>
      <c r="Q13" s="15" t="s">
        <v>204</v>
      </c>
      <c r="R13" s="15">
        <v>9.5931999999999995</v>
      </c>
      <c r="S13" s="15">
        <v>80.324089999999998</v>
      </c>
      <c r="T13" s="15">
        <v>0</v>
      </c>
      <c r="U13" s="15">
        <v>18030</v>
      </c>
      <c r="V13" s="15">
        <v>0.6</v>
      </c>
      <c r="W13" s="15">
        <v>103</v>
      </c>
      <c r="X13" s="15">
        <v>27</v>
      </c>
      <c r="Y13" s="78" t="s">
        <v>456</v>
      </c>
      <c r="Z13" s="22" t="s">
        <v>523</v>
      </c>
      <c r="AA13" s="22" t="s">
        <v>524</v>
      </c>
      <c r="AB13" s="22">
        <v>9.5839160000000003</v>
      </c>
      <c r="AC13" s="22">
        <v>80.365220199999996</v>
      </c>
      <c r="AD13" s="22">
        <v>0</v>
      </c>
      <c r="AE13" s="22">
        <v>19040</v>
      </c>
      <c r="AF13" s="22">
        <v>1.2</v>
      </c>
      <c r="AG13" s="22">
        <v>283</v>
      </c>
      <c r="AH13" s="22">
        <v>30</v>
      </c>
      <c r="AI13" s="83" t="s">
        <v>525</v>
      </c>
      <c r="AJ13" s="23" t="s">
        <v>520</v>
      </c>
      <c r="AK13" s="23" t="s">
        <v>518</v>
      </c>
      <c r="AL13" s="23" t="s">
        <v>519</v>
      </c>
      <c r="AM13" s="23" t="s">
        <v>517</v>
      </c>
      <c r="AN13" s="23" t="s">
        <v>521</v>
      </c>
      <c r="AO13" s="23" t="s">
        <v>522</v>
      </c>
      <c r="AP13" s="23"/>
      <c r="AQ13" s="36" t="str">
        <f t="shared" si="1"/>
        <v>KI0095</v>
      </c>
      <c r="AR13" s="36" t="str">
        <f t="shared" si="2"/>
        <v>Palai_South</v>
      </c>
      <c r="AS13" s="36" t="str">
        <f t="shared" si="3"/>
        <v>18G3923</v>
      </c>
    </row>
    <row r="14" spans="1:45" ht="19.95" customHeight="1">
      <c r="A14" s="158" t="s">
        <v>183</v>
      </c>
      <c r="B14" s="130" t="s">
        <v>191</v>
      </c>
      <c r="C14" s="130" t="s">
        <v>192</v>
      </c>
      <c r="D14" s="40" t="s">
        <v>7</v>
      </c>
      <c r="E14" s="23" t="s">
        <v>7</v>
      </c>
      <c r="F14" s="21"/>
      <c r="G14" s="14" t="s">
        <v>7</v>
      </c>
      <c r="H14" s="14"/>
      <c r="I14" s="14"/>
      <c r="J14" s="14"/>
      <c r="K14" s="14"/>
      <c r="L14" s="14"/>
      <c r="M14" s="14"/>
      <c r="N14" s="14"/>
      <c r="O14" s="14"/>
      <c r="P14" s="87"/>
      <c r="Q14" s="87"/>
      <c r="R14" s="13"/>
      <c r="S14" s="13"/>
      <c r="T14" s="15"/>
      <c r="U14" s="15"/>
      <c r="V14" s="15"/>
      <c r="W14" s="15"/>
      <c r="X14" s="15"/>
      <c r="Y14" s="78"/>
      <c r="Z14" s="22"/>
      <c r="AA14" s="22"/>
      <c r="AB14" s="22"/>
      <c r="AC14" s="22"/>
      <c r="AD14" s="22"/>
      <c r="AE14" s="22"/>
      <c r="AF14" s="22"/>
      <c r="AG14" s="22"/>
      <c r="AH14" s="22"/>
      <c r="AI14" s="83"/>
      <c r="AJ14" s="23"/>
      <c r="AK14" s="23"/>
      <c r="AL14" s="23"/>
      <c r="AM14" s="23"/>
      <c r="AN14" s="23"/>
      <c r="AO14" s="23"/>
      <c r="AP14" s="23"/>
      <c r="AQ14" s="36">
        <f t="shared" si="1"/>
        <v>0</v>
      </c>
      <c r="AR14" s="36">
        <f t="shared" si="2"/>
        <v>0</v>
      </c>
      <c r="AS14" s="36">
        <f t="shared" si="3"/>
        <v>0</v>
      </c>
    </row>
    <row r="15" spans="1:45" ht="19.95" customHeight="1">
      <c r="A15" s="158" t="s">
        <v>184</v>
      </c>
      <c r="B15" s="130" t="s">
        <v>193</v>
      </c>
      <c r="C15" s="130" t="s">
        <v>192</v>
      </c>
      <c r="D15" s="40" t="s">
        <v>7</v>
      </c>
      <c r="E15" s="23" t="s">
        <v>7</v>
      </c>
      <c r="F15" s="21"/>
      <c r="G15" s="14" t="s">
        <v>7</v>
      </c>
      <c r="H15" s="14"/>
      <c r="I15" s="14"/>
      <c r="J15" s="14"/>
      <c r="K15" s="14"/>
      <c r="L15" s="14"/>
      <c r="M15" s="14"/>
      <c r="N15" s="14"/>
      <c r="O15" s="14"/>
      <c r="P15" s="87"/>
      <c r="Q15" s="87"/>
      <c r="R15" s="13"/>
      <c r="S15" s="13"/>
      <c r="T15" s="15"/>
      <c r="U15" s="15"/>
      <c r="V15" s="15"/>
      <c r="W15" s="15"/>
      <c r="X15" s="15"/>
      <c r="Y15" s="78"/>
      <c r="Z15" s="22"/>
      <c r="AA15" s="22"/>
      <c r="AB15" s="22"/>
      <c r="AC15" s="22"/>
      <c r="AD15" s="22"/>
      <c r="AE15" s="22"/>
      <c r="AF15" s="22"/>
      <c r="AG15" s="22"/>
      <c r="AH15" s="22"/>
      <c r="AI15" s="83"/>
      <c r="AJ15" s="23"/>
      <c r="AK15" s="23"/>
      <c r="AL15" s="23"/>
      <c r="AM15" s="23"/>
      <c r="AN15" s="23"/>
      <c r="AO15" s="23"/>
      <c r="AP15" s="23"/>
      <c r="AQ15" s="36">
        <f t="shared" si="1"/>
        <v>0</v>
      </c>
      <c r="AR15" s="36">
        <f t="shared" si="2"/>
        <v>0</v>
      </c>
      <c r="AS15" s="36">
        <f t="shared" si="3"/>
        <v>0</v>
      </c>
    </row>
    <row r="16" spans="1:45" ht="19.95" customHeight="1">
      <c r="A16" s="158" t="s">
        <v>181</v>
      </c>
      <c r="B16" s="130" t="s">
        <v>189</v>
      </c>
      <c r="C16" s="130" t="s">
        <v>187</v>
      </c>
      <c r="D16" s="40" t="s">
        <v>7</v>
      </c>
      <c r="E16" s="23" t="s">
        <v>7</v>
      </c>
      <c r="F16" s="21"/>
      <c r="G16" s="14" t="s">
        <v>7</v>
      </c>
      <c r="H16" s="14"/>
      <c r="I16" s="14"/>
      <c r="J16" s="14"/>
      <c r="K16" s="14"/>
      <c r="L16" s="14"/>
      <c r="M16" s="14"/>
      <c r="N16" s="14"/>
      <c r="O16" s="14"/>
      <c r="P16" s="87"/>
      <c r="Q16" s="87"/>
      <c r="R16" s="13"/>
      <c r="S16" s="13"/>
      <c r="T16" s="15"/>
      <c r="U16" s="15"/>
      <c r="V16" s="15"/>
      <c r="W16" s="15"/>
      <c r="X16" s="15"/>
      <c r="Y16" s="78"/>
      <c r="Z16" s="22"/>
      <c r="AA16" s="22"/>
      <c r="AB16" s="22"/>
      <c r="AC16" s="22"/>
      <c r="AD16" s="22"/>
      <c r="AE16" s="22"/>
      <c r="AF16" s="22"/>
      <c r="AG16" s="22"/>
      <c r="AH16" s="22"/>
      <c r="AI16" s="83"/>
      <c r="AJ16" s="23"/>
      <c r="AK16" s="23"/>
      <c r="AL16" s="23"/>
      <c r="AM16" s="23"/>
      <c r="AN16" s="23"/>
      <c r="AO16" s="23"/>
      <c r="AP16" s="23"/>
      <c r="AQ16" s="36">
        <f t="shared" si="1"/>
        <v>0</v>
      </c>
      <c r="AR16" s="36">
        <f t="shared" si="2"/>
        <v>0</v>
      </c>
      <c r="AS16" s="36">
        <f t="shared" si="3"/>
        <v>0</v>
      </c>
    </row>
    <row r="17" spans="1:45" ht="19.95" customHeight="1">
      <c r="A17" s="176" t="s">
        <v>179</v>
      </c>
      <c r="B17" s="131" t="s">
        <v>186</v>
      </c>
      <c r="C17" s="131" t="s">
        <v>187</v>
      </c>
      <c r="D17" s="40" t="s">
        <v>8</v>
      </c>
      <c r="E17" s="23" t="s">
        <v>77</v>
      </c>
      <c r="F17" s="23"/>
      <c r="G17" s="14" t="s">
        <v>61</v>
      </c>
      <c r="H17" s="14"/>
      <c r="I17" s="14"/>
      <c r="J17" s="14"/>
      <c r="K17" s="14"/>
      <c r="L17" s="14"/>
      <c r="M17" s="14"/>
      <c r="N17" s="14"/>
      <c r="O17" s="14"/>
      <c r="P17" s="15"/>
      <c r="Q17" s="15"/>
      <c r="R17" s="15"/>
      <c r="S17" s="15"/>
      <c r="T17" s="15"/>
      <c r="U17" s="15"/>
      <c r="V17" s="15"/>
      <c r="W17" s="15"/>
      <c r="X17" s="15"/>
      <c r="Y17" s="78"/>
      <c r="Z17" s="22"/>
      <c r="AA17" s="22"/>
      <c r="AB17" s="22"/>
      <c r="AC17" s="22"/>
      <c r="AD17" s="22"/>
      <c r="AE17" s="22"/>
      <c r="AF17" s="22"/>
      <c r="AG17" s="22"/>
      <c r="AH17" s="22"/>
      <c r="AI17" s="83"/>
      <c r="AJ17" s="23"/>
      <c r="AK17" s="23"/>
      <c r="AL17" s="23"/>
      <c r="AM17" s="23"/>
      <c r="AN17" s="23"/>
      <c r="AO17" s="23"/>
      <c r="AP17" s="23"/>
      <c r="AQ17" s="36">
        <f t="shared" si="1"/>
        <v>0</v>
      </c>
      <c r="AR17" s="36">
        <f t="shared" si="2"/>
        <v>0</v>
      </c>
      <c r="AS17" s="36">
        <f t="shared" si="3"/>
        <v>0</v>
      </c>
    </row>
    <row r="18" spans="1:45" ht="19.95" customHeight="1">
      <c r="A18" s="130" t="s">
        <v>207</v>
      </c>
      <c r="B18" s="130" t="s">
        <v>208</v>
      </c>
      <c r="C18" s="130" t="s">
        <v>229</v>
      </c>
      <c r="D18" s="112" t="s">
        <v>7</v>
      </c>
      <c r="E18" s="23" t="s">
        <v>7</v>
      </c>
      <c r="F18" s="23"/>
      <c r="G18" s="14" t="s">
        <v>7</v>
      </c>
      <c r="H18" s="14"/>
      <c r="I18" s="14"/>
      <c r="J18" s="14"/>
      <c r="K18" s="14"/>
      <c r="L18" s="14"/>
      <c r="M18" s="14"/>
      <c r="N18" s="14"/>
      <c r="O18" s="14"/>
      <c r="P18" s="15"/>
      <c r="Q18" s="15"/>
      <c r="R18" s="15"/>
      <c r="S18" s="15"/>
      <c r="T18" s="15"/>
      <c r="U18" s="15"/>
      <c r="V18" s="15"/>
      <c r="W18" s="15"/>
      <c r="X18" s="15"/>
      <c r="Y18" s="78"/>
      <c r="Z18" s="22"/>
      <c r="AA18" s="22"/>
      <c r="AB18" s="22"/>
      <c r="AC18" s="22"/>
      <c r="AD18" s="22"/>
      <c r="AE18" s="22"/>
      <c r="AF18" s="22"/>
      <c r="AG18" s="22"/>
      <c r="AH18" s="22"/>
      <c r="AI18" s="83"/>
      <c r="AJ18" s="23"/>
      <c r="AK18" s="23"/>
      <c r="AL18" s="23"/>
      <c r="AM18" s="23"/>
      <c r="AN18" s="23"/>
      <c r="AO18" s="23"/>
      <c r="AP18" s="23"/>
      <c r="AQ18" s="36">
        <f t="shared" si="1"/>
        <v>0</v>
      </c>
      <c r="AR18" s="36">
        <f t="shared" si="2"/>
        <v>0</v>
      </c>
      <c r="AS18" s="36">
        <f t="shared" si="3"/>
        <v>0</v>
      </c>
    </row>
    <row r="19" spans="1:45" ht="19.95" customHeight="1">
      <c r="A19" s="130" t="s">
        <v>217</v>
      </c>
      <c r="B19" s="130" t="s">
        <v>218</v>
      </c>
      <c r="C19" s="130" t="s">
        <v>229</v>
      </c>
      <c r="D19" s="112" t="s">
        <v>7</v>
      </c>
      <c r="E19" s="23" t="s">
        <v>7</v>
      </c>
      <c r="F19" s="23"/>
      <c r="G19" s="14" t="s">
        <v>7</v>
      </c>
      <c r="H19" s="14"/>
      <c r="I19" s="14"/>
      <c r="J19" s="14"/>
      <c r="K19" s="14"/>
      <c r="L19" s="14"/>
      <c r="M19" s="14"/>
      <c r="N19" s="14"/>
      <c r="O19" s="14"/>
      <c r="P19" s="15"/>
      <c r="Q19" s="15"/>
      <c r="R19" s="15"/>
      <c r="S19" s="15"/>
      <c r="T19" s="15"/>
      <c r="U19" s="15"/>
      <c r="V19" s="15"/>
      <c r="W19" s="15"/>
      <c r="X19" s="15"/>
      <c r="Y19" s="78"/>
      <c r="Z19" s="22"/>
      <c r="AA19" s="22"/>
      <c r="AB19" s="22"/>
      <c r="AC19" s="22"/>
      <c r="AD19" s="22"/>
      <c r="AE19" s="22"/>
      <c r="AF19" s="22"/>
      <c r="AG19" s="22"/>
      <c r="AH19" s="22"/>
      <c r="AI19" s="83"/>
      <c r="AJ19" s="23"/>
      <c r="AK19" s="23"/>
      <c r="AL19" s="23"/>
      <c r="AM19" s="23"/>
      <c r="AN19" s="23"/>
      <c r="AO19" s="23"/>
      <c r="AP19" s="23"/>
      <c r="AQ19" s="36">
        <f t="shared" si="1"/>
        <v>0</v>
      </c>
      <c r="AR19" s="36">
        <f t="shared" si="2"/>
        <v>0</v>
      </c>
      <c r="AS19" s="36">
        <f t="shared" si="3"/>
        <v>0</v>
      </c>
    </row>
    <row r="20" spans="1:45" ht="19.95" customHeight="1">
      <c r="A20" s="132" t="s">
        <v>219</v>
      </c>
      <c r="B20" s="132" t="s">
        <v>220</v>
      </c>
      <c r="C20" s="133" t="s">
        <v>229</v>
      </c>
      <c r="D20" s="112" t="s">
        <v>7</v>
      </c>
      <c r="E20" s="23" t="s">
        <v>7</v>
      </c>
      <c r="F20" s="23"/>
      <c r="G20" s="14" t="s">
        <v>7</v>
      </c>
      <c r="H20" s="14"/>
      <c r="I20" s="14"/>
      <c r="J20" s="14"/>
      <c r="K20" s="14"/>
      <c r="L20" s="14"/>
      <c r="M20" s="14"/>
      <c r="N20" s="14"/>
      <c r="O20" s="14"/>
      <c r="P20" s="15"/>
      <c r="Q20" s="15"/>
      <c r="R20" s="15"/>
      <c r="S20" s="15"/>
      <c r="T20" s="15"/>
      <c r="U20" s="15"/>
      <c r="V20" s="15"/>
      <c r="W20" s="15"/>
      <c r="X20" s="15"/>
      <c r="Y20" s="78"/>
      <c r="Z20" s="22"/>
      <c r="AA20" s="22"/>
      <c r="AB20" s="22"/>
      <c r="AC20" s="22"/>
      <c r="AD20" s="22"/>
      <c r="AE20" s="22"/>
      <c r="AF20" s="22"/>
      <c r="AG20" s="22"/>
      <c r="AH20" s="22"/>
      <c r="AI20" s="83"/>
      <c r="AJ20" s="23"/>
      <c r="AK20" s="23"/>
      <c r="AL20" s="23"/>
      <c r="AM20" s="23"/>
      <c r="AN20" s="23"/>
      <c r="AO20" s="23"/>
      <c r="AP20" s="23"/>
      <c r="AQ20" s="36">
        <f t="shared" si="1"/>
        <v>0</v>
      </c>
      <c r="AR20" s="36">
        <f t="shared" si="2"/>
        <v>0</v>
      </c>
      <c r="AS20" s="36">
        <f t="shared" si="3"/>
        <v>0</v>
      </c>
    </row>
    <row r="21" spans="1:45" ht="19.95" customHeight="1">
      <c r="A21" s="132" t="s">
        <v>221</v>
      </c>
      <c r="B21" s="132" t="s">
        <v>222</v>
      </c>
      <c r="C21" s="133" t="s">
        <v>229</v>
      </c>
      <c r="D21" s="112" t="s">
        <v>7</v>
      </c>
      <c r="E21" s="23" t="s">
        <v>7</v>
      </c>
      <c r="F21" s="23"/>
      <c r="G21" s="14" t="s">
        <v>7</v>
      </c>
      <c r="H21" s="14"/>
      <c r="I21" s="14"/>
      <c r="J21" s="14"/>
      <c r="K21" s="14"/>
      <c r="L21" s="14"/>
      <c r="M21" s="14"/>
      <c r="N21" s="14"/>
      <c r="O21" s="14"/>
      <c r="P21" s="15"/>
      <c r="Q21" s="15"/>
      <c r="R21" s="15"/>
      <c r="S21" s="15"/>
      <c r="T21" s="15"/>
      <c r="U21" s="15"/>
      <c r="V21" s="15"/>
      <c r="W21" s="15"/>
      <c r="X21" s="15"/>
      <c r="Y21" s="78"/>
      <c r="Z21" s="22"/>
      <c r="AA21" s="22"/>
      <c r="AB21" s="22"/>
      <c r="AC21" s="22"/>
      <c r="AD21" s="22"/>
      <c r="AE21" s="22"/>
      <c r="AF21" s="22"/>
      <c r="AG21" s="22"/>
      <c r="AH21" s="22"/>
      <c r="AI21" s="83"/>
      <c r="AJ21" s="23"/>
      <c r="AK21" s="23"/>
      <c r="AL21" s="23"/>
      <c r="AM21" s="23"/>
      <c r="AN21" s="23"/>
      <c r="AO21" s="23"/>
      <c r="AP21" s="23"/>
      <c r="AQ21" s="36">
        <f t="shared" si="1"/>
        <v>0</v>
      </c>
      <c r="AR21" s="36">
        <f t="shared" si="2"/>
        <v>0</v>
      </c>
      <c r="AS21" s="36">
        <f t="shared" si="3"/>
        <v>0</v>
      </c>
    </row>
    <row r="22" spans="1:45" ht="19.95" customHeight="1">
      <c r="A22" s="9" t="s">
        <v>223</v>
      </c>
      <c r="B22" s="9" t="s">
        <v>224</v>
      </c>
      <c r="C22" s="85" t="s">
        <v>229</v>
      </c>
      <c r="D22" s="112" t="s">
        <v>8</v>
      </c>
      <c r="E22" s="23"/>
      <c r="F22" s="23"/>
      <c r="G22" s="14" t="s">
        <v>61</v>
      </c>
      <c r="H22" s="14"/>
      <c r="I22" s="14"/>
      <c r="J22" s="14"/>
      <c r="K22" s="14"/>
      <c r="L22" s="14"/>
      <c r="M22" s="14"/>
      <c r="N22" s="14"/>
      <c r="O22" s="14"/>
      <c r="P22" s="15"/>
      <c r="Q22" s="15"/>
      <c r="R22" s="15"/>
      <c r="S22" s="15"/>
      <c r="T22" s="15"/>
      <c r="U22" s="15"/>
      <c r="V22" s="15"/>
      <c r="W22" s="15"/>
      <c r="X22" s="15"/>
      <c r="Y22" s="78"/>
      <c r="Z22" s="22"/>
      <c r="AA22" s="22"/>
      <c r="AB22" s="22"/>
      <c r="AC22" s="22"/>
      <c r="AD22" s="22"/>
      <c r="AE22" s="22"/>
      <c r="AF22" s="22"/>
      <c r="AG22" s="22"/>
      <c r="AH22" s="22"/>
      <c r="AI22" s="83"/>
      <c r="AJ22" s="23"/>
      <c r="AK22" s="23"/>
      <c r="AL22" s="23"/>
      <c r="AM22" s="23"/>
      <c r="AN22" s="23"/>
      <c r="AO22" s="23"/>
      <c r="AP22" s="23"/>
      <c r="AQ22" s="36">
        <f t="shared" si="1"/>
        <v>0</v>
      </c>
      <c r="AR22" s="36">
        <f t="shared" si="2"/>
        <v>0</v>
      </c>
      <c r="AS22" s="36">
        <f t="shared" si="3"/>
        <v>0</v>
      </c>
    </row>
    <row r="23" spans="1:45" ht="19.95" customHeight="1">
      <c r="A23" s="9" t="s">
        <v>225</v>
      </c>
      <c r="B23" s="9" t="s">
        <v>226</v>
      </c>
      <c r="C23" s="85" t="s">
        <v>229</v>
      </c>
      <c r="D23" s="112" t="s">
        <v>8</v>
      </c>
      <c r="E23" s="23"/>
      <c r="F23" s="23"/>
      <c r="G23" s="14" t="s">
        <v>61</v>
      </c>
      <c r="H23" s="14"/>
      <c r="I23" s="14"/>
      <c r="J23" s="14"/>
      <c r="K23" s="14"/>
      <c r="L23" s="14"/>
      <c r="M23" s="14"/>
      <c r="N23" s="14"/>
      <c r="O23" s="14"/>
      <c r="P23" s="15"/>
      <c r="Q23" s="15"/>
      <c r="R23" s="15"/>
      <c r="S23" s="15"/>
      <c r="T23" s="15"/>
      <c r="U23" s="15"/>
      <c r="V23" s="15"/>
      <c r="W23" s="15"/>
      <c r="X23" s="15"/>
      <c r="Y23" s="78"/>
      <c r="Z23" s="22"/>
      <c r="AA23" s="22"/>
      <c r="AB23" s="22"/>
      <c r="AC23" s="22"/>
      <c r="AD23" s="22"/>
      <c r="AE23" s="22"/>
      <c r="AF23" s="22"/>
      <c r="AG23" s="22"/>
      <c r="AH23" s="22"/>
      <c r="AI23" s="83"/>
      <c r="AJ23" s="23"/>
      <c r="AK23" s="23"/>
      <c r="AL23" s="23"/>
      <c r="AM23" s="23"/>
      <c r="AN23" s="23"/>
      <c r="AO23" s="23"/>
      <c r="AP23" s="23"/>
      <c r="AQ23" s="36">
        <f t="shared" si="1"/>
        <v>0</v>
      </c>
      <c r="AR23" s="36">
        <f t="shared" si="2"/>
        <v>0</v>
      </c>
      <c r="AS23" s="36">
        <f t="shared" si="3"/>
        <v>0</v>
      </c>
    </row>
    <row r="24" spans="1:45" ht="19.95" customHeight="1">
      <c r="A24" s="9" t="s">
        <v>227</v>
      </c>
      <c r="B24" s="9" t="s">
        <v>228</v>
      </c>
      <c r="C24" s="85" t="s">
        <v>229</v>
      </c>
      <c r="D24" s="112" t="s">
        <v>8</v>
      </c>
      <c r="E24" s="23"/>
      <c r="F24" s="23"/>
      <c r="G24" s="14" t="s">
        <v>61</v>
      </c>
      <c r="H24" s="14"/>
      <c r="I24" s="14"/>
      <c r="J24" s="14"/>
      <c r="K24" s="14"/>
      <c r="L24" s="14"/>
      <c r="M24" s="14"/>
      <c r="N24" s="14"/>
      <c r="O24" s="14"/>
      <c r="P24" s="15"/>
      <c r="Q24" s="15"/>
      <c r="R24" s="15"/>
      <c r="S24" s="15"/>
      <c r="T24" s="15"/>
      <c r="U24" s="15"/>
      <c r="V24" s="15"/>
      <c r="W24" s="15"/>
      <c r="X24" s="15"/>
      <c r="Y24" s="78"/>
      <c r="Z24" s="22"/>
      <c r="AA24" s="22"/>
      <c r="AB24" s="22"/>
      <c r="AC24" s="22"/>
      <c r="AD24" s="22"/>
      <c r="AE24" s="22"/>
      <c r="AF24" s="22"/>
      <c r="AG24" s="22"/>
      <c r="AH24" s="22"/>
      <c r="AI24" s="83"/>
      <c r="AJ24" s="23"/>
      <c r="AK24" s="23"/>
      <c r="AL24" s="23"/>
      <c r="AM24" s="23"/>
      <c r="AN24" s="23"/>
      <c r="AO24" s="23"/>
      <c r="AP24" s="23"/>
      <c r="AQ24" s="36">
        <f t="shared" si="1"/>
        <v>0</v>
      </c>
      <c r="AR24" s="36">
        <f t="shared" si="2"/>
        <v>0</v>
      </c>
      <c r="AS24" s="36">
        <f t="shared" si="3"/>
        <v>0</v>
      </c>
    </row>
    <row r="25" spans="1:45" ht="19.95" customHeight="1">
      <c r="A25" s="21" t="s">
        <v>209</v>
      </c>
      <c r="B25" s="21" t="s">
        <v>210</v>
      </c>
      <c r="C25" s="21" t="s">
        <v>229</v>
      </c>
      <c r="D25" s="112" t="s">
        <v>7</v>
      </c>
      <c r="E25" s="23" t="s">
        <v>7</v>
      </c>
      <c r="F25" s="23"/>
      <c r="G25" s="14" t="s">
        <v>7</v>
      </c>
      <c r="H25" s="14"/>
      <c r="I25" s="14"/>
      <c r="J25" s="14"/>
      <c r="K25" s="14"/>
      <c r="L25" s="14"/>
      <c r="M25" s="14"/>
      <c r="N25" s="14"/>
      <c r="O25" s="14"/>
      <c r="P25" s="15"/>
      <c r="Q25" s="15"/>
      <c r="R25" s="15"/>
      <c r="S25" s="15"/>
      <c r="T25" s="15"/>
      <c r="U25" s="15"/>
      <c r="V25" s="15"/>
      <c r="W25" s="15"/>
      <c r="X25" s="15"/>
      <c r="Y25" s="78"/>
      <c r="Z25" s="22"/>
      <c r="AA25" s="22"/>
      <c r="AB25" s="22"/>
      <c r="AC25" s="22"/>
      <c r="AD25" s="22"/>
      <c r="AE25" s="22"/>
      <c r="AF25" s="22"/>
      <c r="AG25" s="22"/>
      <c r="AH25" s="22"/>
      <c r="AI25" s="83"/>
      <c r="AJ25" s="23"/>
      <c r="AK25" s="23"/>
      <c r="AL25" s="23"/>
      <c r="AM25" s="23"/>
      <c r="AN25" s="23"/>
      <c r="AO25" s="23"/>
      <c r="AP25" s="23"/>
      <c r="AQ25" s="36">
        <f t="shared" si="1"/>
        <v>0</v>
      </c>
      <c r="AR25" s="36">
        <f t="shared" si="2"/>
        <v>0</v>
      </c>
      <c r="AS25" s="36">
        <f t="shared" si="3"/>
        <v>0</v>
      </c>
    </row>
    <row r="26" spans="1:45" ht="19.95" customHeight="1">
      <c r="A26" s="21" t="s">
        <v>201</v>
      </c>
      <c r="B26" s="21" t="s">
        <v>202</v>
      </c>
      <c r="C26" s="21" t="s">
        <v>187</v>
      </c>
      <c r="D26" s="112" t="s">
        <v>8</v>
      </c>
      <c r="E26" s="23"/>
      <c r="F26" s="23"/>
      <c r="G26" s="14" t="s">
        <v>61</v>
      </c>
      <c r="H26" s="14"/>
      <c r="I26" s="14"/>
      <c r="J26" s="14"/>
      <c r="K26" s="14"/>
      <c r="L26" s="14"/>
      <c r="M26" s="14"/>
      <c r="N26" s="14"/>
      <c r="O26" s="14"/>
      <c r="P26" s="15"/>
      <c r="Q26" s="15"/>
      <c r="R26" s="15"/>
      <c r="S26" s="15"/>
      <c r="T26" s="15"/>
      <c r="U26" s="15"/>
      <c r="V26" s="15"/>
      <c r="W26" s="15"/>
      <c r="X26" s="15"/>
      <c r="Y26" s="78"/>
      <c r="Z26" s="22"/>
      <c r="AA26" s="22"/>
      <c r="AB26" s="22"/>
      <c r="AC26" s="22"/>
      <c r="AD26" s="22"/>
      <c r="AE26" s="22"/>
      <c r="AF26" s="22"/>
      <c r="AG26" s="22"/>
      <c r="AH26" s="22"/>
      <c r="AI26" s="83"/>
      <c r="AJ26" s="23"/>
      <c r="AK26" s="23"/>
      <c r="AL26" s="23"/>
      <c r="AM26" s="23"/>
      <c r="AN26" s="23"/>
      <c r="AO26" s="23"/>
      <c r="AP26" s="23"/>
      <c r="AQ26" s="36">
        <f t="shared" si="1"/>
        <v>0</v>
      </c>
      <c r="AR26" s="36">
        <f t="shared" si="2"/>
        <v>0</v>
      </c>
      <c r="AS26" s="36">
        <f t="shared" si="3"/>
        <v>0</v>
      </c>
    </row>
    <row r="27" spans="1:45" ht="19.95" customHeight="1">
      <c r="A27" s="37" t="s">
        <v>294</v>
      </c>
      <c r="B27" s="37" t="s">
        <v>295</v>
      </c>
      <c r="C27" s="23" t="s">
        <v>320</v>
      </c>
      <c r="D27" s="40" t="s">
        <v>7</v>
      </c>
      <c r="E27" s="23" t="s">
        <v>7</v>
      </c>
      <c r="F27" s="23"/>
      <c r="G27" s="14" t="s">
        <v>7</v>
      </c>
      <c r="H27" s="14"/>
      <c r="I27" s="14"/>
      <c r="J27" s="14"/>
      <c r="K27" s="14"/>
      <c r="L27" s="14"/>
      <c r="M27" s="14"/>
      <c r="N27" s="14"/>
      <c r="O27" s="14"/>
      <c r="P27" s="15"/>
      <c r="Q27" s="15"/>
      <c r="R27" s="15"/>
      <c r="S27" s="15"/>
      <c r="T27" s="15"/>
      <c r="U27" s="15"/>
      <c r="V27" s="15"/>
      <c r="W27" s="15"/>
      <c r="X27" s="15"/>
      <c r="Y27" s="78"/>
      <c r="Z27" s="22"/>
      <c r="AA27" s="22"/>
      <c r="AB27" s="22"/>
      <c r="AC27" s="22"/>
      <c r="AD27" s="22"/>
      <c r="AE27" s="22"/>
      <c r="AF27" s="22"/>
      <c r="AG27" s="22"/>
      <c r="AH27" s="22"/>
      <c r="AI27" s="83"/>
      <c r="AJ27" s="23"/>
      <c r="AK27" s="23"/>
      <c r="AL27" s="23"/>
      <c r="AM27" s="23"/>
      <c r="AN27" s="23"/>
      <c r="AO27" s="23"/>
      <c r="AP27" s="23"/>
      <c r="AQ27" s="36">
        <f t="shared" si="1"/>
        <v>0</v>
      </c>
      <c r="AR27" s="36">
        <f t="shared" si="2"/>
        <v>0</v>
      </c>
      <c r="AS27" s="36">
        <f t="shared" si="3"/>
        <v>0</v>
      </c>
    </row>
    <row r="28" spans="1:45" ht="19.95" customHeight="1">
      <c r="A28" s="142" t="s">
        <v>305</v>
      </c>
      <c r="B28" s="143" t="s">
        <v>306</v>
      </c>
      <c r="C28" s="23" t="s">
        <v>187</v>
      </c>
      <c r="D28" s="40" t="s">
        <v>8</v>
      </c>
      <c r="E28" s="23"/>
      <c r="F28" s="23"/>
      <c r="G28" s="14" t="s">
        <v>61</v>
      </c>
      <c r="H28" s="14"/>
      <c r="I28" s="14"/>
      <c r="J28" s="14"/>
      <c r="K28" s="14"/>
      <c r="L28" s="14"/>
      <c r="M28" s="14"/>
      <c r="N28" s="14"/>
      <c r="O28" s="14"/>
      <c r="P28" s="15"/>
      <c r="Q28" s="15"/>
      <c r="R28" s="15"/>
      <c r="S28" s="15"/>
      <c r="T28" s="15"/>
      <c r="U28" s="15"/>
      <c r="V28" s="15"/>
      <c r="W28" s="15"/>
      <c r="X28" s="15"/>
      <c r="Y28" s="78"/>
      <c r="Z28" s="22"/>
      <c r="AA28" s="22"/>
      <c r="AB28" s="22"/>
      <c r="AC28" s="22"/>
      <c r="AD28" s="22"/>
      <c r="AE28" s="22"/>
      <c r="AF28" s="22"/>
      <c r="AG28" s="22"/>
      <c r="AH28" s="22"/>
      <c r="AI28" s="83"/>
      <c r="AJ28" s="23"/>
      <c r="AK28" s="23"/>
      <c r="AL28" s="23"/>
      <c r="AM28" s="23"/>
      <c r="AN28" s="23"/>
      <c r="AO28" s="23"/>
      <c r="AP28" s="23"/>
      <c r="AQ28" s="36">
        <f t="shared" si="1"/>
        <v>0</v>
      </c>
      <c r="AR28" s="36">
        <f t="shared" si="2"/>
        <v>0</v>
      </c>
      <c r="AS28" s="36">
        <f t="shared" si="3"/>
        <v>0</v>
      </c>
    </row>
    <row r="29" spans="1:45" ht="19.95" customHeight="1">
      <c r="A29" s="142" t="s">
        <v>307</v>
      </c>
      <c r="B29" s="143" t="s">
        <v>308</v>
      </c>
      <c r="C29" s="23" t="s">
        <v>187</v>
      </c>
      <c r="D29" s="40" t="s">
        <v>7</v>
      </c>
      <c r="E29" s="23" t="s">
        <v>7</v>
      </c>
      <c r="F29" s="23"/>
      <c r="G29" s="14" t="s">
        <v>7</v>
      </c>
      <c r="H29" s="14"/>
      <c r="I29" s="14"/>
      <c r="J29" s="14"/>
      <c r="K29" s="14"/>
      <c r="L29" s="14"/>
      <c r="M29" s="14"/>
      <c r="N29" s="14"/>
      <c r="O29" s="14"/>
      <c r="P29" s="15"/>
      <c r="Q29" s="15"/>
      <c r="R29" s="15"/>
      <c r="S29" s="15"/>
      <c r="T29" s="15"/>
      <c r="U29" s="15"/>
      <c r="V29" s="15"/>
      <c r="W29" s="15"/>
      <c r="X29" s="15"/>
      <c r="Y29" s="78"/>
      <c r="Z29" s="22"/>
      <c r="AA29" s="22"/>
      <c r="AB29" s="22"/>
      <c r="AC29" s="22"/>
      <c r="AD29" s="22"/>
      <c r="AE29" s="22"/>
      <c r="AF29" s="22"/>
      <c r="AG29" s="22"/>
      <c r="AH29" s="22"/>
      <c r="AI29" s="83"/>
      <c r="AJ29" s="23"/>
      <c r="AK29" s="23"/>
      <c r="AL29" s="23"/>
      <c r="AM29" s="23"/>
      <c r="AN29" s="23"/>
      <c r="AO29" s="23"/>
      <c r="AP29" s="23"/>
      <c r="AQ29" s="36">
        <f t="shared" si="1"/>
        <v>0</v>
      </c>
      <c r="AR29" s="36">
        <f t="shared" si="2"/>
        <v>0</v>
      </c>
      <c r="AS29" s="36">
        <f t="shared" si="3"/>
        <v>0</v>
      </c>
    </row>
    <row r="30" spans="1:45" ht="19.95" customHeight="1">
      <c r="A30" s="142" t="s">
        <v>309</v>
      </c>
      <c r="B30" s="143" t="s">
        <v>310</v>
      </c>
      <c r="C30" s="23" t="s">
        <v>187</v>
      </c>
      <c r="D30" s="40" t="s">
        <v>10</v>
      </c>
      <c r="E30" s="23"/>
      <c r="F30" s="23"/>
      <c r="G30" s="14" t="s">
        <v>92</v>
      </c>
      <c r="H30" s="14"/>
      <c r="I30" s="14"/>
      <c r="J30" s="14"/>
      <c r="K30" s="14"/>
      <c r="L30" s="14"/>
      <c r="M30" s="14"/>
      <c r="N30" s="14"/>
      <c r="O30" s="14"/>
      <c r="P30" s="15"/>
      <c r="Q30" s="15"/>
      <c r="R30" s="15"/>
      <c r="S30" s="15"/>
      <c r="T30" s="15"/>
      <c r="U30" s="15"/>
      <c r="V30" s="15"/>
      <c r="W30" s="15"/>
      <c r="X30" s="15"/>
      <c r="Y30" s="78"/>
      <c r="Z30" s="22"/>
      <c r="AA30" s="22"/>
      <c r="AB30" s="22"/>
      <c r="AC30" s="22"/>
      <c r="AD30" s="22"/>
      <c r="AE30" s="22"/>
      <c r="AF30" s="22"/>
      <c r="AG30" s="22"/>
      <c r="AH30" s="22"/>
      <c r="AI30" s="83"/>
      <c r="AJ30" s="23"/>
      <c r="AK30" s="23"/>
      <c r="AL30" s="23"/>
      <c r="AM30" s="23"/>
      <c r="AN30" s="23"/>
      <c r="AO30" s="23"/>
      <c r="AP30" s="23"/>
      <c r="AQ30" s="36">
        <f t="shared" si="1"/>
        <v>0</v>
      </c>
      <c r="AR30" s="36">
        <f t="shared" si="2"/>
        <v>0</v>
      </c>
      <c r="AS30" s="36">
        <f t="shared" si="3"/>
        <v>0</v>
      </c>
    </row>
    <row r="31" spans="1:45" ht="19.95" customHeight="1">
      <c r="A31" s="142" t="s">
        <v>311</v>
      </c>
      <c r="B31" s="143" t="s">
        <v>312</v>
      </c>
      <c r="C31" s="23" t="s">
        <v>187</v>
      </c>
      <c r="D31" s="40" t="s">
        <v>8</v>
      </c>
      <c r="E31" s="23" t="s">
        <v>323</v>
      </c>
      <c r="F31" s="23"/>
      <c r="G31" s="14" t="s">
        <v>61</v>
      </c>
      <c r="H31" s="14" t="s">
        <v>59</v>
      </c>
      <c r="I31" s="14">
        <v>400</v>
      </c>
      <c r="J31" s="14"/>
      <c r="K31" s="14" t="s">
        <v>60</v>
      </c>
      <c r="L31" s="14" t="s">
        <v>368</v>
      </c>
      <c r="M31" s="14">
        <v>2.2200000000000002</v>
      </c>
      <c r="N31" s="14">
        <v>19.5</v>
      </c>
      <c r="O31" s="14">
        <v>-30.13</v>
      </c>
      <c r="P31" s="15" t="s">
        <v>311</v>
      </c>
      <c r="Q31" s="15" t="s">
        <v>312</v>
      </c>
      <c r="R31" s="15">
        <v>9.7600741000000006</v>
      </c>
      <c r="S31" s="15">
        <v>80.116531199999997</v>
      </c>
      <c r="T31" s="15">
        <v>3.61</v>
      </c>
      <c r="U31" s="15">
        <v>21840</v>
      </c>
      <c r="V31" s="15">
        <v>0.6</v>
      </c>
      <c r="W31" s="15">
        <v>2</v>
      </c>
      <c r="X31" s="15">
        <v>18</v>
      </c>
      <c r="Y31" s="78" t="s">
        <v>369</v>
      </c>
      <c r="Z31" s="22" t="s">
        <v>370</v>
      </c>
      <c r="AA31" s="22" t="s">
        <v>371</v>
      </c>
      <c r="AB31" s="22">
        <v>9.7800440000000002</v>
      </c>
      <c r="AC31" s="22">
        <v>80.117343000000005</v>
      </c>
      <c r="AD31" s="22">
        <v>10.36</v>
      </c>
      <c r="AE31" s="22">
        <v>23072</v>
      </c>
      <c r="AF31" s="22">
        <v>0.6</v>
      </c>
      <c r="AG31" s="22">
        <v>182</v>
      </c>
      <c r="AH31" s="22">
        <v>25</v>
      </c>
      <c r="AI31" s="83" t="s">
        <v>372</v>
      </c>
      <c r="AJ31" s="23" t="s">
        <v>379</v>
      </c>
      <c r="AK31" s="23" t="s">
        <v>377</v>
      </c>
      <c r="AL31" s="23" t="s">
        <v>378</v>
      </c>
      <c r="AM31" s="23" t="s">
        <v>376</v>
      </c>
      <c r="AN31" s="23" t="s">
        <v>380</v>
      </c>
      <c r="AO31" s="23" t="s">
        <v>85</v>
      </c>
      <c r="AP31" s="23"/>
      <c r="AQ31" s="36" t="str">
        <f t="shared" si="1"/>
        <v>JA0191</v>
      </c>
      <c r="AR31" s="36" t="str">
        <f t="shared" si="2"/>
        <v>Achchuweli_Town</v>
      </c>
      <c r="AS31" s="36" t="str">
        <f t="shared" si="3"/>
        <v>23G3431</v>
      </c>
    </row>
    <row r="32" spans="1:45" ht="19.95" customHeight="1">
      <c r="A32" s="142" t="s">
        <v>313</v>
      </c>
      <c r="B32" s="143" t="s">
        <v>314</v>
      </c>
      <c r="C32" s="23" t="s">
        <v>187</v>
      </c>
      <c r="D32" s="40" t="s">
        <v>8</v>
      </c>
      <c r="E32" s="23" t="s">
        <v>324</v>
      </c>
      <c r="F32" s="23"/>
      <c r="G32" s="14" t="s">
        <v>61</v>
      </c>
      <c r="H32" s="14" t="s">
        <v>59</v>
      </c>
      <c r="I32" s="14">
        <v>400</v>
      </c>
      <c r="J32" s="14"/>
      <c r="K32" s="14" t="s">
        <v>60</v>
      </c>
      <c r="L32" s="14" t="s">
        <v>357</v>
      </c>
      <c r="M32" s="14">
        <v>1.24</v>
      </c>
      <c r="N32" s="14">
        <v>19.5</v>
      </c>
      <c r="O32" s="14">
        <v>-30.27</v>
      </c>
      <c r="P32" s="15" t="s">
        <v>313</v>
      </c>
      <c r="Q32" s="15" t="s">
        <v>358</v>
      </c>
      <c r="R32" s="15">
        <v>7.4615020000000003</v>
      </c>
      <c r="S32" s="15">
        <v>80.464960000000005</v>
      </c>
      <c r="T32" s="15">
        <v>0</v>
      </c>
      <c r="U32" s="15">
        <v>21840</v>
      </c>
      <c r="V32" s="15">
        <v>0.3</v>
      </c>
      <c r="W32" s="15">
        <v>21</v>
      </c>
      <c r="X32" s="15">
        <v>27</v>
      </c>
      <c r="Y32" s="78" t="s">
        <v>359</v>
      </c>
      <c r="Z32" s="22" t="s">
        <v>360</v>
      </c>
      <c r="AA32" s="22" t="s">
        <v>361</v>
      </c>
      <c r="AB32" s="22">
        <v>7.471959</v>
      </c>
      <c r="AC32" s="22">
        <v>80.468930999999998</v>
      </c>
      <c r="AD32" s="22">
        <v>0</v>
      </c>
      <c r="AE32" s="22">
        <v>23072</v>
      </c>
      <c r="AF32" s="22">
        <v>0.6</v>
      </c>
      <c r="AG32" s="22">
        <v>201</v>
      </c>
      <c r="AH32" s="22">
        <v>30</v>
      </c>
      <c r="AI32" s="83" t="s">
        <v>362</v>
      </c>
      <c r="AJ32" s="23" t="s">
        <v>366</v>
      </c>
      <c r="AK32" s="23" t="s">
        <v>364</v>
      </c>
      <c r="AL32" s="23" t="s">
        <v>365</v>
      </c>
      <c r="AM32" s="23" t="s">
        <v>363</v>
      </c>
      <c r="AN32" s="23" t="s">
        <v>367</v>
      </c>
      <c r="AO32" s="23" t="s">
        <v>130</v>
      </c>
      <c r="AP32" s="23"/>
      <c r="AQ32" s="36" t="str">
        <f t="shared" si="1"/>
        <v>KU0144</v>
      </c>
      <c r="AR32" s="36" t="str">
        <f t="shared" si="2"/>
        <v>Welagedara</v>
      </c>
      <c r="AS32" s="36" t="str">
        <f t="shared" si="3"/>
        <v>23G3461</v>
      </c>
    </row>
    <row r="33" spans="1:45" ht="19.95" customHeight="1">
      <c r="A33" s="142" t="s">
        <v>316</v>
      </c>
      <c r="B33" s="143" t="s">
        <v>317</v>
      </c>
      <c r="C33" s="23" t="s">
        <v>185</v>
      </c>
      <c r="D33" s="40" t="s">
        <v>7</v>
      </c>
      <c r="E33" s="23" t="s">
        <v>7</v>
      </c>
      <c r="F33" s="23"/>
      <c r="G33" s="14" t="s">
        <v>7</v>
      </c>
      <c r="H33" s="14"/>
      <c r="I33" s="14"/>
      <c r="J33" s="14"/>
      <c r="K33" s="14"/>
      <c r="L33" s="14"/>
      <c r="M33" s="14"/>
      <c r="N33" s="14"/>
      <c r="O33" s="14"/>
      <c r="P33" s="15"/>
      <c r="Q33" s="15"/>
      <c r="R33" s="15"/>
      <c r="S33" s="15"/>
      <c r="T33" s="15"/>
      <c r="U33" s="15"/>
      <c r="V33" s="15"/>
      <c r="W33" s="15"/>
      <c r="X33" s="15"/>
      <c r="Y33" s="78"/>
      <c r="Z33" s="22"/>
      <c r="AA33" s="22"/>
      <c r="AB33" s="22"/>
      <c r="AC33" s="22"/>
      <c r="AD33" s="22"/>
      <c r="AE33" s="22"/>
      <c r="AF33" s="22"/>
      <c r="AG33" s="22"/>
      <c r="AH33" s="22"/>
      <c r="AI33" s="83"/>
      <c r="AJ33" s="23"/>
      <c r="AK33" s="23"/>
      <c r="AL33" s="23"/>
      <c r="AM33" s="23"/>
      <c r="AN33" s="23"/>
      <c r="AO33" s="23"/>
      <c r="AP33" s="23"/>
      <c r="AQ33" s="36">
        <f t="shared" si="1"/>
        <v>0</v>
      </c>
      <c r="AR33" s="36">
        <f t="shared" si="2"/>
        <v>0</v>
      </c>
      <c r="AS33" s="36">
        <f t="shared" si="3"/>
        <v>0</v>
      </c>
    </row>
    <row r="34" spans="1:45" ht="19.95" customHeight="1">
      <c r="A34" s="142" t="s">
        <v>318</v>
      </c>
      <c r="B34" s="143" t="s">
        <v>319</v>
      </c>
      <c r="C34" s="23" t="s">
        <v>187</v>
      </c>
      <c r="D34" s="40" t="s">
        <v>10</v>
      </c>
      <c r="E34" s="23"/>
      <c r="F34" s="23"/>
      <c r="G34" s="14" t="s">
        <v>92</v>
      </c>
      <c r="H34" s="14"/>
      <c r="I34" s="14"/>
      <c r="J34" s="14"/>
      <c r="K34" s="14"/>
      <c r="L34" s="14"/>
      <c r="M34" s="14"/>
      <c r="N34" s="14"/>
      <c r="O34" s="14"/>
      <c r="P34" s="15"/>
      <c r="Q34" s="15"/>
      <c r="R34" s="15"/>
      <c r="S34" s="15"/>
      <c r="T34" s="15"/>
      <c r="U34" s="15"/>
      <c r="V34" s="15"/>
      <c r="W34" s="15"/>
      <c r="X34" s="15"/>
      <c r="Y34" s="78"/>
      <c r="Z34" s="22"/>
      <c r="AA34" s="22"/>
      <c r="AB34" s="22"/>
      <c r="AC34" s="22"/>
      <c r="AD34" s="22"/>
      <c r="AE34" s="22"/>
      <c r="AF34" s="22"/>
      <c r="AG34" s="22"/>
      <c r="AH34" s="22"/>
      <c r="AI34" s="83"/>
      <c r="AJ34" s="23"/>
      <c r="AK34" s="23"/>
      <c r="AL34" s="23"/>
      <c r="AM34" s="23"/>
      <c r="AN34" s="23"/>
      <c r="AO34" s="23"/>
      <c r="AP34" s="23"/>
      <c r="AQ34" s="36">
        <f t="shared" si="1"/>
        <v>0</v>
      </c>
      <c r="AR34" s="36">
        <f t="shared" si="2"/>
        <v>0</v>
      </c>
      <c r="AS34" s="36">
        <f t="shared" si="3"/>
        <v>0</v>
      </c>
    </row>
    <row r="35" spans="1:45" ht="19.95" customHeight="1">
      <c r="A35" s="135"/>
      <c r="B35" s="135"/>
      <c r="C35" s="135"/>
      <c r="D35" s="40"/>
      <c r="E35" s="23"/>
      <c r="F35" s="23"/>
      <c r="G35" s="14"/>
      <c r="H35" s="14"/>
      <c r="I35" s="14"/>
      <c r="J35" s="14"/>
      <c r="K35" s="14"/>
      <c r="L35" s="14"/>
      <c r="M35" s="14"/>
      <c r="N35" s="14"/>
      <c r="O35" s="14"/>
      <c r="P35" s="15"/>
      <c r="Q35" s="15"/>
      <c r="R35" s="15"/>
      <c r="S35" s="15"/>
      <c r="T35" s="15"/>
      <c r="U35" s="15"/>
      <c r="V35" s="15"/>
      <c r="W35" s="15"/>
      <c r="X35" s="15"/>
      <c r="Y35" s="78"/>
      <c r="Z35" s="22"/>
      <c r="AA35" s="22"/>
      <c r="AB35" s="22"/>
      <c r="AC35" s="22"/>
      <c r="AD35" s="22"/>
      <c r="AE35" s="22"/>
      <c r="AF35" s="22"/>
      <c r="AG35" s="22"/>
      <c r="AH35" s="22"/>
      <c r="AI35" s="83"/>
      <c r="AJ35" s="23"/>
      <c r="AK35" s="23"/>
      <c r="AL35" s="23"/>
      <c r="AM35" s="23"/>
      <c r="AN35" s="23"/>
      <c r="AO35" s="23"/>
      <c r="AP35" s="23"/>
      <c r="AQ35" s="36"/>
      <c r="AR35" s="36"/>
      <c r="AS35" s="36"/>
    </row>
    <row r="36" spans="1:45" ht="19.95" customHeight="1">
      <c r="A36" s="135"/>
      <c r="B36" s="135"/>
      <c r="C36" s="135"/>
      <c r="D36" s="40"/>
      <c r="E36" s="23"/>
      <c r="F36" s="23"/>
      <c r="G36" s="14"/>
      <c r="H36" s="14"/>
      <c r="I36" s="14"/>
      <c r="J36" s="14"/>
      <c r="K36" s="14"/>
      <c r="L36" s="14"/>
      <c r="M36" s="14"/>
      <c r="N36" s="14"/>
      <c r="O36" s="14"/>
      <c r="P36" s="15"/>
      <c r="Q36" s="15"/>
      <c r="R36" s="15"/>
      <c r="S36" s="15"/>
      <c r="T36" s="15"/>
      <c r="U36" s="15"/>
      <c r="V36" s="15"/>
      <c r="W36" s="15"/>
      <c r="X36" s="15"/>
      <c r="Y36" s="78"/>
      <c r="Z36" s="22"/>
      <c r="AA36" s="22"/>
      <c r="AB36" s="22"/>
      <c r="AC36" s="22"/>
      <c r="AD36" s="22"/>
      <c r="AE36" s="22"/>
      <c r="AF36" s="22"/>
      <c r="AG36" s="22"/>
      <c r="AH36" s="22"/>
      <c r="AI36" s="83"/>
      <c r="AJ36" s="23"/>
      <c r="AK36" s="23"/>
      <c r="AL36" s="23"/>
      <c r="AM36" s="23"/>
      <c r="AN36" s="23"/>
      <c r="AO36" s="23"/>
      <c r="AP36" s="23"/>
      <c r="AQ36" s="36"/>
      <c r="AR36" s="36"/>
      <c r="AS36" s="36"/>
    </row>
    <row r="37" spans="1:45" ht="19.95" customHeight="1">
      <c r="A37" s="135"/>
      <c r="B37" s="135"/>
      <c r="C37" s="135"/>
      <c r="D37" s="40"/>
      <c r="E37" s="23"/>
      <c r="F37" s="23"/>
      <c r="G37" s="14"/>
      <c r="H37" s="14"/>
      <c r="I37" s="14"/>
      <c r="J37" s="14"/>
      <c r="K37" s="14"/>
      <c r="L37" s="14"/>
      <c r="M37" s="14"/>
      <c r="N37" s="14"/>
      <c r="O37" s="14"/>
      <c r="P37" s="15"/>
      <c r="Q37" s="15"/>
      <c r="R37" s="15"/>
      <c r="S37" s="15"/>
      <c r="T37" s="15"/>
      <c r="U37" s="15"/>
      <c r="V37" s="15"/>
      <c r="W37" s="15"/>
      <c r="X37" s="15"/>
      <c r="Y37" s="78"/>
      <c r="Z37" s="22"/>
      <c r="AA37" s="22"/>
      <c r="AB37" s="22"/>
      <c r="AC37" s="22"/>
      <c r="AD37" s="22"/>
      <c r="AE37" s="22"/>
      <c r="AF37" s="22"/>
      <c r="AG37" s="22"/>
      <c r="AH37" s="22"/>
      <c r="AI37" s="83"/>
      <c r="AJ37" s="23"/>
      <c r="AK37" s="23"/>
      <c r="AL37" s="23"/>
      <c r="AM37" s="23"/>
      <c r="AN37" s="23"/>
      <c r="AO37" s="23"/>
      <c r="AP37" s="23"/>
      <c r="AQ37" s="36"/>
      <c r="AR37" s="36"/>
      <c r="AS37" s="36"/>
    </row>
    <row r="38" spans="1:45" ht="19.95" customHeight="1"/>
    <row r="39" spans="1:45" ht="19.95" customHeight="1"/>
    <row r="40" spans="1:45" ht="19.95" customHeight="1"/>
    <row r="41" spans="1:45" ht="19.95" customHeight="1"/>
    <row r="42" spans="1:45" ht="19.95" customHeight="1"/>
    <row r="43" spans="1:45" ht="19.95" customHeight="1"/>
    <row r="44" spans="1:45" ht="19.95" customHeight="1"/>
    <row r="45" spans="1:45" ht="19.95" customHeight="1"/>
    <row r="46" spans="1:45" ht="19.95" customHeight="1"/>
    <row r="47" spans="1:45" ht="19.95" customHeight="1"/>
    <row r="48" spans="1:45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  <row r="132" ht="19.95" customHeight="1"/>
    <row r="133" ht="19.95" customHeight="1"/>
    <row r="134" ht="19.95" customHeight="1"/>
    <row r="135" ht="19.95" customHeight="1"/>
    <row r="136" ht="19.95" customHeight="1"/>
    <row r="137" ht="19.95" customHeight="1"/>
    <row r="138" ht="19.95" customHeight="1"/>
    <row r="139" ht="19.95" customHeight="1"/>
    <row r="140" ht="19.95" customHeight="1"/>
    <row r="141" ht="19.95" customHeight="1"/>
    <row r="142" ht="19.95" customHeight="1"/>
    <row r="143" ht="19.95" customHeight="1"/>
    <row r="144" ht="19.95" customHeight="1"/>
    <row r="145" ht="19.95" customHeight="1"/>
    <row r="146" ht="19.95" customHeight="1"/>
    <row r="147" ht="19.95" customHeight="1"/>
    <row r="148" ht="19.95" customHeight="1"/>
    <row r="149" ht="19.95" customHeight="1"/>
    <row r="150" ht="19.95" customHeight="1"/>
    <row r="151" ht="19.95" customHeight="1"/>
    <row r="152" ht="19.95" customHeight="1"/>
    <row r="153" ht="19.95" customHeight="1"/>
    <row r="154" ht="19.95" customHeight="1"/>
    <row r="155" ht="19.95" customHeight="1"/>
    <row r="156" ht="19.95" customHeight="1"/>
    <row r="157" ht="19.95" customHeight="1"/>
    <row r="158" ht="19.95" customHeight="1"/>
    <row r="159" ht="19.95" customHeight="1"/>
    <row r="160" ht="19.95" customHeight="1"/>
    <row r="161" ht="19.95" customHeight="1"/>
    <row r="162" ht="19.95" customHeight="1"/>
    <row r="163" ht="19.95" customHeight="1"/>
    <row r="164" ht="19.95" customHeight="1"/>
    <row r="165" ht="19.95" customHeight="1"/>
    <row r="166" ht="19.95" customHeight="1"/>
    <row r="167" ht="19.95" customHeight="1"/>
    <row r="168" ht="19.95" customHeight="1"/>
    <row r="169" ht="19.95" customHeight="1"/>
    <row r="170" ht="19.95" customHeight="1"/>
    <row r="171" ht="19.95" customHeight="1"/>
    <row r="172" ht="19.95" customHeight="1"/>
    <row r="173" ht="19.95" customHeight="1"/>
    <row r="174" ht="19.95" customHeight="1"/>
    <row r="175" ht="19.95" customHeight="1"/>
    <row r="176" ht="19.95" customHeight="1"/>
    <row r="177" ht="19.95" customHeight="1"/>
    <row r="178" ht="19.95" customHeight="1"/>
    <row r="179" ht="19.95" customHeight="1"/>
    <row r="180" ht="19.95" customHeight="1"/>
    <row r="181" ht="19.95" customHeight="1"/>
    <row r="182" ht="19.95" customHeight="1"/>
    <row r="183" ht="19.95" customHeight="1"/>
    <row r="184" ht="19.95" customHeight="1"/>
    <row r="185" ht="19.95" customHeight="1"/>
    <row r="186" ht="19.95" customHeight="1"/>
    <row r="187" ht="19.95" customHeight="1"/>
    <row r="188" ht="19.95" customHeight="1"/>
    <row r="189" ht="19.95" customHeight="1"/>
    <row r="190" ht="19.95" customHeight="1"/>
    <row r="191" ht="19.95" customHeight="1"/>
    <row r="192" ht="19.95" customHeight="1"/>
    <row r="193" ht="19.95" customHeight="1"/>
    <row r="194" ht="19.95" customHeight="1"/>
    <row r="195" ht="19.95" customHeight="1"/>
    <row r="196" ht="19.95" customHeight="1"/>
    <row r="197" ht="19.95" customHeight="1"/>
    <row r="198" ht="19.95" customHeight="1"/>
    <row r="199" ht="19.95" customHeight="1"/>
    <row r="200" ht="19.95" customHeight="1"/>
    <row r="201" ht="19.95" customHeight="1"/>
    <row r="202" ht="19.95" customHeight="1"/>
    <row r="203" ht="19.95" customHeight="1"/>
    <row r="204" ht="19.95" customHeight="1"/>
    <row r="205" ht="19.95" customHeight="1"/>
    <row r="206" ht="19.95" customHeight="1"/>
    <row r="207" ht="19.95" customHeight="1"/>
    <row r="208" ht="19.95" customHeight="1"/>
    <row r="209" ht="19.95" customHeight="1"/>
    <row r="210" ht="19.95" customHeight="1"/>
    <row r="211" ht="19.95" customHeight="1"/>
    <row r="212" ht="19.95" customHeight="1"/>
    <row r="213" ht="19.95" customHeight="1"/>
    <row r="214" ht="19.95" customHeight="1"/>
    <row r="215" ht="19.95" customHeight="1"/>
    <row r="216" ht="19.95" customHeight="1"/>
    <row r="217" ht="19.95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9.95" customHeight="1"/>
    <row r="238" ht="19.95" customHeight="1"/>
    <row r="239" ht="19.95" customHeight="1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9.95" customHeight="1"/>
    <row r="255" ht="19.95" customHeight="1"/>
    <row r="256" ht="19.95" customHeight="1"/>
    <row r="257" ht="19.95" customHeight="1"/>
    <row r="258" ht="19.95" customHeight="1"/>
    <row r="259" ht="19.95" customHeight="1"/>
    <row r="260" ht="19.95" customHeight="1"/>
    <row r="261" ht="19.95" customHeight="1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</sheetData>
  <autoFilter ref="A2:AS34" xr:uid="{855213FB-4511-4A50-B6B8-D99725A90955}"/>
  <phoneticPr fontId="19" type="noConversion"/>
  <conditionalFormatting sqref="A4:A5">
    <cfRule type="duplicateValues" dxfId="162" priority="56"/>
    <cfRule type="duplicateValues" dxfId="161" priority="57"/>
  </conditionalFormatting>
  <conditionalFormatting sqref="A4:A5">
    <cfRule type="duplicateValues" dxfId="160" priority="58"/>
  </conditionalFormatting>
  <conditionalFormatting sqref="A4:A5">
    <cfRule type="duplicateValues" dxfId="159" priority="59"/>
  </conditionalFormatting>
  <conditionalFormatting sqref="A4:A5">
    <cfRule type="duplicateValues" dxfId="158" priority="60"/>
  </conditionalFormatting>
  <conditionalFormatting sqref="A5">
    <cfRule type="duplicateValues" dxfId="157" priority="53"/>
    <cfRule type="duplicateValues" dxfId="156" priority="54"/>
    <cfRule type="duplicateValues" dxfId="155" priority="55"/>
  </conditionalFormatting>
  <conditionalFormatting sqref="A3:A6 A8:A12">
    <cfRule type="duplicateValues" dxfId="154" priority="52"/>
  </conditionalFormatting>
  <conditionalFormatting sqref="A3:A5">
    <cfRule type="duplicateValues" dxfId="153" priority="61"/>
  </conditionalFormatting>
  <conditionalFormatting sqref="A3">
    <cfRule type="duplicateValues" dxfId="152" priority="62"/>
    <cfRule type="duplicateValues" dxfId="151" priority="63"/>
    <cfRule type="duplicateValues" dxfId="150" priority="64"/>
  </conditionalFormatting>
  <conditionalFormatting sqref="A16:A17">
    <cfRule type="duplicateValues" dxfId="149" priority="45"/>
    <cfRule type="duplicateValues" dxfId="148" priority="46"/>
  </conditionalFormatting>
  <conditionalFormatting sqref="A16:A17">
    <cfRule type="duplicateValues" dxfId="147" priority="47"/>
  </conditionalFormatting>
  <conditionalFormatting sqref="A16:A17">
    <cfRule type="duplicateValues" dxfId="146" priority="48"/>
  </conditionalFormatting>
  <conditionalFormatting sqref="A16:A17">
    <cfRule type="duplicateValues" dxfId="145" priority="49"/>
  </conditionalFormatting>
  <conditionalFormatting sqref="A16:A17">
    <cfRule type="duplicateValues" dxfId="144" priority="50"/>
  </conditionalFormatting>
  <conditionalFormatting sqref="A13:A15">
    <cfRule type="duplicateValues" dxfId="143" priority="42"/>
    <cfRule type="duplicateValues" dxfId="142" priority="43"/>
    <cfRule type="duplicateValues" dxfId="141" priority="44"/>
  </conditionalFormatting>
  <conditionalFormatting sqref="A13">
    <cfRule type="duplicateValues" dxfId="140" priority="41"/>
  </conditionalFormatting>
  <conditionalFormatting sqref="A17">
    <cfRule type="duplicateValues" dxfId="139" priority="38"/>
    <cfRule type="duplicateValues" dxfId="138" priority="39"/>
    <cfRule type="duplicateValues" dxfId="137" priority="40"/>
  </conditionalFormatting>
  <conditionalFormatting sqref="A18:A21">
    <cfRule type="duplicateValues" dxfId="136" priority="37"/>
  </conditionalFormatting>
  <conditionalFormatting sqref="A18">
    <cfRule type="duplicateValues" dxfId="135" priority="31"/>
    <cfRule type="duplicateValues" dxfId="134" priority="32"/>
    <cfRule type="duplicateValues" dxfId="133" priority="33"/>
  </conditionalFormatting>
  <conditionalFormatting sqref="A18">
    <cfRule type="duplicateValues" dxfId="132" priority="34"/>
  </conditionalFormatting>
  <conditionalFormatting sqref="A18">
    <cfRule type="duplicateValues" dxfId="131" priority="35"/>
  </conditionalFormatting>
  <conditionalFormatting sqref="A18:A20">
    <cfRule type="duplicateValues" dxfId="130" priority="36"/>
  </conditionalFormatting>
  <conditionalFormatting sqref="A19">
    <cfRule type="duplicateValues" dxfId="129" priority="26"/>
  </conditionalFormatting>
  <conditionalFormatting sqref="A19:A20">
    <cfRule type="duplicateValues" dxfId="128" priority="27"/>
    <cfRule type="duplicateValues" dxfId="127" priority="28"/>
    <cfRule type="duplicateValues" dxfId="126" priority="29"/>
  </conditionalFormatting>
  <conditionalFormatting sqref="A19">
    <cfRule type="duplicateValues" dxfId="125" priority="30"/>
  </conditionalFormatting>
  <conditionalFormatting sqref="A21">
    <cfRule type="duplicateValues" dxfId="124" priority="22"/>
  </conditionalFormatting>
  <conditionalFormatting sqref="A21">
    <cfRule type="duplicateValues" dxfId="123" priority="23"/>
    <cfRule type="duplicateValues" dxfId="122" priority="24"/>
    <cfRule type="duplicateValues" dxfId="121" priority="25"/>
  </conditionalFormatting>
  <conditionalFormatting sqref="B21">
    <cfRule type="duplicateValues" dxfId="120" priority="21"/>
  </conditionalFormatting>
  <conditionalFormatting sqref="A22:A26">
    <cfRule type="duplicateValues" dxfId="119" priority="11"/>
    <cfRule type="duplicateValues" dxfId="118" priority="12"/>
    <cfRule type="duplicateValues" dxfId="117" priority="13"/>
    <cfRule type="duplicateValues" dxfId="116" priority="14"/>
    <cfRule type="duplicateValues" dxfId="115" priority="15"/>
    <cfRule type="duplicateValues" dxfId="114" priority="16"/>
    <cfRule type="duplicateValues" dxfId="113" priority="17"/>
    <cfRule type="duplicateValues" dxfId="112" priority="18"/>
    <cfRule type="duplicateValues" dxfId="111" priority="19"/>
    <cfRule type="duplicateValues" dxfId="110" priority="20"/>
  </conditionalFormatting>
  <conditionalFormatting sqref="A13:A17">
    <cfRule type="duplicateValues" dxfId="109" priority="51"/>
  </conditionalFormatting>
  <conditionalFormatting sqref="Q3:Q9">
    <cfRule type="duplicateValues" dxfId="108" priority="449"/>
  </conditionalFormatting>
  <conditionalFormatting sqref="P3:P9">
    <cfRule type="duplicateValues" dxfId="107" priority="450"/>
  </conditionalFormatting>
  <conditionalFormatting sqref="A27:B34">
    <cfRule type="duplicateValues" dxfId="106" priority="6"/>
  </conditionalFormatting>
  <conditionalFormatting sqref="A1:A1048576">
    <cfRule type="duplicateValues" dxfId="105" priority="1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A94B-C4BC-4E1D-9AF1-A221E670E616}">
  <sheetPr codeName="Sheet3"/>
  <dimension ref="A1:T131"/>
  <sheetViews>
    <sheetView zoomScale="70" zoomScaleNormal="80" workbookViewId="0">
      <pane xSplit="6" ySplit="2" topLeftCell="L3" activePane="bottomRight" state="frozen"/>
      <selection activeCell="RR41" sqref="RR41"/>
      <selection pane="topRight" activeCell="RR41" sqref="RR41"/>
      <selection pane="bottomLeft" activeCell="RR41" sqref="RR41"/>
      <selection pane="bottomRight" activeCell="N12" sqref="N12"/>
    </sheetView>
  </sheetViews>
  <sheetFormatPr defaultColWidth="8.88671875" defaultRowHeight="13.8"/>
  <cols>
    <col min="1" max="1" width="7.88671875" style="161" bestFit="1" customWidth="1"/>
    <col min="2" max="2" width="28.33203125" style="110" bestFit="1" customWidth="1"/>
    <col min="3" max="3" width="35.5546875" style="110" bestFit="1" customWidth="1"/>
    <col min="4" max="4" width="14" style="110" bestFit="1" customWidth="1"/>
    <col min="5" max="5" width="16.21875" style="110" bestFit="1" customWidth="1"/>
    <col min="6" max="6" width="14" style="110" customWidth="1"/>
    <col min="7" max="7" width="50.44140625" style="110" bestFit="1" customWidth="1"/>
    <col min="8" max="10" width="18.44140625" style="24" customWidth="1"/>
    <col min="11" max="12" width="42.33203125" style="111" customWidth="1"/>
    <col min="13" max="13" width="27.5546875" style="24" customWidth="1"/>
    <col min="14" max="14" width="7.88671875" style="110" bestFit="1" customWidth="1"/>
    <col min="15" max="15" width="29.77734375" style="110" bestFit="1" customWidth="1"/>
    <col min="16" max="16" width="12.33203125" style="110" bestFit="1" customWidth="1"/>
    <col min="17" max="17" width="7.88671875" style="110" bestFit="1" customWidth="1"/>
    <col min="18" max="18" width="26.33203125" style="110" bestFit="1" customWidth="1"/>
    <col min="19" max="19" width="14.44140625" style="110" bestFit="1" customWidth="1"/>
    <col min="20" max="20" width="8.88671875" style="109"/>
    <col min="21" max="16384" width="8.88671875" style="110"/>
  </cols>
  <sheetData>
    <row r="1" spans="1:20" s="88" customFormat="1" ht="30" customHeight="1">
      <c r="A1" s="73" t="s">
        <v>0</v>
      </c>
      <c r="B1" s="73" t="s">
        <v>18</v>
      </c>
      <c r="C1" s="101" t="s">
        <v>118</v>
      </c>
      <c r="D1" s="74" t="s">
        <v>21</v>
      </c>
      <c r="E1" s="74" t="s">
        <v>153</v>
      </c>
      <c r="F1" s="74" t="s">
        <v>3</v>
      </c>
      <c r="G1" s="75" t="s">
        <v>13</v>
      </c>
      <c r="H1" s="75" t="s">
        <v>93</v>
      </c>
      <c r="I1" s="75" t="s">
        <v>79</v>
      </c>
      <c r="J1" s="75" t="s">
        <v>75</v>
      </c>
      <c r="K1" s="75" t="s">
        <v>16</v>
      </c>
      <c r="L1" s="75" t="s">
        <v>150</v>
      </c>
      <c r="M1" s="73" t="s">
        <v>22</v>
      </c>
      <c r="N1" s="269" t="s">
        <v>23</v>
      </c>
      <c r="O1" s="269"/>
      <c r="P1" s="73" t="s">
        <v>72</v>
      </c>
      <c r="Q1" s="269" t="s">
        <v>24</v>
      </c>
      <c r="R1" s="269"/>
      <c r="S1" s="73" t="s">
        <v>72</v>
      </c>
      <c r="T1" s="108"/>
    </row>
    <row r="2" spans="1:20" s="88" customFormat="1" ht="19.95" customHeight="1">
      <c r="A2" s="184">
        <f t="shared" ref="A2:K2" si="0">SUBTOTAL(103, A3:A136)</f>
        <v>22</v>
      </c>
      <c r="B2" s="184">
        <f t="shared" si="0"/>
        <v>22</v>
      </c>
      <c r="C2" s="184">
        <f t="shared" si="0"/>
        <v>22</v>
      </c>
      <c r="D2" s="184">
        <f t="shared" si="0"/>
        <v>22</v>
      </c>
      <c r="E2" s="184">
        <f t="shared" si="0"/>
        <v>22</v>
      </c>
      <c r="F2" s="184">
        <f t="shared" si="0"/>
        <v>11</v>
      </c>
      <c r="G2" s="184">
        <f t="shared" si="0"/>
        <v>12</v>
      </c>
      <c r="H2" s="184">
        <f t="shared" si="0"/>
        <v>7</v>
      </c>
      <c r="I2" s="184">
        <f t="shared" si="0"/>
        <v>0</v>
      </c>
      <c r="J2" s="184">
        <f t="shared" si="0"/>
        <v>5</v>
      </c>
      <c r="K2" s="184">
        <f t="shared" si="0"/>
        <v>0</v>
      </c>
      <c r="L2" s="184"/>
      <c r="M2" s="184">
        <f t="shared" ref="M2:S2" si="1">SUBTOTAL(103, M3:M136)</f>
        <v>18</v>
      </c>
      <c r="N2" s="184">
        <f t="shared" si="1"/>
        <v>12</v>
      </c>
      <c r="O2" s="184">
        <f t="shared" si="1"/>
        <v>12</v>
      </c>
      <c r="P2" s="184">
        <f t="shared" si="1"/>
        <v>5</v>
      </c>
      <c r="Q2" s="184">
        <f t="shared" si="1"/>
        <v>12</v>
      </c>
      <c r="R2" s="184">
        <f t="shared" si="1"/>
        <v>12</v>
      </c>
      <c r="S2" s="184">
        <f t="shared" si="1"/>
        <v>6</v>
      </c>
      <c r="T2" s="108"/>
    </row>
    <row r="3" spans="1:20" ht="19.95" customHeight="1">
      <c r="A3" s="79" t="s">
        <v>163</v>
      </c>
      <c r="B3" s="79" t="s">
        <v>164</v>
      </c>
      <c r="C3" s="79" t="s">
        <v>185</v>
      </c>
      <c r="D3" s="141" t="s">
        <v>8</v>
      </c>
      <c r="E3" s="141" t="str">
        <f>VLOOKUP(A3,'Tx Design'!A:E, 5,)</f>
        <v>MW_2026_1995</v>
      </c>
      <c r="F3" s="115" t="s">
        <v>486</v>
      </c>
      <c r="G3" s="31" t="s">
        <v>487</v>
      </c>
      <c r="H3" s="76"/>
      <c r="I3" s="30"/>
      <c r="J3" s="30"/>
      <c r="K3" s="102"/>
      <c r="L3" s="102"/>
      <c r="M3" s="30" t="s">
        <v>326</v>
      </c>
      <c r="N3" s="177"/>
      <c r="O3" s="177"/>
      <c r="P3" s="178"/>
      <c r="Q3" s="177"/>
      <c r="R3" s="177"/>
      <c r="S3" s="178"/>
    </row>
    <row r="4" spans="1:20" ht="19.95" customHeight="1">
      <c r="A4" s="155" t="s">
        <v>165</v>
      </c>
      <c r="B4" s="80" t="s">
        <v>166</v>
      </c>
      <c r="C4" s="80" t="s">
        <v>185</v>
      </c>
      <c r="D4" s="136" t="s">
        <v>8</v>
      </c>
      <c r="E4" s="136" t="str">
        <f>VLOOKUP(A4,'Tx Design'!A:E, 5,)</f>
        <v>MW_2026_1994</v>
      </c>
      <c r="F4" s="114"/>
      <c r="G4" s="77" t="s">
        <v>268</v>
      </c>
      <c r="H4" s="28"/>
      <c r="I4" s="28"/>
      <c r="J4" s="28"/>
      <c r="K4" s="103"/>
      <c r="L4" s="103"/>
      <c r="M4" s="28" t="s">
        <v>326</v>
      </c>
      <c r="N4" s="29" t="s">
        <v>173</v>
      </c>
      <c r="O4" s="29" t="s">
        <v>269</v>
      </c>
      <c r="P4" s="28"/>
      <c r="Q4" s="29" t="s">
        <v>174</v>
      </c>
      <c r="R4" s="29" t="s">
        <v>270</v>
      </c>
      <c r="S4" s="28"/>
    </row>
    <row r="5" spans="1:20" ht="19.95" customHeight="1">
      <c r="A5" s="196" t="s">
        <v>165</v>
      </c>
      <c r="B5" s="79" t="s">
        <v>166</v>
      </c>
      <c r="C5" s="79" t="s">
        <v>185</v>
      </c>
      <c r="D5" s="141" t="s">
        <v>8</v>
      </c>
      <c r="E5" s="141" t="str">
        <f>VLOOKUP(A5,'Tx Design'!A:E, 5,)</f>
        <v>MW_2026_1994</v>
      </c>
      <c r="F5" s="115" t="s">
        <v>486</v>
      </c>
      <c r="G5" s="31" t="s">
        <v>487</v>
      </c>
      <c r="H5" s="30"/>
      <c r="I5" s="30"/>
      <c r="J5" s="30"/>
      <c r="K5" s="102"/>
      <c r="L5" s="102"/>
      <c r="M5" s="30" t="s">
        <v>326</v>
      </c>
      <c r="N5" s="177"/>
      <c r="O5" s="177"/>
      <c r="P5" s="178"/>
      <c r="Q5" s="177"/>
      <c r="R5" s="177"/>
      <c r="S5" s="178"/>
    </row>
    <row r="6" spans="1:20" ht="19.95" customHeight="1">
      <c r="A6" s="196" t="s">
        <v>167</v>
      </c>
      <c r="B6" s="79" t="s">
        <v>168</v>
      </c>
      <c r="C6" s="79" t="s">
        <v>185</v>
      </c>
      <c r="D6" s="141" t="s">
        <v>8</v>
      </c>
      <c r="E6" s="141" t="str">
        <f>VLOOKUP(A6,'Tx Design'!A:E, 5,)</f>
        <v>MW_2026_1966</v>
      </c>
      <c r="F6" s="115" t="s">
        <v>233</v>
      </c>
      <c r="G6" s="31" t="s">
        <v>14</v>
      </c>
      <c r="H6" s="76">
        <v>46219</v>
      </c>
      <c r="I6" s="30"/>
      <c r="J6" s="30" t="s">
        <v>61</v>
      </c>
      <c r="K6" s="102"/>
      <c r="L6" s="102"/>
      <c r="M6" s="30" t="s">
        <v>169</v>
      </c>
      <c r="N6" s="31" t="s">
        <v>175</v>
      </c>
      <c r="O6" s="31" t="s">
        <v>243</v>
      </c>
      <c r="P6" s="30" t="s">
        <v>89</v>
      </c>
      <c r="Q6" s="31" t="s">
        <v>176</v>
      </c>
      <c r="R6" s="31" t="s">
        <v>244</v>
      </c>
      <c r="S6" s="30" t="s">
        <v>73</v>
      </c>
    </row>
    <row r="7" spans="1:20" ht="19.95" customHeight="1">
      <c r="A7" s="196" t="s">
        <v>182</v>
      </c>
      <c r="B7" s="79" t="s">
        <v>190</v>
      </c>
      <c r="C7" s="79" t="s">
        <v>187</v>
      </c>
      <c r="D7" s="141" t="s">
        <v>8</v>
      </c>
      <c r="E7" s="141" t="str">
        <f>VLOOKUP(A7,'Tx Design'!A:E, 5,)</f>
        <v>MW_2026_1992</v>
      </c>
      <c r="F7" s="115" t="s">
        <v>9</v>
      </c>
      <c r="G7" s="31" t="s">
        <v>14</v>
      </c>
      <c r="H7" s="76">
        <v>46223</v>
      </c>
      <c r="I7" s="30"/>
      <c r="J7" s="30" t="s">
        <v>61</v>
      </c>
      <c r="K7" s="102"/>
      <c r="L7" s="102" t="s">
        <v>333</v>
      </c>
      <c r="M7" s="30" t="s">
        <v>276</v>
      </c>
      <c r="N7" s="31" t="s">
        <v>277</v>
      </c>
      <c r="O7" s="31" t="s">
        <v>284</v>
      </c>
      <c r="P7" s="30" t="s">
        <v>73</v>
      </c>
      <c r="Q7" s="31" t="s">
        <v>278</v>
      </c>
      <c r="R7" s="31" t="s">
        <v>285</v>
      </c>
      <c r="S7" s="30" t="s">
        <v>73</v>
      </c>
    </row>
    <row r="8" spans="1:20" ht="19.95" customHeight="1">
      <c r="A8" s="196" t="s">
        <v>170</v>
      </c>
      <c r="B8" s="79" t="s">
        <v>171</v>
      </c>
      <c r="C8" s="79" t="s">
        <v>187</v>
      </c>
      <c r="D8" s="141" t="s">
        <v>10</v>
      </c>
      <c r="E8" s="141" t="str">
        <f>VLOOKUP(A8,'Tx Design'!A:E, 5,)</f>
        <v>WIBAS_2026_1678</v>
      </c>
      <c r="F8" s="115" t="s">
        <v>9</v>
      </c>
      <c r="G8" s="31" t="s">
        <v>14</v>
      </c>
      <c r="H8" s="76">
        <v>46224</v>
      </c>
      <c r="I8" s="30"/>
      <c r="J8" s="30" t="s">
        <v>443</v>
      </c>
      <c r="K8" s="102"/>
      <c r="L8" s="102"/>
      <c r="M8" s="30" t="s">
        <v>286</v>
      </c>
      <c r="N8" s="31" t="s">
        <v>287</v>
      </c>
      <c r="O8" s="31" t="s">
        <v>289</v>
      </c>
      <c r="P8" s="30" t="s">
        <v>88</v>
      </c>
      <c r="Q8" s="31" t="s">
        <v>288</v>
      </c>
      <c r="R8" s="31" t="s">
        <v>290</v>
      </c>
      <c r="S8" s="30" t="s">
        <v>73</v>
      </c>
    </row>
    <row r="9" spans="1:20" ht="19.95" customHeight="1">
      <c r="A9" s="196" t="s">
        <v>180</v>
      </c>
      <c r="B9" s="79" t="s">
        <v>188</v>
      </c>
      <c r="C9" s="79" t="s">
        <v>187</v>
      </c>
      <c r="D9" s="141" t="s">
        <v>8</v>
      </c>
      <c r="E9" s="141" t="str">
        <f>VLOOKUP(A9,'Tx Design'!A:E, 5,)</f>
        <v>MW_2026_2030</v>
      </c>
      <c r="F9" s="115" t="s">
        <v>486</v>
      </c>
      <c r="G9" s="31" t="s">
        <v>488</v>
      </c>
      <c r="H9" s="76"/>
      <c r="I9" s="30"/>
      <c r="J9" s="30"/>
      <c r="K9" s="102"/>
      <c r="L9" s="102"/>
      <c r="M9" s="30" t="s">
        <v>485</v>
      </c>
      <c r="N9" s="194"/>
      <c r="O9" s="194"/>
      <c r="P9" s="195"/>
      <c r="Q9" s="194"/>
      <c r="R9" s="194"/>
      <c r="S9" s="195"/>
    </row>
    <row r="10" spans="1:20" ht="19.95" customHeight="1">
      <c r="A10" s="21" t="s">
        <v>211</v>
      </c>
      <c r="B10" s="21" t="s">
        <v>212</v>
      </c>
      <c r="C10" s="21" t="s">
        <v>229</v>
      </c>
      <c r="D10" s="112" t="s">
        <v>8</v>
      </c>
      <c r="E10" s="40">
        <f>VLOOKUP(A10,'Tx Design'!A:E, 5,)</f>
        <v>0</v>
      </c>
      <c r="F10" s="112"/>
      <c r="G10" s="23"/>
      <c r="H10" s="36"/>
      <c r="I10" s="36"/>
      <c r="J10" s="36"/>
      <c r="K10" s="113"/>
      <c r="L10" s="113"/>
      <c r="M10" s="36"/>
      <c r="N10" s="23"/>
      <c r="O10" s="23"/>
      <c r="P10" s="36"/>
      <c r="Q10" s="23"/>
      <c r="R10" s="23"/>
      <c r="S10" s="36"/>
    </row>
    <row r="11" spans="1:20" ht="19.95" customHeight="1">
      <c r="A11" s="21" t="s">
        <v>213</v>
      </c>
      <c r="B11" s="21" t="s">
        <v>214</v>
      </c>
      <c r="C11" s="21" t="s">
        <v>229</v>
      </c>
      <c r="D11" s="112" t="s">
        <v>8</v>
      </c>
      <c r="E11" s="40">
        <f>VLOOKUP(A11,'Tx Design'!A:E, 5,)</f>
        <v>0</v>
      </c>
      <c r="F11" s="112"/>
      <c r="G11" s="23"/>
      <c r="H11" s="36"/>
      <c r="I11" s="36"/>
      <c r="J11" s="36"/>
      <c r="K11" s="113"/>
      <c r="L11" s="113"/>
      <c r="M11" s="36" t="s">
        <v>429</v>
      </c>
      <c r="N11" s="23"/>
      <c r="O11" s="23"/>
      <c r="P11" s="36"/>
      <c r="Q11" s="23"/>
      <c r="R11" s="23"/>
      <c r="S11" s="36"/>
    </row>
    <row r="12" spans="1:20" ht="19.95" customHeight="1">
      <c r="A12" s="21" t="s">
        <v>215</v>
      </c>
      <c r="B12" s="21" t="s">
        <v>216</v>
      </c>
      <c r="C12" s="21" t="s">
        <v>229</v>
      </c>
      <c r="D12" s="112" t="s">
        <v>8</v>
      </c>
      <c r="E12" s="40">
        <f>VLOOKUP(A12,'Tx Design'!A:E, 5,)</f>
        <v>0</v>
      </c>
      <c r="F12" s="112"/>
      <c r="G12" s="23"/>
      <c r="H12" s="36"/>
      <c r="I12" s="36"/>
      <c r="J12" s="36"/>
      <c r="K12" s="113"/>
      <c r="L12" s="113"/>
      <c r="M12" s="36"/>
      <c r="N12" s="23"/>
      <c r="O12" s="23"/>
      <c r="P12" s="36"/>
      <c r="Q12" s="23"/>
      <c r="R12" s="23"/>
      <c r="S12" s="36"/>
    </row>
    <row r="13" spans="1:20" ht="19.95" customHeight="1">
      <c r="A13" s="79" t="s">
        <v>205</v>
      </c>
      <c r="B13" s="79" t="s">
        <v>206</v>
      </c>
      <c r="C13" s="79" t="s">
        <v>187</v>
      </c>
      <c r="D13" s="115" t="s">
        <v>10</v>
      </c>
      <c r="E13" s="141" t="str">
        <f>VLOOKUP(A13,'Tx Design'!A:E, 5,)</f>
        <v>WIBAS_2026_1651</v>
      </c>
      <c r="F13" s="115" t="s">
        <v>99</v>
      </c>
      <c r="G13" s="31" t="s">
        <v>14</v>
      </c>
      <c r="H13" s="76">
        <v>46225</v>
      </c>
      <c r="I13" s="30"/>
      <c r="J13" s="30" t="s">
        <v>443</v>
      </c>
      <c r="K13" s="102"/>
      <c r="L13" s="102" t="s">
        <v>444</v>
      </c>
      <c r="M13" s="30" t="s">
        <v>348</v>
      </c>
      <c r="N13" s="31" t="s">
        <v>349</v>
      </c>
      <c r="O13" s="31" t="s">
        <v>381</v>
      </c>
      <c r="P13" s="30" t="s">
        <v>88</v>
      </c>
      <c r="Q13" s="31" t="s">
        <v>128</v>
      </c>
      <c r="R13" s="31" t="s">
        <v>129</v>
      </c>
      <c r="S13" s="30" t="s">
        <v>73</v>
      </c>
    </row>
    <row r="14" spans="1:20" ht="19.95" customHeight="1">
      <c r="A14" s="79" t="s">
        <v>203</v>
      </c>
      <c r="B14" s="79" t="s">
        <v>204</v>
      </c>
      <c r="C14" s="79" t="s">
        <v>187</v>
      </c>
      <c r="D14" s="115" t="s">
        <v>8</v>
      </c>
      <c r="E14" s="141" t="str">
        <f>VLOOKUP(A14,'Tx Design'!A:E, 5,)</f>
        <v>MW_2026_2123</v>
      </c>
      <c r="F14" s="115" t="s">
        <v>486</v>
      </c>
      <c r="G14" s="31" t="s">
        <v>489</v>
      </c>
      <c r="H14" s="30"/>
      <c r="I14" s="30"/>
      <c r="J14" s="30"/>
      <c r="K14" s="102"/>
      <c r="L14" s="102"/>
      <c r="M14" s="30" t="s">
        <v>485</v>
      </c>
      <c r="N14" s="194"/>
      <c r="O14" s="194"/>
      <c r="P14" s="195"/>
      <c r="Q14" s="194"/>
      <c r="R14" s="194"/>
      <c r="S14" s="195"/>
    </row>
    <row r="15" spans="1:20" ht="19.95" customHeight="1">
      <c r="A15" s="9" t="s">
        <v>223</v>
      </c>
      <c r="B15" s="9" t="s">
        <v>224</v>
      </c>
      <c r="C15" s="85" t="s">
        <v>229</v>
      </c>
      <c r="D15" s="112" t="s">
        <v>8</v>
      </c>
      <c r="E15" s="40">
        <f>VLOOKUP(A15,'Tx Design'!A:E, 5,)</f>
        <v>0</v>
      </c>
      <c r="F15" s="112"/>
      <c r="G15" s="23"/>
      <c r="H15" s="36"/>
      <c r="I15" s="36"/>
      <c r="J15" s="36"/>
      <c r="K15" s="113"/>
      <c r="L15" s="113"/>
      <c r="M15" s="36" t="s">
        <v>427</v>
      </c>
      <c r="N15" s="23"/>
      <c r="O15" s="23"/>
      <c r="P15" s="36"/>
      <c r="Q15" s="23"/>
      <c r="R15" s="23"/>
      <c r="S15" s="36"/>
    </row>
    <row r="16" spans="1:20" ht="19.95" customHeight="1">
      <c r="A16" s="163" t="s">
        <v>225</v>
      </c>
      <c r="B16" s="163" t="s">
        <v>226</v>
      </c>
      <c r="C16" s="165" t="s">
        <v>229</v>
      </c>
      <c r="D16" s="115" t="s">
        <v>8</v>
      </c>
      <c r="E16" s="141">
        <f>VLOOKUP(A16,'Tx Design'!A:E, 5,)</f>
        <v>0</v>
      </c>
      <c r="F16" s="115" t="s">
        <v>99</v>
      </c>
      <c r="G16" s="31" t="s">
        <v>14</v>
      </c>
      <c r="H16" s="76">
        <v>46231</v>
      </c>
      <c r="I16" s="30"/>
      <c r="J16" s="30"/>
      <c r="K16" s="102"/>
      <c r="L16" s="102"/>
      <c r="M16" s="30" t="s">
        <v>428</v>
      </c>
      <c r="N16" s="31" t="s">
        <v>434</v>
      </c>
      <c r="O16" s="31" t="s">
        <v>462</v>
      </c>
      <c r="P16" s="30"/>
      <c r="Q16" s="31" t="s">
        <v>435</v>
      </c>
      <c r="R16" s="31" t="s">
        <v>463</v>
      </c>
      <c r="S16" s="30"/>
    </row>
    <row r="17" spans="1:19" ht="19.95" customHeight="1">
      <c r="A17" s="163" t="s">
        <v>227</v>
      </c>
      <c r="B17" s="163" t="s">
        <v>228</v>
      </c>
      <c r="C17" s="165" t="s">
        <v>229</v>
      </c>
      <c r="D17" s="115" t="s">
        <v>8</v>
      </c>
      <c r="E17" s="141">
        <f>VLOOKUP(A17,'Tx Design'!A:E, 5,)</f>
        <v>0</v>
      </c>
      <c r="F17" s="115" t="s">
        <v>99</v>
      </c>
      <c r="G17" s="31" t="s">
        <v>14</v>
      </c>
      <c r="H17" s="76">
        <v>46224</v>
      </c>
      <c r="I17" s="30"/>
      <c r="J17" s="30" t="s">
        <v>61</v>
      </c>
      <c r="K17" s="102"/>
      <c r="L17" s="102" t="s">
        <v>461</v>
      </c>
      <c r="M17" s="30" t="s">
        <v>336</v>
      </c>
      <c r="N17" s="31" t="s">
        <v>334</v>
      </c>
      <c r="O17" s="31" t="s">
        <v>343</v>
      </c>
      <c r="P17" s="30" t="s">
        <v>73</v>
      </c>
      <c r="Q17" s="31" t="s">
        <v>335</v>
      </c>
      <c r="R17" s="31" t="s">
        <v>342</v>
      </c>
      <c r="S17" s="30" t="s">
        <v>73</v>
      </c>
    </row>
    <row r="18" spans="1:19" ht="19.95" customHeight="1">
      <c r="A18" s="191" t="s">
        <v>201</v>
      </c>
      <c r="B18" s="191" t="s">
        <v>202</v>
      </c>
      <c r="C18" s="191" t="s">
        <v>187</v>
      </c>
      <c r="D18" s="179" t="s">
        <v>8</v>
      </c>
      <c r="E18" s="180">
        <f>VLOOKUP(A18,'Tx Design'!A:E, 5,)</f>
        <v>0</v>
      </c>
      <c r="F18" s="179"/>
      <c r="G18" s="181"/>
      <c r="H18" s="182"/>
      <c r="I18" s="182"/>
      <c r="J18" s="182"/>
      <c r="K18" s="183"/>
      <c r="L18" s="183"/>
      <c r="M18" s="182" t="s">
        <v>423</v>
      </c>
      <c r="N18" s="181" t="s">
        <v>432</v>
      </c>
      <c r="O18" s="181" t="s">
        <v>467</v>
      </c>
      <c r="P18" s="182"/>
      <c r="Q18" s="181" t="s">
        <v>433</v>
      </c>
      <c r="R18" s="181" t="s">
        <v>468</v>
      </c>
      <c r="S18" s="182"/>
    </row>
    <row r="19" spans="1:19" ht="19.95" customHeight="1">
      <c r="A19" s="260" t="s">
        <v>305</v>
      </c>
      <c r="B19" s="261" t="s">
        <v>306</v>
      </c>
      <c r="C19" s="23" t="s">
        <v>187</v>
      </c>
      <c r="D19" s="40" t="s">
        <v>8</v>
      </c>
      <c r="E19" s="40">
        <f>VLOOKUP(A19,'Tx Design'!A:E, 5,)</f>
        <v>0</v>
      </c>
      <c r="F19" s="112"/>
      <c r="G19" s="23"/>
      <c r="H19" s="36"/>
      <c r="I19" s="36"/>
      <c r="J19" s="36"/>
      <c r="K19" s="113"/>
      <c r="L19" s="113"/>
      <c r="M19" s="36" t="s">
        <v>426</v>
      </c>
      <c r="N19" s="23" t="s">
        <v>430</v>
      </c>
      <c r="O19" s="23" t="s">
        <v>469</v>
      </c>
      <c r="P19" s="36"/>
      <c r="Q19" s="23" t="s">
        <v>431</v>
      </c>
      <c r="R19" s="23" t="s">
        <v>470</v>
      </c>
      <c r="S19" s="36"/>
    </row>
    <row r="20" spans="1:19" ht="19.95" customHeight="1">
      <c r="A20" s="260" t="s">
        <v>309</v>
      </c>
      <c r="B20" s="261" t="s">
        <v>310</v>
      </c>
      <c r="C20" s="23" t="s">
        <v>187</v>
      </c>
      <c r="D20" s="40" t="s">
        <v>10</v>
      </c>
      <c r="E20" s="40">
        <f>VLOOKUP(A20,'Tx Design'!A:E, 5,)</f>
        <v>0</v>
      </c>
      <c r="F20" s="112"/>
      <c r="G20" s="23"/>
      <c r="H20" s="36"/>
      <c r="I20" s="36"/>
      <c r="J20" s="36"/>
      <c r="K20" s="113"/>
      <c r="L20" s="113"/>
      <c r="M20" s="36"/>
      <c r="N20" s="23"/>
      <c r="O20" s="23"/>
      <c r="P20" s="36"/>
      <c r="Q20" s="23"/>
      <c r="R20" s="23"/>
      <c r="S20" s="36"/>
    </row>
    <row r="21" spans="1:19" ht="19.95" customHeight="1">
      <c r="A21" s="260" t="s">
        <v>311</v>
      </c>
      <c r="B21" s="261" t="s">
        <v>312</v>
      </c>
      <c r="C21" s="23" t="s">
        <v>187</v>
      </c>
      <c r="D21" s="40" t="s">
        <v>8</v>
      </c>
      <c r="E21" s="40" t="str">
        <f>VLOOKUP(A21,'Tx Design'!A:E, 5,)</f>
        <v>MW_2026_1877</v>
      </c>
      <c r="F21" s="112"/>
      <c r="G21" s="23"/>
      <c r="H21" s="36"/>
      <c r="I21" s="36"/>
      <c r="J21" s="36"/>
      <c r="K21" s="113"/>
      <c r="L21" s="113"/>
      <c r="M21" s="36" t="s">
        <v>373</v>
      </c>
      <c r="N21" s="23" t="s">
        <v>374</v>
      </c>
      <c r="O21" s="23" t="s">
        <v>382</v>
      </c>
      <c r="P21" s="36"/>
      <c r="Q21" s="23" t="s">
        <v>375</v>
      </c>
      <c r="R21" s="23" t="s">
        <v>383</v>
      </c>
      <c r="S21" s="36"/>
    </row>
    <row r="22" spans="1:19" ht="19.95" customHeight="1">
      <c r="A22" s="260" t="s">
        <v>318</v>
      </c>
      <c r="B22" s="261" t="s">
        <v>319</v>
      </c>
      <c r="C22" s="23" t="s">
        <v>187</v>
      </c>
      <c r="D22" s="40" t="s">
        <v>10</v>
      </c>
      <c r="E22" s="40">
        <f>VLOOKUP(A22,'Tx Design'!A:E, 5,)</f>
        <v>0</v>
      </c>
      <c r="F22" s="112"/>
      <c r="G22" s="23"/>
      <c r="H22" s="36"/>
      <c r="I22" s="36"/>
      <c r="J22" s="36"/>
      <c r="K22" s="113"/>
      <c r="L22" s="113"/>
      <c r="M22" s="36"/>
      <c r="N22" s="23"/>
      <c r="O22" s="23"/>
      <c r="P22" s="36"/>
      <c r="Q22" s="23"/>
      <c r="R22" s="23"/>
      <c r="S22" s="36"/>
    </row>
    <row r="23" spans="1:19" ht="19.95" customHeight="1">
      <c r="A23" s="249" t="s">
        <v>179</v>
      </c>
      <c r="B23" s="249" t="s">
        <v>186</v>
      </c>
      <c r="C23" s="197" t="s">
        <v>187</v>
      </c>
      <c r="D23" s="186" t="s">
        <v>8</v>
      </c>
      <c r="E23" s="186" t="str">
        <f>VLOOKUP(A23,'Tx Design'!A:E, 5,)</f>
        <v>Pending</v>
      </c>
      <c r="F23" s="187"/>
      <c r="G23" s="188"/>
      <c r="H23" s="189"/>
      <c r="I23" s="189"/>
      <c r="J23" s="189"/>
      <c r="K23" s="190"/>
      <c r="L23" s="190"/>
      <c r="M23" s="189" t="s">
        <v>337</v>
      </c>
      <c r="N23" s="188" t="s">
        <v>338</v>
      </c>
      <c r="O23" s="188" t="s">
        <v>341</v>
      </c>
      <c r="P23" s="189"/>
      <c r="Q23" s="188" t="s">
        <v>339</v>
      </c>
      <c r="R23" s="188" t="s">
        <v>340</v>
      </c>
      <c r="S23" s="189"/>
    </row>
    <row r="24" spans="1:19" ht="19.95" customHeight="1">
      <c r="A24" s="247" t="s">
        <v>313</v>
      </c>
      <c r="B24" s="248" t="s">
        <v>314</v>
      </c>
      <c r="C24" s="31" t="s">
        <v>187</v>
      </c>
      <c r="D24" s="141" t="s">
        <v>8</v>
      </c>
      <c r="E24" s="141" t="str">
        <f>VLOOKUP(A24,'Tx Design'!A:E, 5,)</f>
        <v>MW_2026_1991</v>
      </c>
      <c r="F24" s="115" t="s">
        <v>99</v>
      </c>
      <c r="G24" s="31" t="s">
        <v>14</v>
      </c>
      <c r="H24" s="76">
        <v>46231</v>
      </c>
      <c r="I24" s="30"/>
      <c r="J24" s="30"/>
      <c r="K24" s="102"/>
      <c r="L24" s="102"/>
      <c r="M24" s="30" t="s">
        <v>354</v>
      </c>
      <c r="N24" s="31" t="s">
        <v>355</v>
      </c>
      <c r="O24" s="31" t="s">
        <v>384</v>
      </c>
      <c r="P24" s="30"/>
      <c r="Q24" s="31" t="s">
        <v>356</v>
      </c>
      <c r="R24" s="31" t="s">
        <v>385</v>
      </c>
      <c r="S24" s="30" t="s">
        <v>88</v>
      </c>
    </row>
    <row r="25" spans="1:19" ht="19.95" customHeight="1">
      <c r="A25" s="21"/>
      <c r="B25" s="21"/>
      <c r="C25" s="23"/>
      <c r="D25" s="112"/>
      <c r="E25" s="112"/>
      <c r="F25" s="112"/>
      <c r="G25" s="23"/>
      <c r="H25" s="36"/>
      <c r="I25" s="36"/>
      <c r="J25" s="36"/>
      <c r="K25" s="113"/>
      <c r="L25" s="113"/>
      <c r="M25" s="36"/>
      <c r="N25" s="23"/>
      <c r="O25" s="23"/>
      <c r="P25" s="36"/>
      <c r="Q25" s="23"/>
      <c r="R25" s="23"/>
      <c r="S25" s="36"/>
    </row>
    <row r="26" spans="1:19" ht="19.95" customHeight="1">
      <c r="A26" s="21"/>
      <c r="B26" s="21"/>
      <c r="C26" s="23"/>
      <c r="D26" s="112"/>
      <c r="E26" s="112"/>
      <c r="F26" s="112"/>
      <c r="G26" s="23"/>
      <c r="H26" s="36"/>
      <c r="I26" s="36"/>
      <c r="J26" s="36"/>
      <c r="K26" s="113"/>
      <c r="L26" s="113"/>
      <c r="M26" s="36"/>
      <c r="N26" s="23"/>
      <c r="O26" s="23"/>
      <c r="P26" s="36"/>
      <c r="Q26" s="23"/>
      <c r="R26" s="23"/>
      <c r="S26" s="36"/>
    </row>
    <row r="27" spans="1:19" ht="19.95" customHeight="1">
      <c r="A27" s="21"/>
      <c r="B27" s="21"/>
      <c r="C27" s="23"/>
      <c r="D27" s="112"/>
      <c r="E27" s="112"/>
      <c r="F27" s="112"/>
      <c r="G27" s="23"/>
      <c r="H27" s="36"/>
      <c r="I27" s="36"/>
      <c r="J27" s="36"/>
      <c r="K27" s="113"/>
      <c r="L27" s="113"/>
      <c r="M27" s="36"/>
      <c r="N27" s="23"/>
      <c r="O27" s="23"/>
      <c r="P27" s="36"/>
      <c r="Q27" s="23"/>
      <c r="R27" s="23"/>
      <c r="S27" s="36"/>
    </row>
    <row r="28" spans="1:19" ht="19.95" customHeight="1">
      <c r="A28" s="21"/>
      <c r="B28" s="21"/>
      <c r="C28" s="23"/>
      <c r="D28" s="112"/>
      <c r="E28" s="112"/>
      <c r="F28" s="112"/>
      <c r="G28" s="23"/>
      <c r="H28" s="36"/>
      <c r="I28" s="36"/>
      <c r="J28" s="36"/>
      <c r="K28" s="113"/>
      <c r="L28" s="113"/>
      <c r="M28" s="36"/>
      <c r="N28" s="23"/>
      <c r="O28" s="23"/>
      <c r="P28" s="36"/>
      <c r="Q28" s="23"/>
      <c r="R28" s="23"/>
      <c r="S28" s="36"/>
    </row>
    <row r="29" spans="1:19" ht="19.95" customHeight="1">
      <c r="A29" s="21"/>
      <c r="B29" s="21"/>
      <c r="C29" s="23"/>
      <c r="D29" s="112"/>
      <c r="E29" s="112"/>
      <c r="F29" s="112"/>
      <c r="G29" s="23"/>
      <c r="H29" s="36"/>
      <c r="I29" s="36"/>
      <c r="J29" s="36"/>
      <c r="K29" s="113"/>
      <c r="L29" s="113"/>
      <c r="M29" s="36"/>
      <c r="N29" s="23"/>
      <c r="O29" s="23"/>
      <c r="P29" s="36"/>
      <c r="Q29" s="23"/>
      <c r="R29" s="23"/>
      <c r="S29" s="36"/>
    </row>
    <row r="30" spans="1:19" ht="19.95" customHeight="1">
      <c r="A30" s="21"/>
      <c r="B30" s="21"/>
      <c r="C30" s="23"/>
      <c r="D30" s="112"/>
      <c r="E30" s="112"/>
      <c r="F30" s="112"/>
      <c r="G30" s="23"/>
      <c r="H30" s="36"/>
      <c r="I30" s="36"/>
      <c r="J30" s="36"/>
      <c r="K30" s="113"/>
      <c r="L30" s="113"/>
      <c r="M30" s="36"/>
      <c r="N30" s="23"/>
      <c r="O30" s="23"/>
      <c r="P30" s="36"/>
      <c r="Q30" s="23"/>
      <c r="R30" s="23"/>
      <c r="S30" s="36"/>
    </row>
    <row r="31" spans="1:19" ht="19.95" customHeight="1">
      <c r="A31" s="21"/>
      <c r="B31" s="21"/>
      <c r="C31" s="23"/>
      <c r="D31" s="112"/>
      <c r="E31" s="112"/>
      <c r="F31" s="112"/>
      <c r="G31" s="23"/>
      <c r="H31" s="36"/>
      <c r="I31" s="36"/>
      <c r="J31" s="36"/>
      <c r="K31" s="113"/>
      <c r="L31" s="113"/>
      <c r="M31" s="36"/>
      <c r="N31" s="23"/>
      <c r="O31" s="23"/>
      <c r="P31" s="36"/>
      <c r="Q31" s="23"/>
      <c r="R31" s="23"/>
      <c r="S31" s="36"/>
    </row>
    <row r="32" spans="1:19" ht="19.95" customHeight="1">
      <c r="A32" s="21"/>
      <c r="B32" s="21"/>
      <c r="C32" s="23"/>
      <c r="D32" s="112"/>
      <c r="E32" s="112"/>
      <c r="F32" s="112"/>
      <c r="G32" s="23"/>
      <c r="H32" s="36"/>
      <c r="I32" s="36"/>
      <c r="J32" s="36"/>
      <c r="K32" s="113"/>
      <c r="L32" s="113"/>
      <c r="M32" s="36"/>
      <c r="N32" s="23"/>
      <c r="O32" s="23"/>
      <c r="P32" s="36"/>
      <c r="Q32" s="23"/>
      <c r="R32" s="23"/>
      <c r="S32" s="36"/>
    </row>
    <row r="33" spans="1:19" ht="19.95" customHeight="1">
      <c r="A33" s="21"/>
      <c r="B33" s="21"/>
      <c r="C33" s="23"/>
      <c r="D33" s="112"/>
      <c r="E33" s="112"/>
      <c r="F33" s="112"/>
      <c r="G33" s="23"/>
      <c r="H33" s="36"/>
      <c r="I33" s="36"/>
      <c r="J33" s="36"/>
      <c r="K33" s="113"/>
      <c r="L33" s="113"/>
      <c r="M33" s="36"/>
      <c r="N33" s="23"/>
      <c r="O33" s="23"/>
      <c r="P33" s="36"/>
      <c r="Q33" s="23"/>
      <c r="R33" s="23"/>
      <c r="S33" s="36"/>
    </row>
    <row r="34" spans="1:19" ht="19.95" customHeight="1">
      <c r="A34" s="21"/>
      <c r="B34" s="21"/>
      <c r="C34" s="23"/>
      <c r="D34" s="112"/>
      <c r="E34" s="112"/>
      <c r="F34" s="112"/>
      <c r="G34" s="23"/>
      <c r="H34" s="36"/>
      <c r="I34" s="36"/>
      <c r="J34" s="36"/>
      <c r="K34" s="113"/>
      <c r="L34" s="113"/>
      <c r="M34" s="36"/>
      <c r="N34" s="23"/>
      <c r="O34" s="23"/>
      <c r="P34" s="36"/>
      <c r="Q34" s="23"/>
      <c r="R34" s="23"/>
      <c r="S34" s="36"/>
    </row>
    <row r="35" spans="1:19" ht="19.95" customHeight="1">
      <c r="A35" s="21"/>
      <c r="B35" s="21"/>
      <c r="C35" s="23"/>
      <c r="D35" s="112"/>
      <c r="E35" s="112"/>
      <c r="F35" s="112"/>
      <c r="G35" s="23"/>
      <c r="H35" s="36"/>
      <c r="I35" s="36"/>
      <c r="J35" s="36"/>
      <c r="K35" s="113"/>
      <c r="L35" s="113"/>
      <c r="M35" s="36"/>
      <c r="N35" s="23"/>
      <c r="O35" s="23"/>
      <c r="P35" s="36"/>
      <c r="Q35" s="23"/>
      <c r="R35" s="23"/>
      <c r="S35" s="36"/>
    </row>
    <row r="36" spans="1:19" ht="19.95" customHeight="1">
      <c r="A36" s="21"/>
      <c r="B36" s="21"/>
      <c r="C36" s="23"/>
      <c r="D36" s="112"/>
      <c r="E36" s="112"/>
      <c r="F36" s="112"/>
      <c r="G36" s="23"/>
      <c r="H36" s="36"/>
      <c r="I36" s="36"/>
      <c r="J36" s="36"/>
      <c r="K36" s="113"/>
      <c r="L36" s="113"/>
      <c r="M36" s="36"/>
      <c r="N36" s="23"/>
      <c r="O36" s="23"/>
      <c r="P36" s="36"/>
      <c r="Q36" s="23"/>
      <c r="R36" s="23"/>
      <c r="S36" s="36"/>
    </row>
    <row r="37" spans="1:19" ht="19.95" customHeight="1">
      <c r="A37" s="21"/>
      <c r="B37" s="21"/>
      <c r="C37" s="23"/>
      <c r="D37" s="112"/>
      <c r="E37" s="112"/>
      <c r="F37" s="112"/>
      <c r="G37" s="23"/>
      <c r="H37" s="36"/>
      <c r="I37" s="36"/>
      <c r="J37" s="36"/>
      <c r="K37" s="113"/>
      <c r="L37" s="113"/>
      <c r="M37" s="36"/>
      <c r="N37" s="23"/>
      <c r="O37" s="23"/>
      <c r="P37" s="36"/>
      <c r="Q37" s="23"/>
      <c r="R37" s="23"/>
      <c r="S37" s="36"/>
    </row>
    <row r="38" spans="1:19" ht="19.95" customHeight="1">
      <c r="A38" s="21"/>
      <c r="B38" s="21"/>
      <c r="C38" s="23"/>
      <c r="D38" s="112"/>
      <c r="E38" s="112"/>
      <c r="F38" s="112"/>
      <c r="G38" s="23"/>
      <c r="H38" s="36"/>
      <c r="I38" s="36"/>
      <c r="J38" s="36"/>
      <c r="K38" s="113"/>
      <c r="L38" s="113"/>
      <c r="M38" s="36"/>
      <c r="N38" s="23"/>
      <c r="O38" s="23"/>
      <c r="P38" s="36"/>
      <c r="Q38" s="23"/>
      <c r="R38" s="23"/>
      <c r="S38" s="36"/>
    </row>
    <row r="39" spans="1:19" ht="19.95" customHeight="1">
      <c r="A39" s="21"/>
      <c r="B39" s="21"/>
      <c r="C39" s="23"/>
      <c r="D39" s="112"/>
      <c r="E39" s="112"/>
      <c r="F39" s="112"/>
      <c r="G39" s="23"/>
      <c r="H39" s="36"/>
      <c r="I39" s="36"/>
      <c r="J39" s="36"/>
      <c r="K39" s="113"/>
      <c r="L39" s="113"/>
      <c r="M39" s="36"/>
      <c r="N39" s="23"/>
      <c r="O39" s="23"/>
      <c r="P39" s="36"/>
      <c r="Q39" s="23"/>
      <c r="R39" s="23"/>
      <c r="S39" s="36"/>
    </row>
    <row r="40" spans="1:19" ht="19.95" customHeight="1">
      <c r="A40" s="21"/>
      <c r="B40" s="21"/>
      <c r="C40" s="23"/>
      <c r="D40" s="112"/>
      <c r="E40" s="112"/>
      <c r="F40" s="112"/>
      <c r="G40" s="23"/>
      <c r="H40" s="36"/>
      <c r="I40" s="36"/>
      <c r="J40" s="36"/>
      <c r="K40" s="113"/>
      <c r="L40" s="113"/>
      <c r="M40" s="36"/>
      <c r="N40" s="23"/>
      <c r="O40" s="23"/>
      <c r="P40" s="36"/>
      <c r="Q40" s="23"/>
      <c r="R40" s="23"/>
      <c r="S40" s="36"/>
    </row>
    <row r="41" spans="1:19" ht="19.95" customHeight="1">
      <c r="A41" s="21"/>
      <c r="B41" s="21"/>
      <c r="C41" s="23"/>
      <c r="D41" s="112"/>
      <c r="E41" s="112"/>
      <c r="F41" s="112"/>
      <c r="G41" s="23"/>
      <c r="H41" s="36"/>
      <c r="I41" s="36"/>
      <c r="J41" s="36"/>
      <c r="K41" s="113"/>
      <c r="L41" s="113"/>
      <c r="M41" s="36"/>
      <c r="N41" s="23"/>
      <c r="O41" s="23"/>
      <c r="P41" s="36"/>
      <c r="Q41" s="23"/>
      <c r="R41" s="23"/>
      <c r="S41" s="36"/>
    </row>
    <row r="42" spans="1:19" ht="19.95" customHeight="1">
      <c r="A42" s="21"/>
      <c r="B42" s="21"/>
      <c r="C42" s="23"/>
      <c r="D42" s="112"/>
      <c r="E42" s="112"/>
      <c r="F42" s="112"/>
      <c r="G42" s="23"/>
      <c r="H42" s="36"/>
      <c r="I42" s="36"/>
      <c r="J42" s="36"/>
      <c r="K42" s="113"/>
      <c r="L42" s="113"/>
      <c r="M42" s="36"/>
      <c r="N42" s="23"/>
      <c r="O42" s="23"/>
      <c r="P42" s="36"/>
      <c r="Q42" s="23"/>
      <c r="R42" s="23"/>
      <c r="S42" s="36"/>
    </row>
    <row r="43" spans="1:19" ht="19.95" customHeight="1">
      <c r="A43" s="21"/>
      <c r="B43" s="21"/>
      <c r="C43" s="23"/>
      <c r="D43" s="112"/>
      <c r="E43" s="112"/>
      <c r="F43" s="112"/>
      <c r="G43" s="23"/>
      <c r="H43" s="36"/>
      <c r="I43" s="36"/>
      <c r="J43" s="36"/>
      <c r="K43" s="113"/>
      <c r="L43" s="113"/>
      <c r="M43" s="36"/>
      <c r="N43" s="23"/>
      <c r="O43" s="23"/>
      <c r="P43" s="36"/>
      <c r="Q43" s="23"/>
      <c r="R43" s="23"/>
      <c r="S43" s="36"/>
    </row>
    <row r="44" spans="1:19" ht="19.95" customHeight="1">
      <c r="A44" s="21"/>
      <c r="B44" s="21"/>
      <c r="C44" s="23"/>
      <c r="D44" s="112"/>
      <c r="E44" s="112"/>
      <c r="F44" s="112"/>
      <c r="G44" s="23"/>
      <c r="H44" s="36"/>
      <c r="I44" s="36"/>
      <c r="J44" s="36"/>
      <c r="K44" s="113"/>
      <c r="L44" s="113"/>
      <c r="M44" s="36"/>
      <c r="N44" s="23"/>
      <c r="O44" s="23"/>
      <c r="P44" s="36"/>
      <c r="Q44" s="23"/>
      <c r="R44" s="23"/>
      <c r="S44" s="36"/>
    </row>
    <row r="45" spans="1:19" ht="19.95" customHeight="1">
      <c r="A45" s="21"/>
      <c r="B45" s="21"/>
      <c r="C45" s="23"/>
      <c r="D45" s="112"/>
      <c r="E45" s="112"/>
      <c r="F45" s="112"/>
      <c r="G45" s="23"/>
      <c r="H45" s="36"/>
      <c r="I45" s="36"/>
      <c r="J45" s="36"/>
      <c r="K45" s="113"/>
      <c r="L45" s="113"/>
      <c r="M45" s="36"/>
      <c r="N45" s="23"/>
      <c r="O45" s="23"/>
      <c r="P45" s="36"/>
      <c r="Q45" s="23"/>
      <c r="R45" s="23"/>
      <c r="S45" s="36"/>
    </row>
    <row r="46" spans="1:19" ht="19.95" customHeight="1">
      <c r="A46" s="21"/>
      <c r="B46" s="21"/>
      <c r="C46" s="23"/>
      <c r="D46" s="112"/>
      <c r="E46" s="112"/>
      <c r="F46" s="112"/>
      <c r="G46" s="23"/>
      <c r="H46" s="36"/>
      <c r="I46" s="36"/>
      <c r="J46" s="36"/>
      <c r="K46" s="113"/>
      <c r="L46" s="113"/>
      <c r="M46" s="36"/>
      <c r="N46" s="23"/>
      <c r="O46" s="23"/>
      <c r="P46" s="36"/>
      <c r="Q46" s="23"/>
      <c r="R46" s="23"/>
      <c r="S46" s="36"/>
    </row>
    <row r="47" spans="1:19" ht="19.95" customHeight="1">
      <c r="A47" s="21"/>
      <c r="B47" s="21"/>
      <c r="C47" s="23"/>
      <c r="D47" s="112"/>
      <c r="E47" s="112"/>
      <c r="F47" s="112"/>
      <c r="G47" s="23"/>
      <c r="H47" s="36"/>
      <c r="I47" s="36"/>
      <c r="J47" s="36"/>
      <c r="K47" s="113"/>
      <c r="L47" s="113"/>
      <c r="M47" s="36"/>
      <c r="N47" s="23"/>
      <c r="O47" s="23"/>
      <c r="P47" s="36"/>
      <c r="Q47" s="23"/>
      <c r="R47" s="23"/>
      <c r="S47" s="36"/>
    </row>
    <row r="48" spans="1:19" ht="19.95" customHeight="1">
      <c r="A48" s="21"/>
      <c r="B48" s="21"/>
      <c r="C48" s="23"/>
      <c r="D48" s="112"/>
      <c r="E48" s="112"/>
      <c r="F48" s="112"/>
      <c r="G48" s="23"/>
      <c r="H48" s="36"/>
      <c r="I48" s="36"/>
      <c r="J48" s="36"/>
      <c r="K48" s="113"/>
      <c r="L48" s="113"/>
      <c r="M48" s="36"/>
      <c r="N48" s="23"/>
      <c r="O48" s="23"/>
      <c r="P48" s="36"/>
      <c r="Q48" s="23"/>
      <c r="R48" s="23"/>
      <c r="S48" s="36"/>
    </row>
    <row r="49" spans="1:19" ht="19.95" customHeight="1">
      <c r="A49" s="21"/>
      <c r="B49" s="21"/>
      <c r="C49" s="23"/>
      <c r="D49" s="112"/>
      <c r="E49" s="112"/>
      <c r="F49" s="112"/>
      <c r="G49" s="23"/>
      <c r="H49" s="36"/>
      <c r="I49" s="36"/>
      <c r="J49" s="36"/>
      <c r="K49" s="113"/>
      <c r="L49" s="113"/>
      <c r="M49" s="36"/>
      <c r="N49" s="23"/>
      <c r="O49" s="23"/>
      <c r="P49" s="36"/>
      <c r="Q49" s="23"/>
      <c r="R49" s="23"/>
      <c r="S49" s="36"/>
    </row>
    <row r="50" spans="1:19" ht="19.95" customHeight="1">
      <c r="A50" s="21"/>
      <c r="B50" s="21"/>
      <c r="C50" s="23"/>
      <c r="D50" s="112"/>
      <c r="E50" s="112"/>
      <c r="F50" s="112"/>
      <c r="G50" s="23"/>
      <c r="H50" s="36"/>
      <c r="I50" s="36"/>
      <c r="J50" s="36"/>
      <c r="K50" s="113"/>
      <c r="L50" s="113"/>
      <c r="M50" s="36"/>
      <c r="N50" s="23"/>
      <c r="O50" s="23"/>
      <c r="P50" s="36"/>
      <c r="Q50" s="23"/>
      <c r="R50" s="23"/>
      <c r="S50" s="36"/>
    </row>
    <row r="51" spans="1:19" ht="19.95" customHeight="1">
      <c r="A51" s="109"/>
      <c r="B51" s="109"/>
      <c r="C51" s="109"/>
    </row>
    <row r="52" spans="1:19" ht="19.95" customHeight="1">
      <c r="A52" s="109"/>
      <c r="B52" s="109"/>
      <c r="C52" s="109"/>
    </row>
    <row r="53" spans="1:19" ht="19.95" customHeight="1">
      <c r="A53" s="109"/>
      <c r="B53" s="109"/>
      <c r="C53" s="109"/>
    </row>
    <row r="54" spans="1:19" ht="19.95" customHeight="1">
      <c r="A54" s="109"/>
      <c r="B54" s="109"/>
      <c r="C54" s="109"/>
    </row>
    <row r="55" spans="1:19" ht="19.95" customHeight="1">
      <c r="A55" s="109"/>
      <c r="B55" s="109"/>
      <c r="C55" s="109"/>
    </row>
    <row r="56" spans="1:19" ht="19.95" customHeight="1">
      <c r="A56" s="109"/>
      <c r="B56" s="109"/>
      <c r="C56" s="109"/>
    </row>
    <row r="57" spans="1:19" ht="19.95" customHeight="1">
      <c r="A57" s="109"/>
      <c r="B57" s="109"/>
      <c r="C57" s="109"/>
    </row>
    <row r="58" spans="1:19" ht="19.95" customHeight="1">
      <c r="A58" s="109"/>
      <c r="B58" s="109"/>
      <c r="C58" s="109"/>
    </row>
    <row r="59" spans="1:19" ht="19.95" customHeight="1">
      <c r="A59" s="109"/>
      <c r="B59" s="109"/>
      <c r="C59" s="109"/>
    </row>
    <row r="60" spans="1:19" ht="19.95" customHeight="1">
      <c r="A60" s="109"/>
      <c r="B60" s="109"/>
      <c r="C60" s="109"/>
    </row>
    <row r="61" spans="1:19" ht="19.95" customHeight="1">
      <c r="A61" s="109"/>
      <c r="B61" s="109"/>
      <c r="C61" s="109"/>
    </row>
    <row r="62" spans="1:19" ht="19.95" customHeight="1">
      <c r="A62" s="109"/>
      <c r="B62" s="109"/>
      <c r="C62" s="109"/>
    </row>
    <row r="63" spans="1:19" ht="19.95" customHeight="1"/>
    <row r="64" spans="1:19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  <row r="101" ht="19.95" customHeight="1"/>
    <row r="102" ht="19.95" customHeight="1"/>
    <row r="103" ht="19.95" customHeight="1"/>
    <row r="104" ht="19.95" customHeight="1"/>
    <row r="105" ht="19.95" customHeight="1"/>
    <row r="106" ht="19.95" customHeight="1"/>
    <row r="107" ht="19.95" customHeight="1"/>
    <row r="108" ht="19.95" customHeight="1"/>
    <row r="109" ht="19.95" customHeight="1"/>
    <row r="110" ht="19.95" customHeight="1"/>
    <row r="111" ht="19.95" customHeight="1"/>
    <row r="112" ht="19.95" customHeight="1"/>
    <row r="113" ht="19.95" customHeight="1"/>
    <row r="114" ht="19.95" customHeight="1"/>
    <row r="115" ht="19.95" customHeight="1"/>
    <row r="116" ht="19.95" customHeight="1"/>
    <row r="117" ht="19.95" customHeight="1"/>
    <row r="118" ht="19.95" customHeight="1"/>
    <row r="119" ht="19.95" customHeight="1"/>
    <row r="120" ht="19.95" customHeight="1"/>
    <row r="121" ht="19.95" customHeight="1"/>
    <row r="122" ht="19.95" customHeight="1"/>
    <row r="123" ht="19.95" customHeight="1"/>
    <row r="124" ht="19.95" customHeight="1"/>
    <row r="125" ht="19.95" customHeight="1"/>
    <row r="126" ht="19.95" customHeight="1"/>
    <row r="127" ht="19.95" customHeight="1"/>
    <row r="128" ht="19.95" customHeight="1"/>
    <row r="129" ht="19.95" customHeight="1"/>
    <row r="130" ht="19.95" customHeight="1"/>
    <row r="131" ht="19.95" customHeight="1"/>
  </sheetData>
  <autoFilter ref="A2:S24" xr:uid="{D63AA94B-C4BC-4E1D-9AF1-A221E670E616}"/>
  <mergeCells count="2">
    <mergeCell ref="N1:O1"/>
    <mergeCell ref="Q1:R1"/>
  </mergeCells>
  <phoneticPr fontId="19" type="noConversion"/>
  <conditionalFormatting sqref="A3:A5">
    <cfRule type="duplicateValues" dxfId="104" priority="65"/>
    <cfRule type="duplicateValues" dxfId="103" priority="66"/>
  </conditionalFormatting>
  <conditionalFormatting sqref="A3:A5">
    <cfRule type="duplicateValues" dxfId="102" priority="67"/>
  </conditionalFormatting>
  <conditionalFormatting sqref="A3:A5">
    <cfRule type="duplicateValues" dxfId="101" priority="68"/>
  </conditionalFormatting>
  <conditionalFormatting sqref="A3:A5">
    <cfRule type="duplicateValues" dxfId="100" priority="69"/>
  </conditionalFormatting>
  <conditionalFormatting sqref="A3:A5">
    <cfRule type="duplicateValues" dxfId="99" priority="62"/>
    <cfRule type="duplicateValues" dxfId="98" priority="63"/>
    <cfRule type="duplicateValues" dxfId="97" priority="64"/>
  </conditionalFormatting>
  <conditionalFormatting sqref="A3:A11">
    <cfRule type="duplicateValues" dxfId="96" priority="61"/>
  </conditionalFormatting>
  <conditionalFormatting sqref="A3:A5">
    <cfRule type="duplicateValues" dxfId="95" priority="70"/>
  </conditionalFormatting>
  <conditionalFormatting sqref="A13:A14">
    <cfRule type="duplicateValues" dxfId="94" priority="54"/>
    <cfRule type="duplicateValues" dxfId="93" priority="55"/>
  </conditionalFormatting>
  <conditionalFormatting sqref="A13:A14">
    <cfRule type="duplicateValues" dxfId="92" priority="56"/>
  </conditionalFormatting>
  <conditionalFormatting sqref="A13:A14">
    <cfRule type="duplicateValues" dxfId="91" priority="57"/>
  </conditionalFormatting>
  <conditionalFormatting sqref="A13:A14">
    <cfRule type="duplicateValues" dxfId="90" priority="58"/>
  </conditionalFormatting>
  <conditionalFormatting sqref="A13:A14">
    <cfRule type="duplicateValues" dxfId="89" priority="59"/>
  </conditionalFormatting>
  <conditionalFormatting sqref="A11:A13">
    <cfRule type="duplicateValues" dxfId="88" priority="51"/>
    <cfRule type="duplicateValues" dxfId="87" priority="52"/>
    <cfRule type="duplicateValues" dxfId="86" priority="53"/>
  </conditionalFormatting>
  <conditionalFormatting sqref="A11:A14">
    <cfRule type="duplicateValues" dxfId="85" priority="60"/>
  </conditionalFormatting>
  <conditionalFormatting sqref="A23 A14:A15">
    <cfRule type="duplicateValues" dxfId="84" priority="50"/>
  </conditionalFormatting>
  <conditionalFormatting sqref="A23 A15">
    <cfRule type="duplicateValues" dxfId="83" priority="42"/>
  </conditionalFormatting>
  <conditionalFormatting sqref="A23 A15">
    <cfRule type="duplicateValues" dxfId="82" priority="43"/>
    <cfRule type="duplicateValues" dxfId="81" priority="44"/>
    <cfRule type="duplicateValues" dxfId="80" priority="45"/>
  </conditionalFormatting>
  <conditionalFormatting sqref="B23 B15">
    <cfRule type="duplicateValues" dxfId="79" priority="41"/>
  </conditionalFormatting>
  <conditionalFormatting sqref="A15:A18">
    <cfRule type="duplicateValues" dxfId="78" priority="460"/>
    <cfRule type="duplicateValues" dxfId="77" priority="461"/>
    <cfRule type="duplicateValues" dxfId="76" priority="462"/>
    <cfRule type="duplicateValues" dxfId="75" priority="463"/>
    <cfRule type="duplicateValues" dxfId="74" priority="464"/>
    <cfRule type="duplicateValues" dxfId="73" priority="465"/>
    <cfRule type="duplicateValues" dxfId="72" priority="466"/>
    <cfRule type="duplicateValues" dxfId="71" priority="467"/>
    <cfRule type="duplicateValues" dxfId="70" priority="468"/>
    <cfRule type="duplicateValues" dxfId="69" priority="469"/>
  </conditionalFormatting>
  <conditionalFormatting sqref="A19:B22 A24:B24">
    <cfRule type="duplicateValues" dxfId="68" priority="28"/>
  </conditionalFormatting>
  <conditionalFormatting sqref="A1 A3:A1048576">
    <cfRule type="duplicateValues" dxfId="67" priority="7"/>
  </conditionalFormatting>
  <conditionalFormatting sqref="A51:A1048576">
    <cfRule type="duplicateValues" dxfId="66" priority="4"/>
  </conditionalFormatting>
  <conditionalFormatting sqref="A1:B1 A3:B1048576">
    <cfRule type="duplicateValues" dxfId="65" priority="1"/>
  </conditionalFormatting>
  <conditionalFormatting sqref="A23 A14">
    <cfRule type="duplicateValues" dxfId="64" priority="545"/>
  </conditionalFormatting>
  <conditionalFormatting sqref="A23 A14">
    <cfRule type="duplicateValues" dxfId="63" priority="547"/>
    <cfRule type="duplicateValues" dxfId="62" priority="548"/>
    <cfRule type="duplicateValues" dxfId="61" priority="549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3EF5A-8309-40AA-A910-B36D842E5DEA}">
  <sheetPr codeName="Sheet5"/>
  <dimension ref="A1:I67"/>
  <sheetViews>
    <sheetView zoomScale="70" zoomScaleNormal="70" workbookViewId="0">
      <pane xSplit="6" ySplit="2" topLeftCell="G3" activePane="bottomRight" state="frozen"/>
      <selection activeCell="RR41" sqref="RR41"/>
      <selection pane="topRight" activeCell="RR41" sqref="RR41"/>
      <selection pane="bottomLeft" activeCell="RR41" sqref="RR41"/>
      <selection pane="bottomRight"/>
    </sheetView>
  </sheetViews>
  <sheetFormatPr defaultColWidth="9" defaultRowHeight="14.4"/>
  <cols>
    <col min="1" max="1" width="10.77734375" style="2" customWidth="1"/>
    <col min="2" max="2" width="30.77734375" style="2" customWidth="1"/>
    <col min="3" max="3" width="40.77734375" style="2" customWidth="1"/>
    <col min="4" max="9" width="15.77734375" style="1" customWidth="1"/>
  </cols>
  <sheetData>
    <row r="1" spans="1:9" s="3" customFormat="1" ht="49.8" customHeight="1">
      <c r="A1" s="175" t="s">
        <v>0</v>
      </c>
      <c r="B1" s="175" t="s">
        <v>1</v>
      </c>
      <c r="C1" s="174" t="s">
        <v>118</v>
      </c>
      <c r="D1" s="7" t="s">
        <v>2</v>
      </c>
      <c r="E1" s="175" t="s">
        <v>3</v>
      </c>
      <c r="F1" s="175" t="s">
        <v>4</v>
      </c>
      <c r="G1" s="162" t="s">
        <v>19</v>
      </c>
      <c r="H1" s="162" t="s">
        <v>20</v>
      </c>
      <c r="I1" s="162" t="s">
        <v>245</v>
      </c>
    </row>
    <row r="2" spans="1:9" s="3" customFormat="1" ht="19.95" customHeight="1">
      <c r="A2" s="17">
        <f t="shared" ref="A2:I2" si="0">SUBTOTAL(103, A3:A148)</f>
        <v>31</v>
      </c>
      <c r="B2" s="17">
        <f t="shared" si="0"/>
        <v>31</v>
      </c>
      <c r="C2" s="17">
        <f>SUBTOTAL(103, C3:C148)</f>
        <v>31</v>
      </c>
      <c r="D2" s="17">
        <f t="shared" si="0"/>
        <v>31</v>
      </c>
      <c r="E2" s="17">
        <f t="shared" si="0"/>
        <v>39</v>
      </c>
      <c r="F2" s="17">
        <f t="shared" si="0"/>
        <v>39</v>
      </c>
      <c r="G2" s="17">
        <f t="shared" si="0"/>
        <v>31</v>
      </c>
      <c r="H2" s="17">
        <f t="shared" si="0"/>
        <v>31</v>
      </c>
      <c r="I2" s="17">
        <f t="shared" si="0"/>
        <v>7</v>
      </c>
    </row>
    <row r="3" spans="1:9" s="274" customFormat="1" ht="19.95" customHeight="1">
      <c r="A3" s="272" t="s">
        <v>183</v>
      </c>
      <c r="B3" s="272" t="s">
        <v>191</v>
      </c>
      <c r="C3" s="272" t="s">
        <v>192</v>
      </c>
      <c r="D3" s="273" t="s">
        <v>120</v>
      </c>
      <c r="E3" s="271">
        <f>VLOOKUP(A3,'Full Plan'!A:E,5,)</f>
        <v>0</v>
      </c>
      <c r="F3" s="271" t="str">
        <f>VLOOKUP(A3,'Full Plan'!A:H,8,)</f>
        <v>OFN</v>
      </c>
      <c r="G3" s="281">
        <v>6.0366470000000003</v>
      </c>
      <c r="H3" s="281">
        <v>80.802353999999994</v>
      </c>
      <c r="I3" s="282"/>
    </row>
    <row r="4" spans="1:9" s="274" customFormat="1" ht="19.95" customHeight="1">
      <c r="A4" s="272" t="s">
        <v>184</v>
      </c>
      <c r="B4" s="272" t="s">
        <v>193</v>
      </c>
      <c r="C4" s="272" t="s">
        <v>192</v>
      </c>
      <c r="D4" s="273" t="s">
        <v>137</v>
      </c>
      <c r="E4" s="271">
        <f>VLOOKUP(A4,'Full Plan'!A:E,5,)</f>
        <v>0</v>
      </c>
      <c r="F4" s="271" t="str">
        <f>VLOOKUP(A4,'Full Plan'!A:H,8,)</f>
        <v>OFN</v>
      </c>
      <c r="G4" s="281">
        <v>6.9347190000000003</v>
      </c>
      <c r="H4" s="281">
        <v>81.180803999999995</v>
      </c>
      <c r="I4" s="282"/>
    </row>
    <row r="5" spans="1:9" s="274" customFormat="1" ht="19.95" customHeight="1">
      <c r="A5" s="272" t="s">
        <v>163</v>
      </c>
      <c r="B5" s="272" t="s">
        <v>164</v>
      </c>
      <c r="C5" s="272" t="s">
        <v>185</v>
      </c>
      <c r="D5" s="273" t="s">
        <v>121</v>
      </c>
      <c r="E5" s="271" t="str">
        <f>VLOOKUP(A5,'Full Plan'!A:E,5,)</f>
        <v>Chanaka</v>
      </c>
      <c r="F5" s="271" t="str">
        <f>VLOOKUP(A5,'Full Plan'!A:H,8,)</f>
        <v>MW-HYB</v>
      </c>
      <c r="G5" s="281">
        <v>9.4768559999999997</v>
      </c>
      <c r="H5" s="281">
        <v>80.190871999999999</v>
      </c>
      <c r="I5" s="282" t="s">
        <v>246</v>
      </c>
    </row>
    <row r="6" spans="1:9" s="274" customFormat="1" ht="19.95" customHeight="1">
      <c r="A6" s="272" t="s">
        <v>165</v>
      </c>
      <c r="B6" s="272" t="s">
        <v>166</v>
      </c>
      <c r="C6" s="272" t="s">
        <v>185</v>
      </c>
      <c r="D6" s="273" t="s">
        <v>121</v>
      </c>
      <c r="E6" s="271" t="str">
        <f>VLOOKUP(A6,'Full Plan'!A:E,5,)</f>
        <v>Lucky</v>
      </c>
      <c r="F6" s="271" t="str">
        <f>VLOOKUP(A6,'Full Plan'!A:H,8,)</f>
        <v>MW-HYB</v>
      </c>
      <c r="G6" s="281">
        <v>9.4910460000000008</v>
      </c>
      <c r="H6" s="281">
        <v>80.186674999999994</v>
      </c>
      <c r="I6" s="282" t="s">
        <v>246</v>
      </c>
    </row>
    <row r="7" spans="1:9" s="274" customFormat="1" ht="19.95" customHeight="1">
      <c r="A7" s="272" t="s">
        <v>167</v>
      </c>
      <c r="B7" s="272" t="s">
        <v>168</v>
      </c>
      <c r="C7" s="272" t="s">
        <v>185</v>
      </c>
      <c r="D7" s="273" t="s">
        <v>121</v>
      </c>
      <c r="E7" s="271" t="str">
        <f>VLOOKUP(A7,'Full Plan'!A:E,5,)</f>
        <v>Lucky</v>
      </c>
      <c r="F7" s="271" t="str">
        <f>VLOOKUP(A7,'Full Plan'!A:H,8,)</f>
        <v>MW-HYB</v>
      </c>
      <c r="G7" s="281">
        <v>8.7992709999999992</v>
      </c>
      <c r="H7" s="281">
        <v>79.982692</v>
      </c>
      <c r="I7" s="282" t="s">
        <v>490</v>
      </c>
    </row>
    <row r="8" spans="1:9" s="274" customFormat="1" ht="19.95" customHeight="1">
      <c r="A8" s="272" t="s">
        <v>181</v>
      </c>
      <c r="B8" s="272" t="s">
        <v>189</v>
      </c>
      <c r="C8" s="272" t="s">
        <v>187</v>
      </c>
      <c r="D8" s="273" t="s">
        <v>120</v>
      </c>
      <c r="E8" s="271">
        <f>VLOOKUP(A8,'Full Plan'!A:E,5,)</f>
        <v>0</v>
      </c>
      <c r="F8" s="271" t="str">
        <f>VLOOKUP(A8,'Full Plan'!A:H,8,)</f>
        <v>OFN</v>
      </c>
      <c r="G8" s="281">
        <v>5.9823490000000001</v>
      </c>
      <c r="H8" s="281">
        <v>80.394693000000004</v>
      </c>
      <c r="I8" s="282"/>
    </row>
    <row r="9" spans="1:9" s="274" customFormat="1" ht="19.95" customHeight="1">
      <c r="A9" s="272" t="s">
        <v>182</v>
      </c>
      <c r="B9" s="272" t="s">
        <v>190</v>
      </c>
      <c r="C9" s="272" t="s">
        <v>187</v>
      </c>
      <c r="D9" s="273" t="s">
        <v>121</v>
      </c>
      <c r="E9" s="271" t="str">
        <f>VLOOKUP(A9,'Full Plan'!A:E,5,)</f>
        <v>Chanaka</v>
      </c>
      <c r="F9" s="271" t="str">
        <f>VLOOKUP(A9,'Full Plan'!A:H,8,)</f>
        <v>MW-HYB</v>
      </c>
      <c r="G9" s="281">
        <v>9.2157149999999994</v>
      </c>
      <c r="H9" s="281">
        <v>80.635919999999999</v>
      </c>
      <c r="I9" s="282" t="s">
        <v>246</v>
      </c>
    </row>
    <row r="10" spans="1:9" s="274" customFormat="1" ht="19.95" customHeight="1">
      <c r="A10" s="272" t="s">
        <v>170</v>
      </c>
      <c r="B10" s="272" t="s">
        <v>171</v>
      </c>
      <c r="C10" s="272" t="s">
        <v>187</v>
      </c>
      <c r="D10" s="273" t="s">
        <v>121</v>
      </c>
      <c r="E10" s="271" t="str">
        <f>VLOOKUP(A10,'Full Plan'!A:E,5,)</f>
        <v>Chanaka</v>
      </c>
      <c r="F10" s="271" t="str">
        <f>VLOOKUP(A10,'Full Plan'!A:H,8,)</f>
        <v>WiBAS</v>
      </c>
      <c r="G10" s="281">
        <v>9.429494</v>
      </c>
      <c r="H10" s="281">
        <v>80.570076</v>
      </c>
      <c r="I10" s="282" t="s">
        <v>246</v>
      </c>
    </row>
    <row r="11" spans="1:9" s="274" customFormat="1" ht="19.95" customHeight="1">
      <c r="A11" s="272" t="s">
        <v>179</v>
      </c>
      <c r="B11" s="272" t="s">
        <v>186</v>
      </c>
      <c r="C11" s="272" t="s">
        <v>187</v>
      </c>
      <c r="D11" s="273" t="s">
        <v>121</v>
      </c>
      <c r="E11" s="271">
        <f>VLOOKUP(A11,'Full Plan'!A:E,5,)</f>
        <v>0</v>
      </c>
      <c r="F11" s="271" t="str">
        <f>VLOOKUP(A11,'Full Plan'!A:H,8,)</f>
        <v>MW-HYB</v>
      </c>
      <c r="G11" s="281">
        <v>9.3108229999999992</v>
      </c>
      <c r="H11" s="281">
        <v>80.687815999999998</v>
      </c>
      <c r="I11" s="282"/>
    </row>
    <row r="12" spans="1:9" s="274" customFormat="1" ht="19.95" customHeight="1">
      <c r="A12" s="272" t="s">
        <v>180</v>
      </c>
      <c r="B12" s="272" t="s">
        <v>188</v>
      </c>
      <c r="C12" s="272" t="s">
        <v>187</v>
      </c>
      <c r="D12" s="273" t="s">
        <v>121</v>
      </c>
      <c r="E12" s="271" t="str">
        <f>VLOOKUP(A12,'Full Plan'!A:E,5,)</f>
        <v>Manoj</v>
      </c>
      <c r="F12" s="271" t="str">
        <f>VLOOKUP(A12,'Full Plan'!A:H,8,)</f>
        <v>MW-HYB</v>
      </c>
      <c r="G12" s="281">
        <v>9.2143449999999998</v>
      </c>
      <c r="H12" s="281">
        <v>80.325406999999998</v>
      </c>
      <c r="I12" s="282"/>
    </row>
    <row r="13" spans="1:9" s="274" customFormat="1" ht="19.95" customHeight="1">
      <c r="A13" s="275" t="s">
        <v>207</v>
      </c>
      <c r="B13" s="275" t="s">
        <v>208</v>
      </c>
      <c r="C13" s="276" t="s">
        <v>229</v>
      </c>
      <c r="D13" s="277" t="s">
        <v>6</v>
      </c>
      <c r="E13" s="271">
        <f>VLOOKUP(A13,'Full Plan'!A:E,5,)</f>
        <v>0</v>
      </c>
      <c r="F13" s="271" t="str">
        <f>VLOOKUP(A13,'Full Plan'!A:H,8,)</f>
        <v>OFN</v>
      </c>
      <c r="G13" s="281">
        <v>6.8393110000000004</v>
      </c>
      <c r="H13" s="281">
        <v>79.896311999999995</v>
      </c>
      <c r="I13" s="282"/>
    </row>
    <row r="14" spans="1:9" s="274" customFormat="1" ht="19.95" customHeight="1">
      <c r="A14" s="275" t="s">
        <v>211</v>
      </c>
      <c r="B14" s="275" t="s">
        <v>212</v>
      </c>
      <c r="C14" s="276" t="s">
        <v>229</v>
      </c>
      <c r="D14" s="277" t="s">
        <v>137</v>
      </c>
      <c r="E14" s="271">
        <f>VLOOKUP(A14,'Full Plan'!A:E,5,)</f>
        <v>0</v>
      </c>
      <c r="F14" s="271" t="str">
        <f>VLOOKUP(A14,'Full Plan'!A:H,8,)</f>
        <v>MW-HYB</v>
      </c>
      <c r="G14" s="281">
        <v>7.4878549999999997</v>
      </c>
      <c r="H14" s="281">
        <v>81.692250000000001</v>
      </c>
      <c r="I14" s="282"/>
    </row>
    <row r="15" spans="1:9" s="274" customFormat="1" ht="19.95" customHeight="1">
      <c r="A15" s="275" t="s">
        <v>213</v>
      </c>
      <c r="B15" s="275" t="s">
        <v>214</v>
      </c>
      <c r="C15" s="276" t="s">
        <v>229</v>
      </c>
      <c r="D15" s="277" t="s">
        <v>137</v>
      </c>
      <c r="E15" s="271">
        <f>VLOOKUP(A15,'Full Plan'!A:E,5,)</f>
        <v>0</v>
      </c>
      <c r="F15" s="271" t="str">
        <f>VLOOKUP(A15,'Full Plan'!A:H,8,)</f>
        <v>MW-HYB</v>
      </c>
      <c r="G15" s="281">
        <v>7.4670759999999996</v>
      </c>
      <c r="H15" s="281">
        <v>81.737318000000002</v>
      </c>
      <c r="I15" s="282"/>
    </row>
    <row r="16" spans="1:9" s="274" customFormat="1" ht="19.95" customHeight="1">
      <c r="A16" s="275" t="s">
        <v>215</v>
      </c>
      <c r="B16" s="275" t="s">
        <v>216</v>
      </c>
      <c r="C16" s="276" t="s">
        <v>229</v>
      </c>
      <c r="D16" s="277" t="s">
        <v>137</v>
      </c>
      <c r="E16" s="271">
        <f>VLOOKUP(A16,'Full Plan'!A:E,5,)</f>
        <v>0</v>
      </c>
      <c r="F16" s="271" t="str">
        <f>VLOOKUP(A16,'Full Plan'!A:H,8,)</f>
        <v>WiBAS</v>
      </c>
      <c r="G16" s="281">
        <v>7.6950849999999997</v>
      </c>
      <c r="H16" s="281">
        <v>81.65598</v>
      </c>
      <c r="I16" s="282"/>
    </row>
    <row r="17" spans="1:9" s="274" customFormat="1" ht="19.95" customHeight="1">
      <c r="A17" s="278" t="s">
        <v>217</v>
      </c>
      <c r="B17" s="278" t="s">
        <v>218</v>
      </c>
      <c r="C17" s="276" t="s">
        <v>229</v>
      </c>
      <c r="D17" s="277" t="s">
        <v>121</v>
      </c>
      <c r="E17" s="271" t="str">
        <f>VLOOKUP(A17,'Full Plan'!A:E,5,)</f>
        <v>Chanaka</v>
      </c>
      <c r="F17" s="271" t="str">
        <f>VLOOKUP(A17,'Full Plan'!A:H,8,)</f>
        <v>OFN</v>
      </c>
      <c r="G17" s="281">
        <v>8.7665670000000002</v>
      </c>
      <c r="H17" s="281">
        <v>80.520028999999994</v>
      </c>
      <c r="I17" s="282"/>
    </row>
    <row r="18" spans="1:9" s="274" customFormat="1" ht="19.95" customHeight="1">
      <c r="A18" s="283" t="s">
        <v>219</v>
      </c>
      <c r="B18" s="283" t="s">
        <v>220</v>
      </c>
      <c r="C18" s="276" t="s">
        <v>229</v>
      </c>
      <c r="D18" s="277" t="s">
        <v>6</v>
      </c>
      <c r="E18" s="271">
        <f>VLOOKUP(A18,'Full Plan'!A:E,5,)</f>
        <v>0</v>
      </c>
      <c r="F18" s="271" t="str">
        <f>VLOOKUP(A18,'Full Plan'!A:H,8,)</f>
        <v>OFN</v>
      </c>
      <c r="G18" s="281">
        <v>6.8456849999999996</v>
      </c>
      <c r="H18" s="281">
        <v>79.923226999999997</v>
      </c>
      <c r="I18" s="282"/>
    </row>
    <row r="19" spans="1:9" s="274" customFormat="1" ht="19.95" customHeight="1">
      <c r="A19" s="283" t="s">
        <v>221</v>
      </c>
      <c r="B19" s="283" t="s">
        <v>222</v>
      </c>
      <c r="C19" s="276" t="s">
        <v>229</v>
      </c>
      <c r="D19" s="277" t="s">
        <v>11</v>
      </c>
      <c r="E19" s="271" t="str">
        <f>VLOOKUP(A19,'Full Plan'!A:E,5,)</f>
        <v>Lucky</v>
      </c>
      <c r="F19" s="271" t="str">
        <f>VLOOKUP(A19,'Full Plan'!A:H,8,)</f>
        <v>OFN</v>
      </c>
      <c r="G19" s="281">
        <v>7.4093580000000001</v>
      </c>
      <c r="H19" s="281">
        <v>79.877021999999997</v>
      </c>
      <c r="I19" s="282"/>
    </row>
    <row r="20" spans="1:9" s="274" customFormat="1" ht="19.95" customHeight="1">
      <c r="A20" s="283" t="s">
        <v>223</v>
      </c>
      <c r="B20" s="283" t="s">
        <v>224</v>
      </c>
      <c r="C20" s="276" t="s">
        <v>229</v>
      </c>
      <c r="D20" s="277" t="s">
        <v>120</v>
      </c>
      <c r="E20" s="271">
        <f>VLOOKUP(A20,'Full Plan'!A:E,5,)</f>
        <v>0</v>
      </c>
      <c r="F20" s="271" t="str">
        <f>VLOOKUP(A20,'Full Plan'!A:H,8,)</f>
        <v>MW-HYB</v>
      </c>
      <c r="G20" s="281">
        <v>5.9703020000000002</v>
      </c>
      <c r="H20" s="281">
        <v>80.417091999999997</v>
      </c>
      <c r="I20" s="282"/>
    </row>
    <row r="21" spans="1:9" s="274" customFormat="1" ht="19.95" customHeight="1">
      <c r="A21" s="283" t="s">
        <v>225</v>
      </c>
      <c r="B21" s="283" t="s">
        <v>226</v>
      </c>
      <c r="C21" s="276" t="s">
        <v>229</v>
      </c>
      <c r="D21" s="277" t="s">
        <v>6</v>
      </c>
      <c r="E21" s="271">
        <f>VLOOKUP(A21,'Full Plan'!A:E,5,)</f>
        <v>0</v>
      </c>
      <c r="F21" s="271" t="str">
        <f>VLOOKUP(A21,'Full Plan'!A:H,8,)</f>
        <v>MW-HYB</v>
      </c>
      <c r="G21" s="281">
        <v>6.7838719999999997</v>
      </c>
      <c r="H21" s="281">
        <v>79.912948999999998</v>
      </c>
      <c r="I21" s="282"/>
    </row>
    <row r="22" spans="1:9" s="274" customFormat="1" ht="19.95" customHeight="1">
      <c r="A22" s="276" t="s">
        <v>227</v>
      </c>
      <c r="B22" s="276" t="s">
        <v>228</v>
      </c>
      <c r="C22" s="276" t="s">
        <v>229</v>
      </c>
      <c r="D22" s="277" t="s">
        <v>6</v>
      </c>
      <c r="E22" s="271">
        <f>VLOOKUP(A22,'Full Plan'!A:E,5,)</f>
        <v>0</v>
      </c>
      <c r="F22" s="271" t="str">
        <f>VLOOKUP(A22,'Full Plan'!A:H,8,)</f>
        <v>MW-HYB</v>
      </c>
      <c r="G22" s="281">
        <v>6.8464520000000002</v>
      </c>
      <c r="H22" s="281">
        <v>80.126818999999998</v>
      </c>
      <c r="I22" s="282"/>
    </row>
    <row r="23" spans="1:9" s="274" customFormat="1" ht="19.95" customHeight="1">
      <c r="A23" s="272" t="s">
        <v>209</v>
      </c>
      <c r="B23" s="272" t="s">
        <v>210</v>
      </c>
      <c r="C23" s="276" t="s">
        <v>229</v>
      </c>
      <c r="D23" s="277" t="s">
        <v>6</v>
      </c>
      <c r="E23" s="271">
        <f>VLOOKUP(A23,'Full Plan'!A:E,5,)</f>
        <v>0</v>
      </c>
      <c r="F23" s="271" t="str">
        <f>VLOOKUP(A23,'Full Plan'!A:H,8,)</f>
        <v>OFN</v>
      </c>
      <c r="G23" s="281">
        <v>6.8288960000000003</v>
      </c>
      <c r="H23" s="281">
        <v>79.887692999999999</v>
      </c>
      <c r="I23" s="282"/>
    </row>
    <row r="24" spans="1:9" s="274" customFormat="1" ht="19.95" customHeight="1">
      <c r="A24" s="272" t="s">
        <v>205</v>
      </c>
      <c r="B24" s="272" t="s">
        <v>206</v>
      </c>
      <c r="C24" s="276" t="s">
        <v>187</v>
      </c>
      <c r="D24" s="277" t="s">
        <v>137</v>
      </c>
      <c r="E24" s="271" t="str">
        <f>VLOOKUP(A24,'Full Plan'!A:E,5,)</f>
        <v>Wasantha</v>
      </c>
      <c r="F24" s="271" t="str">
        <f>VLOOKUP(A24,'Full Plan'!A:H,8,)</f>
        <v>WiBAS</v>
      </c>
      <c r="G24" s="281">
        <v>7.7141120000000001</v>
      </c>
      <c r="H24" s="281">
        <v>81.640645000000006</v>
      </c>
      <c r="I24" s="282" t="s">
        <v>346</v>
      </c>
    </row>
    <row r="25" spans="1:9" s="274" customFormat="1" ht="19.95" customHeight="1">
      <c r="A25" s="272" t="s">
        <v>203</v>
      </c>
      <c r="B25" s="272" t="s">
        <v>204</v>
      </c>
      <c r="C25" s="276" t="s">
        <v>187</v>
      </c>
      <c r="D25" s="277" t="s">
        <v>121</v>
      </c>
      <c r="E25" s="271">
        <f>VLOOKUP(A25,'Full Plan'!A:E,5,)</f>
        <v>0</v>
      </c>
      <c r="F25" s="271" t="str">
        <f>VLOOKUP(A25,'Full Plan'!A:H,8,)</f>
        <v>MW-HYB</v>
      </c>
      <c r="G25" s="281">
        <v>9.5956659999999996</v>
      </c>
      <c r="H25" s="281">
        <v>80.324517</v>
      </c>
      <c r="I25" s="282"/>
    </row>
    <row r="26" spans="1:9" s="274" customFormat="1" ht="19.95" customHeight="1">
      <c r="A26" s="272" t="s">
        <v>201</v>
      </c>
      <c r="B26" s="272" t="s">
        <v>202</v>
      </c>
      <c r="C26" s="276" t="s">
        <v>187</v>
      </c>
      <c r="D26" s="277" t="s">
        <v>120</v>
      </c>
      <c r="E26" s="271">
        <f>VLOOKUP(A26,'Full Plan'!A:E,5,)</f>
        <v>0</v>
      </c>
      <c r="F26" s="271" t="str">
        <f>VLOOKUP(A26,'Full Plan'!A:H,8,)</f>
        <v>MW-HYB</v>
      </c>
      <c r="G26" s="281">
        <v>6.4264320000000001</v>
      </c>
      <c r="H26" s="281">
        <v>80.010211999999996</v>
      </c>
      <c r="I26" s="282"/>
    </row>
    <row r="27" spans="1:9" s="274" customFormat="1" ht="19.95" customHeight="1">
      <c r="A27" s="284" t="s">
        <v>305</v>
      </c>
      <c r="B27" s="285" t="s">
        <v>306</v>
      </c>
      <c r="C27" s="276" t="s">
        <v>187</v>
      </c>
      <c r="D27" s="277" t="s">
        <v>11</v>
      </c>
      <c r="E27" s="271">
        <f>VLOOKUP(A27,'Full Plan'!A:E,5,)</f>
        <v>0</v>
      </c>
      <c r="F27" s="271" t="str">
        <f>VLOOKUP(A27,'Full Plan'!A:H,8,)</f>
        <v>MW-HYB</v>
      </c>
      <c r="G27" s="281">
        <v>7.5299019999999999</v>
      </c>
      <c r="H27" s="281">
        <v>79.985663000000002</v>
      </c>
      <c r="I27" s="282"/>
    </row>
    <row r="28" spans="1:9" s="274" customFormat="1" ht="19.95" customHeight="1">
      <c r="A28" s="284" t="s">
        <v>307</v>
      </c>
      <c r="B28" s="285" t="s">
        <v>308</v>
      </c>
      <c r="C28" s="276" t="s">
        <v>187</v>
      </c>
      <c r="D28" s="277" t="s">
        <v>11</v>
      </c>
      <c r="E28" s="271">
        <f>VLOOKUP(A28,'Full Plan'!A:E,5,)</f>
        <v>0</v>
      </c>
      <c r="F28" s="271" t="str">
        <f>VLOOKUP(A28,'Full Plan'!A:H,8,)</f>
        <v>OFN</v>
      </c>
      <c r="G28" s="281">
        <v>7.3919280000000001</v>
      </c>
      <c r="H28" s="281">
        <v>79.831542999999996</v>
      </c>
      <c r="I28" s="282"/>
    </row>
    <row r="29" spans="1:9" s="274" customFormat="1" ht="19.95" customHeight="1">
      <c r="A29" s="284" t="s">
        <v>309</v>
      </c>
      <c r="B29" s="285" t="s">
        <v>310</v>
      </c>
      <c r="C29" s="276" t="s">
        <v>187</v>
      </c>
      <c r="D29" s="277" t="s">
        <v>121</v>
      </c>
      <c r="E29" s="271">
        <f>VLOOKUP(A29,'Full Plan'!A:E,5,)</f>
        <v>0</v>
      </c>
      <c r="F29" s="271" t="str">
        <f>VLOOKUP(A29,'Full Plan'!A:H,8,)</f>
        <v>WiBAS</v>
      </c>
      <c r="G29" s="281">
        <v>9.7711269999999999</v>
      </c>
      <c r="H29" s="281">
        <v>80.274527000000006</v>
      </c>
      <c r="I29" s="282"/>
    </row>
    <row r="30" spans="1:9" s="274" customFormat="1" ht="19.95" customHeight="1">
      <c r="A30" s="284" t="s">
        <v>311</v>
      </c>
      <c r="B30" s="285" t="s">
        <v>312</v>
      </c>
      <c r="C30" s="276" t="s">
        <v>187</v>
      </c>
      <c r="D30" s="277" t="s">
        <v>121</v>
      </c>
      <c r="E30" s="271">
        <f>VLOOKUP(A30,'Full Plan'!A:E,5,)</f>
        <v>0</v>
      </c>
      <c r="F30" s="271" t="str">
        <f>VLOOKUP(A30,'Full Plan'!A:H,8,)</f>
        <v>MW-HYB</v>
      </c>
      <c r="G30" s="281">
        <v>9.7580969999999994</v>
      </c>
      <c r="H30" s="281">
        <v>80.114461000000006</v>
      </c>
      <c r="I30" s="282"/>
    </row>
    <row r="31" spans="1:9" s="274" customFormat="1" ht="19.95" customHeight="1">
      <c r="A31" s="284" t="s">
        <v>313</v>
      </c>
      <c r="B31" s="285" t="s">
        <v>314</v>
      </c>
      <c r="C31" s="276" t="s">
        <v>187</v>
      </c>
      <c r="D31" s="277" t="s">
        <v>11</v>
      </c>
      <c r="E31" s="271">
        <f>VLOOKUP(A31,'Full Plan'!A:E,5,)</f>
        <v>0</v>
      </c>
      <c r="F31" s="271" t="str">
        <f>VLOOKUP(A31,'Full Plan'!A:H,8,)</f>
        <v>MW-HYB</v>
      </c>
      <c r="G31" s="281">
        <v>7.4617300000000002</v>
      </c>
      <c r="H31" s="281">
        <v>80.464764000000002</v>
      </c>
      <c r="I31" s="282" t="s">
        <v>63</v>
      </c>
    </row>
    <row r="32" spans="1:9" s="274" customFormat="1" ht="19.95" customHeight="1">
      <c r="A32" s="284" t="s">
        <v>316</v>
      </c>
      <c r="B32" s="285" t="s">
        <v>317</v>
      </c>
      <c r="C32" s="276" t="s">
        <v>185</v>
      </c>
      <c r="D32" s="277" t="s">
        <v>120</v>
      </c>
      <c r="E32" s="271">
        <f>VLOOKUP(A32,'Full Plan'!A:E,5,)</f>
        <v>0</v>
      </c>
      <c r="F32" s="271" t="str">
        <f>VLOOKUP(A32,'Full Plan'!A:H,8,)</f>
        <v>OFN</v>
      </c>
      <c r="G32" s="281">
        <v>6.2302549999999997</v>
      </c>
      <c r="H32" s="281">
        <v>80.059961999999999</v>
      </c>
      <c r="I32" s="282"/>
    </row>
    <row r="33" spans="1:9" s="274" customFormat="1" ht="19.95" customHeight="1">
      <c r="A33" s="284" t="s">
        <v>318</v>
      </c>
      <c r="B33" s="285" t="s">
        <v>319</v>
      </c>
      <c r="C33" s="276" t="s">
        <v>187</v>
      </c>
      <c r="D33" s="277" t="s">
        <v>121</v>
      </c>
      <c r="E33" s="271">
        <f>VLOOKUP(A33,'Full Plan'!A:E,5,)</f>
        <v>0</v>
      </c>
      <c r="F33" s="271" t="str">
        <f>VLOOKUP(A33,'Full Plan'!A:H,8,)</f>
        <v>WiBAS</v>
      </c>
      <c r="G33" s="281">
        <v>9.7174639999999997</v>
      </c>
      <c r="H33" s="281">
        <v>79.96002</v>
      </c>
      <c r="I33" s="282"/>
    </row>
    <row r="34" spans="1:9" s="274" customFormat="1" ht="19.95" customHeight="1">
      <c r="A34" s="276"/>
      <c r="B34" s="276"/>
      <c r="C34" s="276"/>
      <c r="D34" s="277"/>
      <c r="E34" s="271" t="e">
        <f>VLOOKUP(A34,'Full Plan'!A:E,5,)</f>
        <v>#N/A</v>
      </c>
      <c r="F34" s="271" t="e">
        <f>VLOOKUP(A34,'Full Plan'!A:H,8,)</f>
        <v>#N/A</v>
      </c>
      <c r="G34" s="281"/>
      <c r="H34" s="281"/>
      <c r="I34" s="282"/>
    </row>
    <row r="35" spans="1:9" s="274" customFormat="1" ht="19.95" customHeight="1">
      <c r="A35" s="276"/>
      <c r="B35" s="276"/>
      <c r="C35" s="276"/>
      <c r="D35" s="277"/>
      <c r="E35" s="271" t="e">
        <f>VLOOKUP(A35,'Full Plan'!A:E,5,)</f>
        <v>#N/A</v>
      </c>
      <c r="F35" s="271" t="e">
        <f>VLOOKUP(A35,'Full Plan'!A:H,8,)</f>
        <v>#N/A</v>
      </c>
      <c r="G35" s="281"/>
      <c r="H35" s="281"/>
      <c r="I35" s="282"/>
    </row>
    <row r="36" spans="1:9" s="274" customFormat="1" ht="19.95" customHeight="1">
      <c r="A36" s="276"/>
      <c r="B36" s="276"/>
      <c r="C36" s="276"/>
      <c r="D36" s="277"/>
      <c r="E36" s="271" t="e">
        <f>VLOOKUP(A36,'Full Plan'!A:E,5,)</f>
        <v>#N/A</v>
      </c>
      <c r="F36" s="271" t="e">
        <f>VLOOKUP(A36,'Full Plan'!A:H,8,)</f>
        <v>#N/A</v>
      </c>
      <c r="G36" s="281"/>
      <c r="H36" s="281"/>
      <c r="I36" s="282"/>
    </row>
    <row r="37" spans="1:9" s="274" customFormat="1" ht="19.95" customHeight="1">
      <c r="A37" s="276"/>
      <c r="B37" s="276"/>
      <c r="C37" s="276"/>
      <c r="D37" s="277"/>
      <c r="E37" s="271" t="e">
        <f>VLOOKUP(A37,'Full Plan'!A:E,5,)</f>
        <v>#N/A</v>
      </c>
      <c r="F37" s="271" t="e">
        <f>VLOOKUP(A37,'Full Plan'!A:H,8,)</f>
        <v>#N/A</v>
      </c>
      <c r="G37" s="281"/>
      <c r="H37" s="281"/>
      <c r="I37" s="282"/>
    </row>
    <row r="38" spans="1:9" s="274" customFormat="1" ht="19.95" customHeight="1">
      <c r="A38" s="276"/>
      <c r="B38" s="276"/>
      <c r="C38" s="276"/>
      <c r="D38" s="277"/>
      <c r="E38" s="271" t="e">
        <f>VLOOKUP(A38,'Full Plan'!A:E,5,)</f>
        <v>#N/A</v>
      </c>
      <c r="F38" s="271" t="e">
        <f>VLOOKUP(A38,'Full Plan'!A:H,8,)</f>
        <v>#N/A</v>
      </c>
      <c r="G38" s="281"/>
      <c r="H38" s="281"/>
      <c r="I38" s="282"/>
    </row>
    <row r="39" spans="1:9" s="274" customFormat="1" ht="19.95" customHeight="1">
      <c r="A39" s="276"/>
      <c r="B39" s="276"/>
      <c r="C39" s="276"/>
      <c r="D39" s="277"/>
      <c r="E39" s="271" t="e">
        <f>VLOOKUP(A39,'Full Plan'!A:E,5,)</f>
        <v>#N/A</v>
      </c>
      <c r="F39" s="271" t="e">
        <f>VLOOKUP(A39,'Full Plan'!A:H,8,)</f>
        <v>#N/A</v>
      </c>
      <c r="G39" s="281"/>
      <c r="H39" s="281"/>
      <c r="I39" s="282"/>
    </row>
    <row r="40" spans="1:9" s="274" customFormat="1" ht="19.95" customHeight="1">
      <c r="A40" s="276"/>
      <c r="B40" s="276"/>
      <c r="C40" s="276"/>
      <c r="D40" s="277"/>
      <c r="E40" s="271" t="e">
        <f>VLOOKUP(A40,'Full Plan'!A:E,5,)</f>
        <v>#N/A</v>
      </c>
      <c r="F40" s="271" t="e">
        <f>VLOOKUP(A40,'Full Plan'!A:H,8,)</f>
        <v>#N/A</v>
      </c>
      <c r="G40" s="281"/>
      <c r="H40" s="281"/>
      <c r="I40" s="282"/>
    </row>
    <row r="41" spans="1:9" s="274" customFormat="1" ht="19.95" customHeight="1">
      <c r="A41" s="276"/>
      <c r="B41" s="276"/>
      <c r="C41" s="276"/>
      <c r="D41" s="277"/>
      <c r="E41" s="271" t="e">
        <f>VLOOKUP(A41,'Full Plan'!A:E,5,)</f>
        <v>#N/A</v>
      </c>
      <c r="F41" s="271" t="e">
        <f>VLOOKUP(A41,'Full Plan'!A:H,8,)</f>
        <v>#N/A</v>
      </c>
      <c r="G41" s="281"/>
      <c r="H41" s="281"/>
      <c r="I41" s="282"/>
    </row>
    <row r="42" spans="1:9" s="274" customFormat="1" ht="19.95" customHeight="1">
      <c r="A42" s="279"/>
      <c r="B42" s="279"/>
      <c r="C42" s="279"/>
      <c r="D42" s="280"/>
      <c r="E42" s="280"/>
      <c r="F42" s="280"/>
      <c r="G42" s="280"/>
      <c r="H42" s="280"/>
      <c r="I42" s="280"/>
    </row>
    <row r="43" spans="1:9" s="274" customFormat="1" ht="19.95" customHeight="1">
      <c r="A43" s="279"/>
      <c r="B43" s="279"/>
      <c r="C43" s="279"/>
      <c r="D43" s="280"/>
      <c r="E43" s="280"/>
      <c r="F43" s="280"/>
      <c r="G43" s="280"/>
      <c r="H43" s="280"/>
      <c r="I43" s="280"/>
    </row>
    <row r="44" spans="1:9" s="274" customFormat="1" ht="19.95" customHeight="1">
      <c r="A44" s="279"/>
      <c r="B44" s="279"/>
      <c r="C44" s="279"/>
      <c r="D44" s="280"/>
      <c r="E44" s="280"/>
      <c r="F44" s="280"/>
      <c r="G44" s="280"/>
      <c r="H44" s="280"/>
      <c r="I44" s="280"/>
    </row>
    <row r="45" spans="1:9" s="274" customFormat="1" ht="19.95" customHeight="1">
      <c r="A45" s="279"/>
      <c r="B45" s="279"/>
      <c r="C45" s="279"/>
      <c r="D45" s="280"/>
      <c r="E45" s="280"/>
      <c r="F45" s="280"/>
      <c r="G45" s="280"/>
      <c r="H45" s="280"/>
      <c r="I45" s="280"/>
    </row>
    <row r="46" spans="1:9" s="274" customFormat="1" ht="19.95" customHeight="1">
      <c r="A46" s="279"/>
      <c r="B46" s="279"/>
      <c r="C46" s="279"/>
      <c r="D46" s="280"/>
      <c r="E46" s="280"/>
      <c r="F46" s="280"/>
      <c r="G46" s="280"/>
      <c r="H46" s="280"/>
      <c r="I46" s="280"/>
    </row>
    <row r="47" spans="1:9" s="274" customFormat="1" ht="19.95" customHeight="1">
      <c r="A47" s="279"/>
      <c r="B47" s="279"/>
      <c r="C47" s="279"/>
      <c r="D47" s="280"/>
      <c r="E47" s="280"/>
      <c r="F47" s="280"/>
      <c r="G47" s="280"/>
      <c r="H47" s="280"/>
      <c r="I47" s="280"/>
    </row>
    <row r="48" spans="1:9" s="274" customFormat="1" ht="19.95" customHeight="1">
      <c r="A48" s="279"/>
      <c r="B48" s="279"/>
      <c r="C48" s="279"/>
      <c r="D48" s="280"/>
      <c r="E48" s="280"/>
      <c r="F48" s="280"/>
      <c r="G48" s="280"/>
      <c r="H48" s="280"/>
      <c r="I48" s="280"/>
    </row>
    <row r="49" spans="1:9" s="274" customFormat="1" ht="19.95" customHeight="1">
      <c r="A49" s="279"/>
      <c r="B49" s="279"/>
      <c r="C49" s="279"/>
      <c r="D49" s="280"/>
      <c r="E49" s="280"/>
      <c r="F49" s="280"/>
      <c r="G49" s="280"/>
      <c r="H49" s="280"/>
      <c r="I49" s="280"/>
    </row>
    <row r="50" spans="1:9" s="274" customFormat="1" ht="19.95" customHeight="1">
      <c r="A50" s="279"/>
      <c r="B50" s="279"/>
      <c r="C50" s="279"/>
      <c r="D50" s="280"/>
      <c r="E50" s="280"/>
      <c r="F50" s="280"/>
      <c r="G50" s="280"/>
      <c r="H50" s="280"/>
      <c r="I50" s="280"/>
    </row>
    <row r="51" spans="1:9" s="274" customFormat="1" ht="19.95" customHeight="1">
      <c r="A51" s="279"/>
      <c r="B51" s="279"/>
      <c r="C51" s="279"/>
      <c r="D51" s="280"/>
      <c r="E51" s="280"/>
      <c r="F51" s="280"/>
      <c r="G51" s="280"/>
      <c r="H51" s="280"/>
      <c r="I51" s="280"/>
    </row>
    <row r="52" spans="1:9" s="274" customFormat="1" ht="19.95" customHeight="1">
      <c r="A52" s="279"/>
      <c r="B52" s="279"/>
      <c r="C52" s="279"/>
      <c r="D52" s="280"/>
      <c r="E52" s="280"/>
      <c r="F52" s="280"/>
      <c r="G52" s="280"/>
      <c r="H52" s="280"/>
      <c r="I52" s="280"/>
    </row>
    <row r="53" spans="1:9" s="274" customFormat="1" ht="19.95" customHeight="1">
      <c r="A53" s="279"/>
      <c r="B53" s="279"/>
      <c r="C53" s="279"/>
      <c r="D53" s="280"/>
      <c r="E53" s="280"/>
      <c r="F53" s="280"/>
      <c r="G53" s="280"/>
      <c r="H53" s="280"/>
      <c r="I53" s="280"/>
    </row>
    <row r="54" spans="1:9" s="274" customFormat="1" ht="19.95" customHeight="1">
      <c r="A54" s="279"/>
      <c r="B54" s="279"/>
      <c r="C54" s="279"/>
      <c r="D54" s="280"/>
      <c r="E54" s="280"/>
      <c r="F54" s="280"/>
      <c r="G54" s="280"/>
      <c r="H54" s="280"/>
      <c r="I54" s="280"/>
    </row>
    <row r="55" spans="1:9" s="274" customFormat="1" ht="19.95" customHeight="1">
      <c r="A55" s="279"/>
      <c r="B55" s="279"/>
      <c r="C55" s="279"/>
      <c r="D55" s="280"/>
      <c r="E55" s="280"/>
      <c r="F55" s="280"/>
      <c r="G55" s="280"/>
      <c r="H55" s="280"/>
      <c r="I55" s="280"/>
    </row>
    <row r="56" spans="1:9" s="274" customFormat="1" ht="19.95" customHeight="1">
      <c r="A56" s="279"/>
      <c r="B56" s="279"/>
      <c r="C56" s="279"/>
      <c r="D56" s="280"/>
      <c r="E56" s="280"/>
      <c r="F56" s="280"/>
      <c r="G56" s="280"/>
      <c r="H56" s="280"/>
      <c r="I56" s="280"/>
    </row>
    <row r="57" spans="1:9" s="274" customFormat="1" ht="19.95" customHeight="1">
      <c r="A57" s="279"/>
      <c r="B57" s="279"/>
      <c r="C57" s="279"/>
      <c r="D57" s="280"/>
      <c r="E57" s="280"/>
      <c r="F57" s="280"/>
      <c r="G57" s="280"/>
      <c r="H57" s="280"/>
      <c r="I57" s="280"/>
    </row>
    <row r="58" spans="1:9" s="274" customFormat="1" ht="19.95" customHeight="1">
      <c r="A58" s="279"/>
      <c r="B58" s="279"/>
      <c r="C58" s="279"/>
      <c r="D58" s="280"/>
      <c r="E58" s="280"/>
      <c r="F58" s="280"/>
      <c r="G58" s="280"/>
      <c r="H58" s="280"/>
      <c r="I58" s="280"/>
    </row>
    <row r="59" spans="1:9" s="274" customFormat="1" ht="19.95" customHeight="1">
      <c r="A59" s="279"/>
      <c r="B59" s="279"/>
      <c r="C59" s="279"/>
      <c r="D59" s="280"/>
      <c r="E59" s="280"/>
      <c r="F59" s="280"/>
      <c r="G59" s="280"/>
      <c r="H59" s="280"/>
      <c r="I59" s="280"/>
    </row>
    <row r="60" spans="1:9" s="274" customFormat="1" ht="19.95" customHeight="1">
      <c r="A60" s="279"/>
      <c r="B60" s="279"/>
      <c r="C60" s="279"/>
      <c r="D60" s="280"/>
      <c r="E60" s="280"/>
      <c r="F60" s="280"/>
      <c r="G60" s="280"/>
      <c r="H60" s="280"/>
      <c r="I60" s="280"/>
    </row>
    <row r="61" spans="1:9" s="274" customFormat="1" ht="19.95" customHeight="1">
      <c r="A61" s="279"/>
      <c r="B61" s="279"/>
      <c r="C61" s="279"/>
      <c r="D61" s="280"/>
      <c r="E61" s="280"/>
      <c r="F61" s="280"/>
      <c r="G61" s="280"/>
      <c r="H61" s="280"/>
      <c r="I61" s="280"/>
    </row>
    <row r="62" spans="1:9" s="274" customFormat="1" ht="19.95" customHeight="1">
      <c r="A62" s="279"/>
      <c r="B62" s="279"/>
      <c r="C62" s="279"/>
      <c r="D62" s="280"/>
      <c r="E62" s="280"/>
      <c r="F62" s="280"/>
      <c r="G62" s="280"/>
      <c r="H62" s="280"/>
      <c r="I62" s="280"/>
    </row>
    <row r="63" spans="1:9" s="274" customFormat="1" ht="19.95" customHeight="1">
      <c r="A63" s="279"/>
      <c r="B63" s="279"/>
      <c r="C63" s="279"/>
      <c r="D63" s="280"/>
      <c r="E63" s="280"/>
      <c r="F63" s="280"/>
      <c r="G63" s="280"/>
      <c r="H63" s="280"/>
      <c r="I63" s="280"/>
    </row>
    <row r="64" spans="1:9" ht="19.95" customHeight="1"/>
    <row r="65" ht="19.95" customHeight="1"/>
    <row r="66" ht="19.95" customHeight="1"/>
    <row r="67" ht="19.95" customHeight="1"/>
  </sheetData>
  <autoFilter ref="A2:I41" xr:uid="{DAD3EF5A-8309-40AA-A910-B36D842E5DEA}"/>
  <phoneticPr fontId="19" type="noConversion"/>
  <conditionalFormatting sqref="A4:A5">
    <cfRule type="duplicateValues" dxfId="60" priority="102"/>
    <cfRule type="duplicateValues" dxfId="59" priority="103"/>
  </conditionalFormatting>
  <conditionalFormatting sqref="A4:A5">
    <cfRule type="duplicateValues" dxfId="58" priority="104"/>
  </conditionalFormatting>
  <conditionalFormatting sqref="A4:A5">
    <cfRule type="duplicateValues" dxfId="57" priority="105"/>
  </conditionalFormatting>
  <conditionalFormatting sqref="A4:A5">
    <cfRule type="duplicateValues" dxfId="56" priority="106"/>
  </conditionalFormatting>
  <conditionalFormatting sqref="A5">
    <cfRule type="duplicateValues" dxfId="55" priority="99"/>
    <cfRule type="duplicateValues" dxfId="54" priority="100"/>
    <cfRule type="duplicateValues" dxfId="53" priority="101"/>
  </conditionalFormatting>
  <conditionalFormatting sqref="A3:A12">
    <cfRule type="duplicateValues" dxfId="52" priority="98"/>
  </conditionalFormatting>
  <conditionalFormatting sqref="A3:A5">
    <cfRule type="duplicateValues" dxfId="51" priority="107"/>
  </conditionalFormatting>
  <conditionalFormatting sqref="A3">
    <cfRule type="duplicateValues" dxfId="50" priority="108"/>
    <cfRule type="duplicateValues" dxfId="49" priority="109"/>
    <cfRule type="duplicateValues" dxfId="48" priority="110"/>
  </conditionalFormatting>
  <conditionalFormatting sqref="A16:A17">
    <cfRule type="duplicateValues" dxfId="47" priority="78"/>
    <cfRule type="duplicateValues" dxfId="46" priority="79"/>
  </conditionalFormatting>
  <conditionalFormatting sqref="A16:A17">
    <cfRule type="duplicateValues" dxfId="45" priority="80"/>
  </conditionalFormatting>
  <conditionalFormatting sqref="A16:A17">
    <cfRule type="duplicateValues" dxfId="44" priority="81"/>
  </conditionalFormatting>
  <conditionalFormatting sqref="A16:A17">
    <cfRule type="duplicateValues" dxfId="43" priority="82"/>
  </conditionalFormatting>
  <conditionalFormatting sqref="A16:A17">
    <cfRule type="duplicateValues" dxfId="42" priority="83"/>
  </conditionalFormatting>
  <conditionalFormatting sqref="A13:A15">
    <cfRule type="duplicateValues" dxfId="41" priority="75"/>
    <cfRule type="duplicateValues" dxfId="40" priority="76"/>
    <cfRule type="duplicateValues" dxfId="39" priority="77"/>
  </conditionalFormatting>
  <conditionalFormatting sqref="A13">
    <cfRule type="duplicateValues" dxfId="38" priority="74"/>
  </conditionalFormatting>
  <conditionalFormatting sqref="A17">
    <cfRule type="duplicateValues" dxfId="37" priority="71"/>
    <cfRule type="duplicateValues" dxfId="36" priority="72"/>
    <cfRule type="duplicateValues" dxfId="35" priority="73"/>
  </conditionalFormatting>
  <conditionalFormatting sqref="A18:A21">
    <cfRule type="duplicateValues" dxfId="34" priority="70"/>
  </conditionalFormatting>
  <conditionalFormatting sqref="A18">
    <cfRule type="duplicateValues" dxfId="33" priority="64"/>
    <cfRule type="duplicateValues" dxfId="32" priority="65"/>
    <cfRule type="duplicateValues" dxfId="31" priority="66"/>
  </conditionalFormatting>
  <conditionalFormatting sqref="A18">
    <cfRule type="duplicateValues" dxfId="30" priority="67"/>
  </conditionalFormatting>
  <conditionalFormatting sqref="A18">
    <cfRule type="duplicateValues" dxfId="29" priority="68"/>
  </conditionalFormatting>
  <conditionalFormatting sqref="A18:A20">
    <cfRule type="duplicateValues" dxfId="28" priority="69"/>
  </conditionalFormatting>
  <conditionalFormatting sqref="A19">
    <cfRule type="duplicateValues" dxfId="27" priority="59"/>
  </conditionalFormatting>
  <conditionalFormatting sqref="A19:A20">
    <cfRule type="duplicateValues" dxfId="26" priority="60"/>
    <cfRule type="duplicateValues" dxfId="25" priority="61"/>
    <cfRule type="duplicateValues" dxfId="24" priority="62"/>
  </conditionalFormatting>
  <conditionalFormatting sqref="A19">
    <cfRule type="duplicateValues" dxfId="23" priority="63"/>
  </conditionalFormatting>
  <conditionalFormatting sqref="A21">
    <cfRule type="duplicateValues" dxfId="22" priority="55"/>
  </conditionalFormatting>
  <conditionalFormatting sqref="A21">
    <cfRule type="duplicateValues" dxfId="21" priority="56"/>
    <cfRule type="duplicateValues" dxfId="20" priority="57"/>
    <cfRule type="duplicateValues" dxfId="19" priority="58"/>
  </conditionalFormatting>
  <conditionalFormatting sqref="B21">
    <cfRule type="duplicateValues" dxfId="18" priority="54"/>
  </conditionalFormatting>
  <conditionalFormatting sqref="A22:A26">
    <cfRule type="duplicateValues" dxfId="17" priority="44"/>
    <cfRule type="duplicateValues" dxfId="16" priority="45"/>
    <cfRule type="duplicateValues" dxfId="15" priority="46"/>
    <cfRule type="duplicateValues" dxfId="14" priority="47"/>
    <cfRule type="duplicateValues" dxfId="13" priority="48"/>
    <cfRule type="duplicateValues" dxfId="12" priority="49"/>
    <cfRule type="duplicateValues" dxfId="11" priority="50"/>
    <cfRule type="duplicateValues" dxfId="10" priority="51"/>
    <cfRule type="duplicateValues" dxfId="9" priority="52"/>
    <cfRule type="duplicateValues" dxfId="8" priority="53"/>
  </conditionalFormatting>
  <conditionalFormatting sqref="A13:A17">
    <cfRule type="duplicateValues" dxfId="7" priority="84"/>
  </conditionalFormatting>
  <conditionalFormatting sqref="A1:A1048576">
    <cfRule type="duplicateValues" dxfId="6" priority="43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7F350-9344-4C73-92AF-18B4EF019901}">
  <sheetPr codeName="Sheet12"/>
  <dimension ref="A1:AE25"/>
  <sheetViews>
    <sheetView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ColWidth="8.88671875" defaultRowHeight="14.4"/>
  <cols>
    <col min="1" max="1" width="10.6640625" style="127" customWidth="1"/>
    <col min="2" max="2" width="26.21875" style="127" bestFit="1" customWidth="1"/>
    <col min="3" max="3" width="9.44140625" style="126" bestFit="1" customWidth="1"/>
    <col min="4" max="6" width="21.21875" style="126" bestFit="1" customWidth="1"/>
    <col min="7" max="14" width="10.77734375" style="126" customWidth="1"/>
    <col min="15" max="15" width="10.6640625" style="126" customWidth="1"/>
    <col min="16" max="19" width="32.6640625" style="126" bestFit="1" customWidth="1"/>
    <col min="20" max="31" width="10.77734375" style="126" customWidth="1"/>
    <col min="32" max="16384" width="8.88671875" style="104"/>
  </cols>
  <sheetData>
    <row r="1" spans="1:31" ht="49.95" customHeight="1">
      <c r="A1" s="270"/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</row>
    <row r="2" spans="1:31" s="206" customFormat="1" ht="40.049999999999997" customHeight="1">
      <c r="A2" s="202" t="s">
        <v>0</v>
      </c>
      <c r="B2" s="202" t="s">
        <v>18</v>
      </c>
      <c r="C2" s="203" t="s">
        <v>386</v>
      </c>
      <c r="D2" s="203" t="s">
        <v>387</v>
      </c>
      <c r="E2" s="203" t="s">
        <v>388</v>
      </c>
      <c r="F2" s="203" t="s">
        <v>389</v>
      </c>
      <c r="G2" s="204" t="s">
        <v>390</v>
      </c>
      <c r="H2" s="204" t="s">
        <v>391</v>
      </c>
      <c r="I2" s="204" t="s">
        <v>392</v>
      </c>
      <c r="J2" s="204" t="s">
        <v>393</v>
      </c>
      <c r="K2" s="19" t="s">
        <v>394</v>
      </c>
      <c r="L2" s="19" t="s">
        <v>395</v>
      </c>
      <c r="M2" s="19" t="s">
        <v>396</v>
      </c>
      <c r="N2" s="19" t="s">
        <v>397</v>
      </c>
      <c r="O2" s="205" t="s">
        <v>177</v>
      </c>
      <c r="P2" s="205" t="s">
        <v>402</v>
      </c>
      <c r="Q2" s="205" t="s">
        <v>403</v>
      </c>
      <c r="R2" s="205" t="s">
        <v>404</v>
      </c>
      <c r="S2" s="205" t="s">
        <v>417</v>
      </c>
      <c r="T2" s="205" t="s">
        <v>405</v>
      </c>
      <c r="U2" s="205" t="s">
        <v>406</v>
      </c>
      <c r="V2" s="205" t="s">
        <v>407</v>
      </c>
      <c r="W2" s="205" t="s">
        <v>408</v>
      </c>
      <c r="X2" s="205" t="s">
        <v>409</v>
      </c>
      <c r="Y2" s="205" t="s">
        <v>410</v>
      </c>
      <c r="Z2" s="205" t="s">
        <v>411</v>
      </c>
      <c r="AA2" s="205" t="s">
        <v>412</v>
      </c>
      <c r="AB2" s="205" t="s">
        <v>413</v>
      </c>
      <c r="AC2" s="205" t="s">
        <v>414</v>
      </c>
      <c r="AD2" s="205" t="s">
        <v>415</v>
      </c>
      <c r="AE2" s="205" t="s">
        <v>416</v>
      </c>
    </row>
    <row r="3" spans="1:31" ht="19.95" customHeight="1">
      <c r="A3" s="17">
        <f>SUBTOTAL(103, A4:A203)</f>
        <v>6</v>
      </c>
      <c r="B3" s="17">
        <f t="shared" ref="B3:V3" si="0">SUBTOTAL(103, B4:B203)</f>
        <v>6</v>
      </c>
      <c r="C3" s="17">
        <f t="shared" si="0"/>
        <v>6</v>
      </c>
      <c r="D3" s="17">
        <f t="shared" si="0"/>
        <v>6</v>
      </c>
      <c r="E3" s="17">
        <f t="shared" si="0"/>
        <v>6</v>
      </c>
      <c r="F3" s="17">
        <f t="shared" si="0"/>
        <v>6</v>
      </c>
      <c r="G3" s="17">
        <f t="shared" si="0"/>
        <v>6</v>
      </c>
      <c r="H3" s="17">
        <f t="shared" si="0"/>
        <v>6</v>
      </c>
      <c r="I3" s="17">
        <f t="shared" si="0"/>
        <v>6</v>
      </c>
      <c r="J3" s="17">
        <f t="shared" si="0"/>
        <v>6</v>
      </c>
      <c r="K3" s="17">
        <f t="shared" si="0"/>
        <v>6</v>
      </c>
      <c r="L3" s="17">
        <f t="shared" si="0"/>
        <v>6</v>
      </c>
      <c r="M3" s="17">
        <f t="shared" si="0"/>
        <v>6</v>
      </c>
      <c r="N3" s="17">
        <f t="shared" si="0"/>
        <v>6</v>
      </c>
      <c r="O3" s="17">
        <f t="shared" si="0"/>
        <v>6</v>
      </c>
      <c r="P3" s="17">
        <f t="shared" si="0"/>
        <v>6</v>
      </c>
      <c r="Q3" s="17">
        <f t="shared" si="0"/>
        <v>6</v>
      </c>
      <c r="R3" s="17">
        <f t="shared" si="0"/>
        <v>6</v>
      </c>
      <c r="S3" s="17">
        <f t="shared" ref="S3" si="1">SUBTOTAL(103, S4:S203)</f>
        <v>6</v>
      </c>
      <c r="T3" s="17">
        <f t="shared" si="0"/>
        <v>5</v>
      </c>
      <c r="U3" s="17">
        <f t="shared" si="0"/>
        <v>5</v>
      </c>
      <c r="V3" s="17">
        <f t="shared" si="0"/>
        <v>5</v>
      </c>
      <c r="W3" s="17">
        <f t="shared" ref="W3:Y3" si="2">SUBTOTAL(103, W4:W203)</f>
        <v>5</v>
      </c>
      <c r="X3" s="17">
        <f t="shared" si="2"/>
        <v>5</v>
      </c>
      <c r="Y3" s="17">
        <f t="shared" si="2"/>
        <v>5</v>
      </c>
      <c r="Z3" s="17">
        <f t="shared" ref="Z3:AB3" si="3">SUBTOTAL(103, Z4:Z203)</f>
        <v>5</v>
      </c>
      <c r="AA3" s="17">
        <f t="shared" si="3"/>
        <v>5</v>
      </c>
      <c r="AB3" s="17">
        <f t="shared" si="3"/>
        <v>5</v>
      </c>
      <c r="AC3" s="17">
        <f t="shared" ref="AC3:AE3" si="4">SUBTOTAL(103, AC4:AC203)</f>
        <v>6</v>
      </c>
      <c r="AD3" s="17">
        <f t="shared" si="4"/>
        <v>6</v>
      </c>
      <c r="AE3" s="17">
        <f t="shared" si="4"/>
        <v>6</v>
      </c>
    </row>
    <row r="4" spans="1:31" s="212" customFormat="1" ht="13.8">
      <c r="A4" s="207" t="s">
        <v>182</v>
      </c>
      <c r="B4" s="207" t="s">
        <v>190</v>
      </c>
      <c r="C4" s="208" t="s">
        <v>398</v>
      </c>
      <c r="D4" s="208" t="s">
        <v>399</v>
      </c>
      <c r="E4" s="208" t="s">
        <v>398</v>
      </c>
      <c r="F4" s="208" t="s">
        <v>400</v>
      </c>
      <c r="G4" s="208" t="s">
        <v>62</v>
      </c>
      <c r="H4" s="208" t="s">
        <v>62</v>
      </c>
      <c r="I4" s="208" t="s">
        <v>62</v>
      </c>
      <c r="J4" s="208" t="s">
        <v>62</v>
      </c>
      <c r="K4" s="208" t="s">
        <v>76</v>
      </c>
      <c r="L4" s="208" t="s">
        <v>76</v>
      </c>
      <c r="M4" s="208" t="s">
        <v>76</v>
      </c>
      <c r="N4" s="208" t="s">
        <v>76</v>
      </c>
      <c r="O4" s="208" t="s">
        <v>162</v>
      </c>
      <c r="P4" s="207" t="s">
        <v>401</v>
      </c>
      <c r="Q4" s="207" t="s">
        <v>401</v>
      </c>
      <c r="R4" s="207" t="s">
        <v>401</v>
      </c>
      <c r="S4" s="207" t="s">
        <v>401</v>
      </c>
      <c r="T4" s="209" t="s">
        <v>161</v>
      </c>
      <c r="U4" s="210" t="s">
        <v>138</v>
      </c>
      <c r="V4" s="211" t="s">
        <v>460</v>
      </c>
      <c r="W4" s="209" t="s">
        <v>158</v>
      </c>
      <c r="X4" s="210" t="s">
        <v>466</v>
      </c>
      <c r="Y4" s="211" t="s">
        <v>460</v>
      </c>
      <c r="Z4" s="209" t="s">
        <v>232</v>
      </c>
      <c r="AA4" s="210" t="s">
        <v>138</v>
      </c>
      <c r="AB4" s="211" t="s">
        <v>460</v>
      </c>
      <c r="AC4" s="209" t="s">
        <v>442</v>
      </c>
      <c r="AD4" s="210" t="s">
        <v>138</v>
      </c>
      <c r="AE4" s="211" t="s">
        <v>460</v>
      </c>
    </row>
    <row r="5" spans="1:31" s="212" customFormat="1" ht="13.8">
      <c r="A5" s="207" t="s">
        <v>170</v>
      </c>
      <c r="B5" s="207" t="s">
        <v>171</v>
      </c>
      <c r="C5" s="208" t="s">
        <v>398</v>
      </c>
      <c r="D5" s="208" t="s">
        <v>398</v>
      </c>
      <c r="E5" s="208" t="s">
        <v>418</v>
      </c>
      <c r="F5" s="208" t="s">
        <v>76</v>
      </c>
      <c r="G5" s="208" t="s">
        <v>62</v>
      </c>
      <c r="H5" s="208" t="s">
        <v>62</v>
      </c>
      <c r="I5" s="208" t="s">
        <v>62</v>
      </c>
      <c r="J5" s="208" t="s">
        <v>76</v>
      </c>
      <c r="K5" s="208" t="s">
        <v>76</v>
      </c>
      <c r="L5" s="208" t="s">
        <v>76</v>
      </c>
      <c r="M5" s="208" t="s">
        <v>76</v>
      </c>
      <c r="N5" s="208" t="s">
        <v>76</v>
      </c>
      <c r="O5" s="208" t="s">
        <v>162</v>
      </c>
      <c r="P5" s="207" t="s">
        <v>401</v>
      </c>
      <c r="Q5" s="207" t="s">
        <v>401</v>
      </c>
      <c r="R5" s="207" t="s">
        <v>401</v>
      </c>
      <c r="S5" s="208" t="s">
        <v>76</v>
      </c>
      <c r="T5" s="209" t="s">
        <v>497</v>
      </c>
      <c r="U5" s="210" t="s">
        <v>138</v>
      </c>
      <c r="V5" s="211" t="s">
        <v>460</v>
      </c>
      <c r="W5" s="209" t="s">
        <v>498</v>
      </c>
      <c r="X5" s="210" t="s">
        <v>138</v>
      </c>
      <c r="Y5" s="211" t="s">
        <v>460</v>
      </c>
      <c r="Z5" s="209" t="s">
        <v>499</v>
      </c>
      <c r="AA5" s="210" t="s">
        <v>138</v>
      </c>
      <c r="AB5" s="211" t="s">
        <v>460</v>
      </c>
      <c r="AC5" s="209" t="s">
        <v>76</v>
      </c>
      <c r="AD5" s="210" t="s">
        <v>76</v>
      </c>
      <c r="AE5" s="211" t="s">
        <v>76</v>
      </c>
    </row>
    <row r="6" spans="1:31" s="212" customFormat="1" ht="13.8">
      <c r="A6" s="158" t="s">
        <v>167</v>
      </c>
      <c r="B6" s="130" t="s">
        <v>168</v>
      </c>
      <c r="C6" s="208" t="s">
        <v>398</v>
      </c>
      <c r="D6" s="208" t="s">
        <v>398</v>
      </c>
      <c r="E6" s="208" t="s">
        <v>418</v>
      </c>
      <c r="F6" s="208" t="s">
        <v>76</v>
      </c>
      <c r="G6" s="208" t="s">
        <v>62</v>
      </c>
      <c r="H6" s="208" t="s">
        <v>62</v>
      </c>
      <c r="I6" s="208" t="s">
        <v>62</v>
      </c>
      <c r="J6" s="208" t="s">
        <v>76</v>
      </c>
      <c r="K6" s="208" t="s">
        <v>76</v>
      </c>
      <c r="L6" s="208" t="s">
        <v>76</v>
      </c>
      <c r="M6" s="208" t="s">
        <v>76</v>
      </c>
      <c r="N6" s="208" t="s">
        <v>76</v>
      </c>
      <c r="O6" s="208" t="s">
        <v>162</v>
      </c>
      <c r="P6" s="207" t="s">
        <v>401</v>
      </c>
      <c r="Q6" s="207" t="s">
        <v>401</v>
      </c>
      <c r="R6" s="207" t="s">
        <v>401</v>
      </c>
      <c r="S6" s="208" t="s">
        <v>76</v>
      </c>
      <c r="T6" s="209" t="s">
        <v>458</v>
      </c>
      <c r="U6" s="210" t="s">
        <v>138</v>
      </c>
      <c r="V6" s="211" t="s">
        <v>460</v>
      </c>
      <c r="W6" s="209" t="s">
        <v>459</v>
      </c>
      <c r="X6" s="210" t="s">
        <v>138</v>
      </c>
      <c r="Y6" s="211" t="s">
        <v>460</v>
      </c>
      <c r="Z6" s="209" t="s">
        <v>442</v>
      </c>
      <c r="AA6" s="210" t="s">
        <v>138</v>
      </c>
      <c r="AB6" s="211" t="s">
        <v>460</v>
      </c>
      <c r="AC6" s="209" t="s">
        <v>76</v>
      </c>
      <c r="AD6" s="210" t="s">
        <v>76</v>
      </c>
      <c r="AE6" s="211" t="s">
        <v>76</v>
      </c>
    </row>
    <row r="7" spans="1:31" s="212" customFormat="1" ht="13.8">
      <c r="A7" s="157" t="s">
        <v>165</v>
      </c>
      <c r="B7" s="21" t="s">
        <v>166</v>
      </c>
      <c r="C7" s="208" t="s">
        <v>398</v>
      </c>
      <c r="D7" s="208" t="s">
        <v>399</v>
      </c>
      <c r="E7" s="208" t="s">
        <v>398</v>
      </c>
      <c r="F7" s="208" t="s">
        <v>400</v>
      </c>
      <c r="G7" s="208" t="s">
        <v>62</v>
      </c>
      <c r="H7" s="208" t="s">
        <v>62</v>
      </c>
      <c r="I7" s="208" t="s">
        <v>62</v>
      </c>
      <c r="J7" s="208" t="s">
        <v>62</v>
      </c>
      <c r="K7" s="208" t="s">
        <v>76</v>
      </c>
      <c r="L7" s="208" t="s">
        <v>76</v>
      </c>
      <c r="M7" s="208" t="s">
        <v>76</v>
      </c>
      <c r="N7" s="208" t="s">
        <v>76</v>
      </c>
      <c r="O7" s="208" t="s">
        <v>162</v>
      </c>
      <c r="P7" s="207" t="s">
        <v>401</v>
      </c>
      <c r="Q7" s="207" t="s">
        <v>401</v>
      </c>
      <c r="R7" s="207" t="s">
        <v>401</v>
      </c>
      <c r="S7" s="207" t="s">
        <v>401</v>
      </c>
      <c r="T7" s="209" t="s">
        <v>500</v>
      </c>
      <c r="U7" s="210" t="s">
        <v>138</v>
      </c>
      <c r="V7" s="211" t="s">
        <v>460</v>
      </c>
      <c r="W7" s="209" t="s">
        <v>501</v>
      </c>
      <c r="X7" s="210" t="s">
        <v>138</v>
      </c>
      <c r="Y7" s="211" t="s">
        <v>460</v>
      </c>
      <c r="Z7" s="209" t="s">
        <v>502</v>
      </c>
      <c r="AA7" s="210" t="s">
        <v>138</v>
      </c>
      <c r="AB7" s="211" t="s">
        <v>460</v>
      </c>
      <c r="AC7" s="209">
        <v>320</v>
      </c>
      <c r="AD7" s="210" t="s">
        <v>138</v>
      </c>
      <c r="AE7" s="211" t="s">
        <v>460</v>
      </c>
    </row>
    <row r="8" spans="1:31" s="212" customFormat="1" ht="13.8">
      <c r="A8" s="157" t="s">
        <v>180</v>
      </c>
      <c r="B8" s="21" t="s">
        <v>188</v>
      </c>
      <c r="C8" s="208" t="s">
        <v>398</v>
      </c>
      <c r="D8" s="208" t="s">
        <v>398</v>
      </c>
      <c r="E8" s="208" t="s">
        <v>418</v>
      </c>
      <c r="F8" s="208" t="s">
        <v>76</v>
      </c>
      <c r="G8" s="208" t="s">
        <v>62</v>
      </c>
      <c r="H8" s="208" t="s">
        <v>62</v>
      </c>
      <c r="I8" s="208" t="s">
        <v>62</v>
      </c>
      <c r="J8" s="208" t="s">
        <v>76</v>
      </c>
      <c r="K8" s="208" t="s">
        <v>76</v>
      </c>
      <c r="L8" s="208" t="s">
        <v>76</v>
      </c>
      <c r="M8" s="208" t="s">
        <v>76</v>
      </c>
      <c r="N8" s="208" t="s">
        <v>76</v>
      </c>
      <c r="O8" s="208" t="s">
        <v>162</v>
      </c>
      <c r="P8" s="207" t="s">
        <v>401</v>
      </c>
      <c r="Q8" s="207" t="s">
        <v>401</v>
      </c>
      <c r="R8" s="207" t="s">
        <v>401</v>
      </c>
      <c r="S8" s="208" t="s">
        <v>76</v>
      </c>
      <c r="T8" s="209"/>
      <c r="U8" s="210"/>
      <c r="V8" s="211"/>
      <c r="W8" s="209"/>
      <c r="X8" s="210"/>
      <c r="Y8" s="211"/>
      <c r="Z8" s="209"/>
      <c r="AA8" s="210"/>
      <c r="AB8" s="211"/>
      <c r="AC8" s="209" t="s">
        <v>76</v>
      </c>
      <c r="AD8" s="210" t="s">
        <v>76</v>
      </c>
      <c r="AE8" s="211" t="s">
        <v>76</v>
      </c>
    </row>
    <row r="9" spans="1:31" s="212" customFormat="1" ht="13.8">
      <c r="A9" s="157" t="s">
        <v>163</v>
      </c>
      <c r="B9" s="21" t="s">
        <v>164</v>
      </c>
      <c r="C9" s="208" t="s">
        <v>398</v>
      </c>
      <c r="D9" s="208" t="s">
        <v>398</v>
      </c>
      <c r="E9" s="208" t="s">
        <v>418</v>
      </c>
      <c r="F9" s="208" t="s">
        <v>76</v>
      </c>
      <c r="G9" s="208" t="s">
        <v>62</v>
      </c>
      <c r="H9" s="208" t="s">
        <v>62</v>
      </c>
      <c r="I9" s="208" t="s">
        <v>62</v>
      </c>
      <c r="J9" s="208" t="s">
        <v>76</v>
      </c>
      <c r="K9" s="208" t="s">
        <v>76</v>
      </c>
      <c r="L9" s="208" t="s">
        <v>76</v>
      </c>
      <c r="M9" s="208" t="s">
        <v>76</v>
      </c>
      <c r="N9" s="208" t="s">
        <v>76</v>
      </c>
      <c r="O9" s="208" t="s">
        <v>162</v>
      </c>
      <c r="P9" s="207" t="s">
        <v>401</v>
      </c>
      <c r="Q9" s="207" t="s">
        <v>401</v>
      </c>
      <c r="R9" s="207" t="s">
        <v>401</v>
      </c>
      <c r="S9" s="208" t="s">
        <v>76</v>
      </c>
      <c r="T9" s="262" t="s">
        <v>158</v>
      </c>
      <c r="U9" s="210" t="s">
        <v>138</v>
      </c>
      <c r="V9" s="211" t="s">
        <v>460</v>
      </c>
      <c r="W9" s="209" t="s">
        <v>503</v>
      </c>
      <c r="X9" s="210" t="s">
        <v>138</v>
      </c>
      <c r="Y9" s="211" t="s">
        <v>460</v>
      </c>
      <c r="Z9" s="209" t="s">
        <v>499</v>
      </c>
      <c r="AA9" s="210" t="s">
        <v>138</v>
      </c>
      <c r="AB9" s="211" t="s">
        <v>460</v>
      </c>
      <c r="AC9" s="209" t="s">
        <v>76</v>
      </c>
      <c r="AD9" s="210" t="s">
        <v>76</v>
      </c>
      <c r="AE9" s="211" t="s">
        <v>76</v>
      </c>
    </row>
    <row r="10" spans="1:31" s="212" customFormat="1" ht="13.8">
      <c r="A10" s="207"/>
      <c r="B10" s="207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9"/>
      <c r="U10" s="210"/>
      <c r="V10" s="211"/>
      <c r="W10" s="209"/>
      <c r="X10" s="210"/>
      <c r="Y10" s="211"/>
      <c r="Z10" s="209"/>
      <c r="AA10" s="210"/>
      <c r="AB10" s="211"/>
      <c r="AC10" s="209"/>
      <c r="AD10" s="210"/>
      <c r="AE10" s="211"/>
    </row>
    <row r="11" spans="1:31" s="212" customFormat="1" ht="13.8">
      <c r="A11" s="207"/>
      <c r="B11" s="207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9"/>
      <c r="U11" s="210"/>
      <c r="V11" s="211"/>
      <c r="W11" s="209"/>
      <c r="X11" s="210"/>
      <c r="Y11" s="211"/>
      <c r="Z11" s="209"/>
      <c r="AA11" s="210"/>
      <c r="AB11" s="211"/>
      <c r="AC11" s="209"/>
      <c r="AD11" s="210"/>
      <c r="AE11" s="211"/>
    </row>
    <row r="12" spans="1:31" s="212" customFormat="1" ht="13.8">
      <c r="A12" s="207"/>
      <c r="B12" s="207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9"/>
      <c r="U12" s="210"/>
      <c r="V12" s="211"/>
      <c r="W12" s="209"/>
      <c r="X12" s="210"/>
      <c r="Y12" s="211"/>
      <c r="Z12" s="209"/>
      <c r="AA12" s="210"/>
      <c r="AB12" s="211"/>
      <c r="AC12" s="209"/>
      <c r="AD12" s="210"/>
      <c r="AE12" s="211"/>
    </row>
    <row r="13" spans="1:31" s="212" customFormat="1" ht="13.8">
      <c r="A13" s="207"/>
      <c r="B13" s="207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8"/>
      <c r="P13" s="208"/>
      <c r="Q13" s="208"/>
      <c r="R13" s="208"/>
      <c r="S13" s="208"/>
      <c r="T13" s="209"/>
      <c r="U13" s="210"/>
      <c r="V13" s="211"/>
      <c r="W13" s="209"/>
      <c r="X13" s="210"/>
      <c r="Y13" s="211"/>
      <c r="Z13" s="209"/>
      <c r="AA13" s="210"/>
      <c r="AB13" s="211"/>
      <c r="AC13" s="209"/>
      <c r="AD13" s="210"/>
      <c r="AE13" s="211"/>
    </row>
    <row r="14" spans="1:31" s="212" customFormat="1" ht="13.8">
      <c r="A14" s="207"/>
      <c r="B14" s="207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9"/>
      <c r="U14" s="210"/>
      <c r="V14" s="211"/>
      <c r="W14" s="209"/>
      <c r="X14" s="210"/>
      <c r="Y14" s="211"/>
      <c r="Z14" s="209"/>
      <c r="AA14" s="210"/>
      <c r="AB14" s="211"/>
      <c r="AC14" s="209"/>
      <c r="AD14" s="210"/>
      <c r="AE14" s="211"/>
    </row>
    <row r="15" spans="1:31" s="212" customFormat="1" ht="13.8">
      <c r="A15" s="37"/>
      <c r="B15" s="37"/>
      <c r="C15" s="213"/>
      <c r="D15" s="213"/>
      <c r="E15" s="213"/>
      <c r="F15" s="213"/>
      <c r="G15" s="213"/>
      <c r="H15" s="213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9"/>
      <c r="U15" s="210"/>
      <c r="V15" s="211"/>
      <c r="W15" s="209"/>
      <c r="X15" s="210"/>
      <c r="Y15" s="211"/>
      <c r="Z15" s="209"/>
      <c r="AA15" s="210"/>
      <c r="AB15" s="211"/>
      <c r="AC15" s="209"/>
      <c r="AD15" s="210"/>
      <c r="AE15" s="211"/>
    </row>
    <row r="16" spans="1:31" s="212" customFormat="1" ht="13.8">
      <c r="A16" s="207"/>
      <c r="B16" s="207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9"/>
      <c r="U16" s="210"/>
      <c r="V16" s="211"/>
      <c r="W16" s="209"/>
      <c r="X16" s="210"/>
      <c r="Y16" s="211"/>
      <c r="Z16" s="209"/>
      <c r="AA16" s="210"/>
      <c r="AB16" s="211"/>
      <c r="AC16" s="209"/>
      <c r="AD16" s="210"/>
      <c r="AE16" s="211"/>
    </row>
    <row r="17" spans="1:31" s="212" customFormat="1" ht="13.8">
      <c r="A17" s="207"/>
      <c r="B17" s="207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9"/>
      <c r="U17" s="210"/>
      <c r="V17" s="211"/>
      <c r="W17" s="209"/>
      <c r="X17" s="210"/>
      <c r="Y17" s="211"/>
      <c r="Z17" s="209"/>
      <c r="AA17" s="210"/>
      <c r="AB17" s="211"/>
      <c r="AC17" s="209"/>
      <c r="AD17" s="210"/>
      <c r="AE17" s="211"/>
    </row>
    <row r="18" spans="1:31" s="212" customFormat="1" ht="13.8">
      <c r="A18" s="207"/>
      <c r="B18" s="207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9"/>
      <c r="U18" s="210"/>
      <c r="V18" s="211"/>
      <c r="W18" s="209"/>
      <c r="X18" s="210"/>
      <c r="Y18" s="211"/>
      <c r="Z18" s="209"/>
      <c r="AA18" s="210"/>
      <c r="AB18" s="211"/>
      <c r="AC18" s="209"/>
      <c r="AD18" s="210"/>
      <c r="AE18" s="211"/>
    </row>
    <row r="19" spans="1:31" s="212" customFormat="1" ht="13.8">
      <c r="A19" s="207"/>
      <c r="B19" s="207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9"/>
      <c r="U19" s="210"/>
      <c r="V19" s="211"/>
      <c r="W19" s="209"/>
      <c r="X19" s="210"/>
      <c r="Y19" s="211"/>
      <c r="Z19" s="209"/>
      <c r="AA19" s="210"/>
      <c r="AB19" s="211"/>
      <c r="AC19" s="209"/>
      <c r="AD19" s="210"/>
      <c r="AE19" s="211"/>
    </row>
    <row r="20" spans="1:31" s="212" customFormat="1" ht="13.8">
      <c r="A20" s="207"/>
      <c r="B20" s="207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9"/>
      <c r="U20" s="210"/>
      <c r="V20" s="211"/>
      <c r="W20" s="209"/>
      <c r="X20" s="210"/>
      <c r="Y20" s="211"/>
      <c r="Z20" s="209"/>
      <c r="AA20" s="210"/>
      <c r="AB20" s="211"/>
      <c r="AC20" s="209"/>
      <c r="AD20" s="210"/>
      <c r="AE20" s="211"/>
    </row>
    <row r="21" spans="1:31" s="212" customFormat="1" ht="13.8">
      <c r="A21" s="207"/>
      <c r="B21" s="207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9"/>
      <c r="U21" s="210"/>
      <c r="V21" s="211"/>
      <c r="W21" s="209"/>
      <c r="X21" s="210"/>
      <c r="Y21" s="211"/>
      <c r="Z21" s="209"/>
      <c r="AA21" s="210"/>
      <c r="AB21" s="211"/>
      <c r="AC21" s="209"/>
      <c r="AD21" s="210"/>
      <c r="AE21" s="211"/>
    </row>
    <row r="22" spans="1:31" s="212" customFormat="1" ht="13.8">
      <c r="A22" s="207"/>
      <c r="B22" s="207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9"/>
      <c r="U22" s="210"/>
      <c r="V22" s="211"/>
      <c r="W22" s="209"/>
      <c r="X22" s="210"/>
      <c r="Y22" s="211"/>
      <c r="Z22" s="209"/>
      <c r="AA22" s="210"/>
      <c r="AB22" s="211"/>
      <c r="AC22" s="209"/>
      <c r="AD22" s="210"/>
      <c r="AE22" s="211"/>
    </row>
    <row r="23" spans="1:31" s="212" customFormat="1" ht="13.8">
      <c r="A23" s="207"/>
      <c r="B23" s="207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9"/>
      <c r="U23" s="210"/>
      <c r="V23" s="211"/>
      <c r="W23" s="209"/>
      <c r="X23" s="210"/>
      <c r="Y23" s="211"/>
      <c r="Z23" s="209"/>
      <c r="AA23" s="210"/>
      <c r="AB23" s="211"/>
      <c r="AC23" s="209"/>
      <c r="AD23" s="210"/>
      <c r="AE23" s="211"/>
    </row>
    <row r="24" spans="1:31" s="212" customFormat="1" ht="13.8">
      <c r="A24" s="207"/>
      <c r="B24" s="207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9"/>
      <c r="U24" s="210"/>
      <c r="V24" s="211"/>
      <c r="W24" s="209"/>
      <c r="X24" s="210"/>
      <c r="Y24" s="211"/>
      <c r="Z24" s="209"/>
      <c r="AA24" s="210"/>
      <c r="AB24" s="211"/>
      <c r="AC24" s="209"/>
      <c r="AD24" s="210"/>
      <c r="AE24" s="211"/>
    </row>
    <row r="25" spans="1:31" s="212" customFormat="1" ht="13.8">
      <c r="A25" s="207"/>
      <c r="B25" s="207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9"/>
      <c r="U25" s="210"/>
      <c r="V25" s="211"/>
      <c r="W25" s="209"/>
      <c r="X25" s="210"/>
      <c r="Y25" s="211"/>
      <c r="Z25" s="209"/>
      <c r="AA25" s="210"/>
      <c r="AB25" s="211"/>
      <c r="AC25" s="209"/>
      <c r="AD25" s="210"/>
      <c r="AE25" s="211"/>
    </row>
  </sheetData>
  <autoFilter ref="A3:AB16" xr:uid="{C3F7F350-9344-4C73-92AF-18B4EF019901}"/>
  <mergeCells count="1">
    <mergeCell ref="A1:AE1"/>
  </mergeCells>
  <phoneticPr fontId="19" type="noConversion"/>
  <conditionalFormatting sqref="A15">
    <cfRule type="duplicateValues" dxfId="5" priority="7"/>
  </conditionalFormatting>
  <conditionalFormatting sqref="B15:H15">
    <cfRule type="duplicateValues" dxfId="4" priority="446"/>
  </conditionalFormatting>
  <conditionalFormatting sqref="A6">
    <cfRule type="duplicateValues" dxfId="3" priority="4"/>
  </conditionalFormatting>
  <conditionalFormatting sqref="A6">
    <cfRule type="duplicateValues" dxfId="2" priority="3"/>
  </conditionalFormatting>
  <conditionalFormatting sqref="A7:A9">
    <cfRule type="duplicateValues" dxfId="1" priority="2"/>
  </conditionalFormatting>
  <conditionalFormatting sqref="A7:A9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6" r:id="rId4" name="Button 4">
              <controlPr defaultSize="0" print="0" autoFill="0" autoPict="0" macro="[0]!Sheet12.GenerateSiteMessage">
                <anchor moveWithCells="1" sizeWithCells="1">
                  <from>
                    <xdr:col>0</xdr:col>
                    <xdr:colOff>60960</xdr:colOff>
                    <xdr:row>0</xdr:row>
                    <xdr:rowOff>60960</xdr:rowOff>
                  </from>
                  <to>
                    <xdr:col>30</xdr:col>
                    <xdr:colOff>708660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Full Plan</vt:lpstr>
      <vt:lpstr>Dependancy</vt:lpstr>
      <vt:lpstr>Temp Sheet</vt:lpstr>
      <vt:lpstr>Tx Design</vt:lpstr>
      <vt:lpstr>MW Removal &amp; Update</vt:lpstr>
      <vt:lpstr>New Site Locations</vt:lpstr>
      <vt:lpstr>AP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yasith wijetunga</dc:creator>
  <cp:lastModifiedBy>Tooway_Sithara</cp:lastModifiedBy>
  <dcterms:created xsi:type="dcterms:W3CDTF">2026-04-09T08:13:00Z</dcterms:created>
  <dcterms:modified xsi:type="dcterms:W3CDTF">2026-07-29T03:29:27Z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14DC4BCE90A04FB19AF963067BCE5585_13</vt:lpwstr>
  </property>
  <property fmtid="{D5CDD505-2E9C-101B-9397-08002B2CF9AE}" pid="3" name="KSOProductBuildVer">
    <vt:lpwstr>1033-12.2.0.23196</vt:lpwstr>
  </property>
</Properties>
</file>