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Tooway Engineers\Projects\Lamp Poles\"/>
    </mc:Choice>
  </mc:AlternateContent>
  <xr:revisionPtr revIDLastSave="0" documentId="13_ncr:1_{C2B319B7-C0D5-42BB-B436-B79FB3EDAB0E}" xr6:coauthVersionLast="47" xr6:coauthVersionMax="47" xr10:uidLastSave="{00000000-0000-0000-0000-000000000000}"/>
  <bookViews>
    <workbookView xWindow="-108" yWindow="-108" windowWidth="23256" windowHeight="12456" tabRatio="616" activeTab="1" xr2:uid="{00000000-000D-0000-FFFF-FFFF00000000}"/>
  </bookViews>
  <sheets>
    <sheet name="Dashboard" sheetId="29" r:id="rId1"/>
    <sheet name="Full Plan" sheetId="6" r:id="rId2"/>
    <sheet name="Tx Design" sheetId="9" r:id="rId3"/>
    <sheet name="MW Removal &amp; Update" sheetId="8" r:id="rId4"/>
    <sheet name="New Site Locations" sheetId="7" r:id="rId5"/>
    <sheet name="AP Data" sheetId="49" r:id="rId6"/>
    <sheet name="BB Removal Update" sheetId="56" r:id="rId7"/>
    <sheet name="CR Update" sheetId="57" r:id="rId8"/>
  </sheets>
  <externalReferences>
    <externalReference r:id="rId9"/>
    <externalReference r:id="rId10"/>
  </externalReferences>
  <definedNames>
    <definedName name="_xlnm._FilterDatabase" localSheetId="5" hidden="1">'AP Data'!$A$3:$AB$50</definedName>
    <definedName name="_xlnm._FilterDatabase" localSheetId="6" hidden="1">'BB Removal Update'!$A$1:$N$13</definedName>
    <definedName name="_xlnm._FilterDatabase" localSheetId="0" hidden="1">Dashboard!#REF!</definedName>
    <definedName name="_xlnm._FilterDatabase" localSheetId="1" hidden="1">'Full Plan'!$A$2:$AU$2</definedName>
    <definedName name="_xlnm._FilterDatabase" localSheetId="3" hidden="1">'MW Removal &amp; Update'!$A$2:$S$24</definedName>
    <definedName name="_xlnm._FilterDatabase" localSheetId="4" hidden="1">'New Site Locations'!$A$2:$I$41</definedName>
    <definedName name="_xlnm._FilterDatabase" localSheetId="2" hidden="1">'Tx Design'!$A$2:$AS$34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57" l="1"/>
  <c r="B2" i="57"/>
  <c r="C2" i="57"/>
  <c r="D2" i="57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AS68" i="9"/>
  <c r="AR68" i="9"/>
  <c r="AQ68" i="9"/>
  <c r="AS67" i="9"/>
  <c r="AR67" i="9"/>
  <c r="AQ67" i="9"/>
  <c r="AS66" i="9"/>
  <c r="AR66" i="9"/>
  <c r="AQ66" i="9"/>
  <c r="AS65" i="9"/>
  <c r="AR65" i="9"/>
  <c r="AQ65" i="9"/>
  <c r="AS64" i="9"/>
  <c r="AR64" i="9"/>
  <c r="AQ64" i="9"/>
  <c r="AS63" i="9"/>
  <c r="AR63" i="9"/>
  <c r="AQ63" i="9"/>
  <c r="AS62" i="9"/>
  <c r="AR62" i="9"/>
  <c r="AQ62" i="9"/>
  <c r="AS61" i="9"/>
  <c r="AR61" i="9"/>
  <c r="AQ61" i="9"/>
  <c r="AS60" i="9"/>
  <c r="AR60" i="9"/>
  <c r="AQ60" i="9"/>
  <c r="AS59" i="9"/>
  <c r="AR59" i="9"/>
  <c r="AQ59" i="9"/>
  <c r="AS58" i="9"/>
  <c r="AR58" i="9"/>
  <c r="AQ58" i="9"/>
  <c r="AS57" i="9"/>
  <c r="AR57" i="9"/>
  <c r="AQ57" i="9"/>
  <c r="AS56" i="9"/>
  <c r="AR56" i="9"/>
  <c r="AQ56" i="9"/>
  <c r="AS55" i="9"/>
  <c r="AR55" i="9"/>
  <c r="AQ55" i="9"/>
  <c r="AS54" i="9"/>
  <c r="AR54" i="9"/>
  <c r="AQ54" i="9"/>
  <c r="AS53" i="9"/>
  <c r="AR53" i="9"/>
  <c r="AQ53" i="9"/>
  <c r="AS52" i="9"/>
  <c r="AR52" i="9"/>
  <c r="AQ52" i="9"/>
  <c r="AS51" i="9"/>
  <c r="AR51" i="9"/>
  <c r="AQ51" i="9"/>
  <c r="AS50" i="9"/>
  <c r="AR50" i="9"/>
  <c r="AQ50" i="9"/>
  <c r="AS49" i="9"/>
  <c r="AR49" i="9"/>
  <c r="AQ49" i="9"/>
  <c r="AS48" i="9"/>
  <c r="AR48" i="9"/>
  <c r="AQ48" i="9"/>
  <c r="AS47" i="9"/>
  <c r="AR47" i="9"/>
  <c r="AQ47" i="9"/>
  <c r="AS46" i="9"/>
  <c r="AR46" i="9"/>
  <c r="AQ46" i="9"/>
  <c r="AS45" i="9"/>
  <c r="AR45" i="9"/>
  <c r="AQ45" i="9"/>
  <c r="AS44" i="9"/>
  <c r="AR44" i="9"/>
  <c r="AQ44" i="9"/>
  <c r="AS43" i="9"/>
  <c r="AR43" i="9"/>
  <c r="AQ43" i="9"/>
  <c r="AS42" i="9"/>
  <c r="AR42" i="9"/>
  <c r="AQ42" i="9"/>
  <c r="AS41" i="9"/>
  <c r="AR41" i="9"/>
  <c r="AQ41" i="9"/>
  <c r="AS40" i="9"/>
  <c r="AR40" i="9"/>
  <c r="AQ40" i="9"/>
  <c r="AS39" i="9"/>
  <c r="AR39" i="9"/>
  <c r="AQ39" i="9"/>
  <c r="AS38" i="9"/>
  <c r="AR38" i="9"/>
  <c r="AQ38" i="9"/>
  <c r="AS37" i="9"/>
  <c r="AR37" i="9"/>
  <c r="AQ37" i="9"/>
  <c r="C2" i="7" l="1"/>
  <c r="W2" i="6" l="1"/>
  <c r="V2" i="6"/>
  <c r="AD2" i="6"/>
  <c r="S3" i="49" l="1"/>
  <c r="AC3" i="49"/>
  <c r="AD3" i="49"/>
  <c r="AE3" i="49"/>
  <c r="Z3" i="49"/>
  <c r="AA3" i="49"/>
  <c r="AB3" i="49"/>
  <c r="W3" i="49"/>
  <c r="X3" i="49"/>
  <c r="Y3" i="49"/>
  <c r="C3" i="49"/>
  <c r="D3" i="49"/>
  <c r="E3" i="49"/>
  <c r="F3" i="49"/>
  <c r="G3" i="49"/>
  <c r="H3" i="49"/>
  <c r="I3" i="49"/>
  <c r="J3" i="49"/>
  <c r="K3" i="49"/>
  <c r="L3" i="49"/>
  <c r="M3" i="49"/>
  <c r="N3" i="49"/>
  <c r="O3" i="49"/>
  <c r="P3" i="49"/>
  <c r="Q3" i="49"/>
  <c r="R3" i="49"/>
  <c r="T3" i="49"/>
  <c r="U3" i="49"/>
  <c r="V3" i="49"/>
  <c r="B3" i="49" l="1"/>
  <c r="A3" i="49"/>
  <c r="I2" i="7"/>
  <c r="H2" i="7"/>
  <c r="G2" i="7"/>
  <c r="D2" i="7"/>
  <c r="B2" i="7"/>
  <c r="A2" i="7"/>
  <c r="S2" i="8"/>
  <c r="R2" i="8"/>
  <c r="Q2" i="8"/>
  <c r="P2" i="8"/>
  <c r="O2" i="8"/>
  <c r="N2" i="8"/>
  <c r="M2" i="8"/>
  <c r="K2" i="8"/>
  <c r="J2" i="8"/>
  <c r="I2" i="8"/>
  <c r="H2" i="8"/>
  <c r="G2" i="8"/>
  <c r="F2" i="8"/>
  <c r="D2" i="8"/>
  <c r="C2" i="8"/>
  <c r="B2" i="8"/>
  <c r="A2" i="8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2" i="9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C2" i="6"/>
  <c r="AB2" i="6"/>
  <c r="AA2" i="6"/>
  <c r="Z2" i="6"/>
  <c r="Y2" i="6"/>
  <c r="X2" i="6"/>
  <c r="U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E44" i="7" l="1"/>
  <c r="F65" i="7"/>
  <c r="F46" i="7"/>
  <c r="F44" i="7"/>
  <c r="F48" i="7"/>
  <c r="F56" i="7"/>
  <c r="F64" i="7"/>
  <c r="E61" i="7"/>
  <c r="F57" i="7"/>
  <c r="E58" i="7"/>
  <c r="F50" i="7"/>
  <c r="F66" i="7"/>
  <c r="E45" i="7"/>
  <c r="E53" i="7"/>
  <c r="E46" i="7"/>
  <c r="E62" i="7"/>
  <c r="F62" i="7"/>
  <c r="F45" i="7"/>
  <c r="F49" i="7"/>
  <c r="F53" i="7"/>
  <c r="E50" i="7"/>
  <c r="E66" i="7"/>
  <c r="F58" i="7"/>
  <c r="E42" i="7"/>
  <c r="F42" i="7"/>
  <c r="E43" i="7"/>
  <c r="E47" i="7"/>
  <c r="E51" i="7"/>
  <c r="E55" i="7"/>
  <c r="E59" i="7"/>
  <c r="E63" i="7"/>
  <c r="F47" i="7"/>
  <c r="F51" i="7"/>
  <c r="F55" i="7"/>
  <c r="F59" i="7"/>
  <c r="F63" i="7"/>
  <c r="E48" i="7"/>
  <c r="E52" i="7"/>
  <c r="E56" i="7"/>
  <c r="E60" i="7"/>
  <c r="E64" i="7"/>
  <c r="F52" i="7"/>
  <c r="F60" i="7"/>
  <c r="E49" i="7"/>
  <c r="E57" i="7"/>
  <c r="E65" i="7"/>
  <c r="F61" i="7"/>
  <c r="E54" i="7"/>
  <c r="F54" i="7"/>
  <c r="F43" i="7"/>
  <c r="F4" i="7"/>
  <c r="F12" i="7"/>
  <c r="F20" i="7"/>
  <c r="F27" i="7"/>
  <c r="F35" i="7"/>
  <c r="E27" i="7"/>
  <c r="E28" i="7"/>
  <c r="E35" i="7"/>
  <c r="F5" i="7"/>
  <c r="F13" i="7"/>
  <c r="F21" i="7"/>
  <c r="F28" i="7"/>
  <c r="F36" i="7"/>
  <c r="E32" i="7"/>
  <c r="E40" i="7"/>
  <c r="F34" i="7"/>
  <c r="F6" i="7"/>
  <c r="F14" i="7"/>
  <c r="F22" i="7"/>
  <c r="F29" i="7"/>
  <c r="F37" i="7"/>
  <c r="E31" i="7"/>
  <c r="E37" i="7"/>
  <c r="E41" i="7"/>
  <c r="F11" i="7"/>
  <c r="E38" i="7"/>
  <c r="F7" i="7"/>
  <c r="F15" i="7"/>
  <c r="F23" i="7"/>
  <c r="F30" i="7"/>
  <c r="F38" i="7"/>
  <c r="E34" i="7"/>
  <c r="F33" i="7"/>
  <c r="F3" i="7"/>
  <c r="F8" i="7"/>
  <c r="F16" i="7"/>
  <c r="F24" i="7"/>
  <c r="F31" i="7"/>
  <c r="F39" i="7"/>
  <c r="E39" i="7"/>
  <c r="E33" i="7"/>
  <c r="F9" i="7"/>
  <c r="F17" i="7"/>
  <c r="F25" i="7"/>
  <c r="F32" i="7"/>
  <c r="F40" i="7"/>
  <c r="E29" i="7"/>
  <c r="E30" i="7"/>
  <c r="E36" i="7"/>
  <c r="F10" i="7"/>
  <c r="F18" i="7"/>
  <c r="F26" i="7"/>
  <c r="F41" i="7"/>
  <c r="F19" i="7"/>
  <c r="E3" i="7"/>
  <c r="E24" i="7"/>
  <c r="E17" i="7"/>
  <c r="E13" i="7"/>
  <c r="E9" i="7"/>
  <c r="E4" i="7"/>
  <c r="E20" i="7"/>
  <c r="E5" i="7"/>
  <c r="E23" i="7"/>
  <c r="E16" i="7"/>
  <c r="E12" i="7"/>
  <c r="E8" i="7"/>
  <c r="E7" i="7"/>
  <c r="E6" i="7"/>
  <c r="E19" i="7"/>
  <c r="E26" i="7"/>
  <c r="E22" i="7"/>
  <c r="E15" i="7"/>
  <c r="E11" i="7"/>
  <c r="E25" i="7"/>
  <c r="E21" i="7"/>
  <c r="E18" i="7"/>
  <c r="E14" i="7"/>
  <c r="E10" i="7"/>
  <c r="T2" i="6" l="1"/>
  <c r="E2" i="7"/>
  <c r="F2" i="7"/>
  <c r="E61" i="8" l="1"/>
  <c r="E53" i="8"/>
  <c r="E45" i="8"/>
  <c r="E60" i="8"/>
  <c r="E52" i="8"/>
  <c r="E44" i="8"/>
  <c r="E59" i="8"/>
  <c r="E51" i="8"/>
  <c r="E43" i="8"/>
  <c r="E58" i="8"/>
  <c r="E50" i="8"/>
  <c r="E42" i="8"/>
  <c r="E40" i="8"/>
  <c r="E57" i="8"/>
  <c r="E49" i="8"/>
  <c r="E41" i="8"/>
  <c r="E56" i="8"/>
  <c r="E48" i="8"/>
  <c r="E55" i="8"/>
  <c r="E47" i="8"/>
  <c r="E54" i="8"/>
  <c r="E46" i="8"/>
  <c r="E2" i="8" l="1"/>
</calcChain>
</file>

<file path=xl/sharedStrings.xml><?xml version="1.0" encoding="utf-8"?>
<sst xmlns="http://schemas.openxmlformats.org/spreadsheetml/2006/main" count="5050" uniqueCount="1270">
  <si>
    <t>Site ID</t>
  </si>
  <si>
    <t xml:space="preserve">Site Name </t>
  </si>
  <si>
    <t>Operation Region</t>
  </si>
  <si>
    <t>Team</t>
  </si>
  <si>
    <t>Tx plan</t>
  </si>
  <si>
    <t>SE</t>
  </si>
  <si>
    <t>Western</t>
  </si>
  <si>
    <t>OFN</t>
  </si>
  <si>
    <t>MW-HYB</t>
  </si>
  <si>
    <t>Chanaka</t>
  </si>
  <si>
    <t>WiBAS</t>
  </si>
  <si>
    <t>Central</t>
  </si>
  <si>
    <t>Lucky</t>
  </si>
  <si>
    <t>Link Removal Status</t>
  </si>
  <si>
    <t>Removed</t>
  </si>
  <si>
    <t>Site Status</t>
  </si>
  <si>
    <t>Remarks</t>
  </si>
  <si>
    <t>On Hold</t>
  </si>
  <si>
    <t>Site Name</t>
  </si>
  <si>
    <t>Lat</t>
  </si>
  <si>
    <t>Long</t>
  </si>
  <si>
    <t>Technology</t>
  </si>
  <si>
    <t>Hop Reference</t>
  </si>
  <si>
    <t>Mapping Near End</t>
  </si>
  <si>
    <t>Mapping Far End</t>
  </si>
  <si>
    <t>Site  ID</t>
  </si>
  <si>
    <t>WO ID</t>
  </si>
  <si>
    <t>Model [Vendor, Product &amp; Model]</t>
  </si>
  <si>
    <t>Link Config</t>
  </si>
  <si>
    <t>Capacity /Mbps</t>
  </si>
  <si>
    <t>Channel Bandwidth / MHz</t>
  </si>
  <si>
    <t>Polarization</t>
  </si>
  <si>
    <t>Hop Distance / km</t>
  </si>
  <si>
    <t>Tx Power/ dBm</t>
  </si>
  <si>
    <t>RSL</t>
  </si>
  <si>
    <t>Near End Site ID</t>
  </si>
  <si>
    <t>Near End Site Name</t>
  </si>
  <si>
    <t>Near End Latitude</t>
  </si>
  <si>
    <t>Near End Longitude</t>
  </si>
  <si>
    <t>Near End Elevation</t>
  </si>
  <si>
    <t>Near End Tx Frequency 1</t>
  </si>
  <si>
    <t>Near End Antenna Diameter / m</t>
  </si>
  <si>
    <t>Near End Azimuth</t>
  </si>
  <si>
    <t>Near End Antenna Height / m</t>
  </si>
  <si>
    <t>Near End NE Name</t>
  </si>
  <si>
    <t>Far End Site ID</t>
  </si>
  <si>
    <t>Far End Site Name</t>
  </si>
  <si>
    <t>Far End Latitude</t>
  </si>
  <si>
    <t>Far End Longitude</t>
  </si>
  <si>
    <t>Far End Elevation</t>
  </si>
  <si>
    <t>Far End Tx Frequency 1</t>
  </si>
  <si>
    <t>Far End Antenna Diameter / m</t>
  </si>
  <si>
    <t>Far End Azimuth</t>
  </si>
  <si>
    <t>Far End Antenna Height / m</t>
  </si>
  <si>
    <t>Far End NE Name</t>
  </si>
  <si>
    <t>Gateway IP</t>
  </si>
  <si>
    <t>DCN IP</t>
  </si>
  <si>
    <t>Backhaul Router</t>
  </si>
  <si>
    <t>Backhaul Port</t>
  </si>
  <si>
    <t>1+0</t>
  </si>
  <si>
    <t>V</t>
  </si>
  <si>
    <t>Huawei</t>
  </si>
  <si>
    <t>RRU5909</t>
  </si>
  <si>
    <t>Kurunegala</t>
  </si>
  <si>
    <t>DAP Officer</t>
  </si>
  <si>
    <t>PAT Confirmation</t>
  </si>
  <si>
    <t>UAT DOC</t>
  </si>
  <si>
    <t>NETECO Confirmation</t>
  </si>
  <si>
    <t>Handover to OMCR</t>
  </si>
  <si>
    <t>Link Acceptance</t>
  </si>
  <si>
    <t>Material Collection Status</t>
  </si>
  <si>
    <t>Site  Name</t>
  </si>
  <si>
    <t>MW Link Size</t>
  </si>
  <si>
    <t>0.6m</t>
  </si>
  <si>
    <t>FTK Vendor</t>
  </si>
  <si>
    <t>Vendor</t>
  </si>
  <si>
    <t>N/A</t>
  </si>
  <si>
    <t>Pending</t>
  </si>
  <si>
    <t>Tx WO</t>
  </si>
  <si>
    <t>Removed MW Location</t>
  </si>
  <si>
    <t>Installation Planned Date</t>
  </si>
  <si>
    <t>Installation End Date</t>
  </si>
  <si>
    <t>Installation Start Date</t>
  </si>
  <si>
    <t>Commissioned Date</t>
  </si>
  <si>
    <t>Site Height (m)</t>
  </si>
  <si>
    <t>GE0/2/4</t>
  </si>
  <si>
    <t>Asanka</t>
  </si>
  <si>
    <t>Ericsson</t>
  </si>
  <si>
    <t>0.3m</t>
  </si>
  <si>
    <t>1.2m</t>
  </si>
  <si>
    <t>Extention Brackets OK</t>
  </si>
  <si>
    <t>Wi-Bas</t>
  </si>
  <si>
    <t>UNIMS</t>
  </si>
  <si>
    <t>Removed Date</t>
  </si>
  <si>
    <t>Received</t>
  </si>
  <si>
    <t>Antenna Bracket Status</t>
  </si>
  <si>
    <t>RRU Bracket Status</t>
  </si>
  <si>
    <t>MW Bracket Status</t>
  </si>
  <si>
    <t>BTS Mounting Pole</t>
  </si>
  <si>
    <t>Inhouse</t>
  </si>
  <si>
    <t>MW Vendor</t>
  </si>
  <si>
    <t>Rectifier Installation Status</t>
  </si>
  <si>
    <t>Commissioning Data Requested</t>
  </si>
  <si>
    <t>Athula</t>
  </si>
  <si>
    <t>License Requested</t>
  </si>
  <si>
    <t>Tx Pending</t>
  </si>
  <si>
    <t>Tx Status</t>
  </si>
  <si>
    <t>MW Link OK</t>
  </si>
  <si>
    <t>On Air Pending</t>
  </si>
  <si>
    <t>ANO</t>
  </si>
  <si>
    <t>Total Sites</t>
  </si>
  <si>
    <t>Other</t>
  </si>
  <si>
    <t>in progress</t>
  </si>
  <si>
    <t>blocked</t>
  </si>
  <si>
    <t>pending mob.</t>
  </si>
  <si>
    <t>tx blocked</t>
  </si>
  <si>
    <t>TOTAL</t>
  </si>
  <si>
    <t>On Air</t>
  </si>
  <si>
    <t>Batch</t>
  </si>
  <si>
    <t>allocated</t>
  </si>
  <si>
    <t>Southern</t>
  </si>
  <si>
    <t>Northern</t>
  </si>
  <si>
    <t>Sudarshan</t>
  </si>
  <si>
    <t>NMS Addition</t>
  </si>
  <si>
    <t>live</t>
  </si>
  <si>
    <t>nearly done</t>
  </si>
  <si>
    <t>comm. soon</t>
  </si>
  <si>
    <t>unclassified</t>
  </si>
  <si>
    <t>CM0234</t>
  </si>
  <si>
    <t>Waga</t>
  </si>
  <si>
    <t>GE0/2/1</t>
  </si>
  <si>
    <t>ODF Port</t>
  </si>
  <si>
    <t>28Mhz</t>
  </si>
  <si>
    <t>🗓 LP SITES DASHBOARD 🗼</t>
  </si>
  <si>
    <t>Team Performance Table</t>
  </si>
  <si>
    <t>Completion %</t>
  </si>
  <si>
    <t>Unassigned</t>
  </si>
  <si>
    <t>Eastern</t>
  </si>
  <si>
    <t>Hop Reference / Link ID</t>
  </si>
  <si>
    <t>UAT Updates</t>
  </si>
  <si>
    <t>Pending Issue</t>
  </si>
  <si>
    <t>ANO Acceptance</t>
  </si>
  <si>
    <t>Janaka</t>
  </si>
  <si>
    <t>Site Status Remarks</t>
  </si>
  <si>
    <t>Amal</t>
  </si>
  <si>
    <t>Sandun</t>
  </si>
  <si>
    <t>Commissioning Pending &amp; Installation Completed</t>
  </si>
  <si>
    <t>Partially Completed &amp; TE WIP</t>
  </si>
  <si>
    <t>On Air Plan Date</t>
  </si>
  <si>
    <t>Tooway Feedback</t>
  </si>
  <si>
    <t>PAT Plan Date</t>
  </si>
  <si>
    <t>PAT Done Date</t>
  </si>
  <si>
    <t>WO</t>
  </si>
  <si>
    <t>On Air &amp; Partially On Air</t>
  </si>
  <si>
    <t>Partially Completed
&amp; 
TE WIP</t>
  </si>
  <si>
    <t>Commissioning Pending
&amp; 
Installation Completed</t>
  </si>
  <si>
    <t>Pre AP Confirmation</t>
  </si>
  <si>
    <t>Post AP Confirmation</t>
  </si>
  <si>
    <t>10 Port</t>
  </si>
  <si>
    <t>KI5029</t>
  </si>
  <si>
    <t>Pallikuda_Lamp</t>
  </si>
  <si>
    <t>KI5032</t>
  </si>
  <si>
    <t>Pallikuda_North_Lamp</t>
  </si>
  <si>
    <t>MA5036</t>
  </si>
  <si>
    <t>Madukkarai_Lamp</t>
  </si>
  <si>
    <t>18G3068</t>
  </si>
  <si>
    <t>KI5034</t>
  </si>
  <si>
    <t>Piramanthanaru_Lamp</t>
  </si>
  <si>
    <t>ACE WH</t>
  </si>
  <si>
    <t>MT0205</t>
  </si>
  <si>
    <t>MT0044</t>
  </si>
  <si>
    <t>JA0042</t>
  </si>
  <si>
    <t>JA0257</t>
  </si>
  <si>
    <t>Antenna Type</t>
  </si>
  <si>
    <t>GE0/2/6</t>
  </si>
  <si>
    <t>MU5039</t>
  </si>
  <si>
    <t>MU5051</t>
  </si>
  <si>
    <t>MR5049</t>
  </si>
  <si>
    <t>MU5054</t>
  </si>
  <si>
    <t>HA5039</t>
  </si>
  <si>
    <t>BD5071</t>
  </si>
  <si>
    <t>2026_MBB_New Sites_Design_Batch_12</t>
  </si>
  <si>
    <t>Venavil_Lamp</t>
  </si>
  <si>
    <t>2026_MBB_New Sites_Design_Batch_13</t>
  </si>
  <si>
    <t>Iyankankulam_Lamp</t>
  </si>
  <si>
    <t>Midigama_Lamp</t>
  </si>
  <si>
    <t>Muththuaiyankaddu_Lamp</t>
  </si>
  <si>
    <t>Medaketiya_Lamp</t>
  </si>
  <si>
    <t>2026_MBB_New Sites_Design_Batch_10</t>
  </si>
  <si>
    <t>Meedumpitiya_Lamp</t>
  </si>
  <si>
    <t>To be Mobilized</t>
  </si>
  <si>
    <t>MW_2026_1995</t>
  </si>
  <si>
    <t>MW_2026_1994</t>
  </si>
  <si>
    <t>MW_2026_1966</t>
  </si>
  <si>
    <t>MW_2026_1992</t>
  </si>
  <si>
    <t>WIBAS_2026_1678</t>
  </si>
  <si>
    <t>MW Link Pending</t>
  </si>
  <si>
    <t>GA5095</t>
  </si>
  <si>
    <t>Yatramulla_Lamp</t>
  </si>
  <si>
    <t>KI5040</t>
  </si>
  <si>
    <t>Pulopalai_Lamp</t>
  </si>
  <si>
    <t>BA5024</t>
  </si>
  <si>
    <t>Batti_Karaveddi_East_Lamp</t>
  </si>
  <si>
    <t>CM5451</t>
  </si>
  <si>
    <t>Bellanwila_Park_Lamp</t>
  </si>
  <si>
    <t>CM5756</t>
  </si>
  <si>
    <t>Yasorapura_Rd_Lamp</t>
  </si>
  <si>
    <t>BA5051</t>
  </si>
  <si>
    <t>Mandur_Main_Rd_Lamp</t>
  </si>
  <si>
    <t>BA5081</t>
  </si>
  <si>
    <t>Mandur_Kaneshapuram_Lamp</t>
  </si>
  <si>
    <t>BA5086</t>
  </si>
  <si>
    <t>Vavunativu_Junc_Lamp</t>
  </si>
  <si>
    <t>VA5038</t>
  </si>
  <si>
    <t>Collage_Rd_Lamp</t>
  </si>
  <si>
    <t>CM5730</t>
  </si>
  <si>
    <t>Araliya_Gardens_Lamp</t>
  </si>
  <si>
    <t>PU5091</t>
  </si>
  <si>
    <t>Thabbowa_Juction_Lamp</t>
  </si>
  <si>
    <t>MR5011</t>
  </si>
  <si>
    <t xml:space="preserve">Batawala_Lamp </t>
  </si>
  <si>
    <t>CM5671</t>
  </si>
  <si>
    <t>Thotupala_Rd_Lamp</t>
  </si>
  <si>
    <t>CM5724</t>
  </si>
  <si>
    <t>Angampitiya_Lamp</t>
  </si>
  <si>
    <t>2026_MBB_New Sites_Design_Batch_14</t>
  </si>
  <si>
    <t>MW_2026_1713</t>
  </si>
  <si>
    <t>WIBAS_2026_1651</t>
  </si>
  <si>
    <t>Manoj</t>
  </si>
  <si>
    <t>18G3917</t>
  </si>
  <si>
    <t>Madukkarai_Lamp-MA5036-18G3917-HY</t>
  </si>
  <si>
    <t>MA0035</t>
  </si>
  <si>
    <t>Veppankulam</t>
  </si>
  <si>
    <t>Veppankulam-MA0035-18G3917-HY</t>
  </si>
  <si>
    <t>10.196.55.222</t>
  </si>
  <si>
    <t>10.196.55.221</t>
  </si>
  <si>
    <t>10.196.55.218</t>
  </si>
  <si>
    <t>10.196.55.217/30 Inband</t>
  </si>
  <si>
    <t>Punnalaikattuwan Dialog</t>
  </si>
  <si>
    <t>Siruppiddy_East</t>
  </si>
  <si>
    <t>Depot</t>
  </si>
  <si>
    <t>Kilinochchi</t>
  </si>
  <si>
    <t>18G3920</t>
  </si>
  <si>
    <t>Pallikuda_Lamp-KI5029-18G3920-HY</t>
  </si>
  <si>
    <t>KI0023</t>
  </si>
  <si>
    <t>Pooneryne_DTL</t>
  </si>
  <si>
    <t>Pooneryne_DTL-KI0023-18G3920-HY</t>
  </si>
  <si>
    <t>10.196.225.86</t>
  </si>
  <si>
    <t>10.196.225.82</t>
  </si>
  <si>
    <t>10.196.225.85</t>
  </si>
  <si>
    <t>10.196.225.81/30 Inband</t>
  </si>
  <si>
    <t>POONERYN-CETR-ACC16-R2-N4-01</t>
  </si>
  <si>
    <t>GE0/3/20</t>
  </si>
  <si>
    <t>18G3921</t>
  </si>
  <si>
    <t>Pallikuda_North_Lamp-KI5032-18G3921-HY</t>
  </si>
  <si>
    <t>Pooneryne_DTL-KI0023-18G3921-HY</t>
  </si>
  <si>
    <t>10.196.39.22</t>
  </si>
  <si>
    <t>10.196.39.18</t>
  </si>
  <si>
    <t>10.196.39.21</t>
  </si>
  <si>
    <t>10.196.39.17/30 Inband</t>
  </si>
  <si>
    <t>NE - 1
(FE)</t>
  </si>
  <si>
    <t>NE - 2
(NE)</t>
  </si>
  <si>
    <t>GE0/3/17</t>
  </si>
  <si>
    <t>(Link Avaialable with Green)
Link already Used to another Site</t>
  </si>
  <si>
    <t>Koombiyangoda_North</t>
  </si>
  <si>
    <t>Warakamure Airtel</t>
  </si>
  <si>
    <t>18G3922</t>
  </si>
  <si>
    <t>Muththuaiyankaddu_Lamp-MU5054-18G3922-HY</t>
  </si>
  <si>
    <t>MU0052</t>
  </si>
  <si>
    <t>Muthiankattu</t>
  </si>
  <si>
    <t>Muthiankattu-MU0052-18G3922-HY</t>
  </si>
  <si>
    <t>18G3694</t>
  </si>
  <si>
    <t>MA5035</t>
  </si>
  <si>
    <t>VA0041</t>
  </si>
  <si>
    <t>10.196.205.70</t>
  </si>
  <si>
    <t>10.196.205.69</t>
  </si>
  <si>
    <t>10.196.205.65/30 Inband</t>
  </si>
  <si>
    <t>10.196.205.66</t>
  </si>
  <si>
    <t>950b</t>
  </si>
  <si>
    <t>Periyakunchikulam_Lamp</t>
  </si>
  <si>
    <t>Parayanaikulam Hutch</t>
  </si>
  <si>
    <t>10G1017</t>
  </si>
  <si>
    <t>MU5041</t>
  </si>
  <si>
    <t>MU0037</t>
  </si>
  <si>
    <t>Panikkankulam_1_Lamp</t>
  </si>
  <si>
    <t>Padinaddampore Dialog</t>
  </si>
  <si>
    <t>10.208.25.82/29</t>
  </si>
  <si>
    <t>10.208.25.81/29</t>
  </si>
  <si>
    <t>10G1549</t>
  </si>
  <si>
    <t>GA5093</t>
  </si>
  <si>
    <t>Thalpe_East_Lamp</t>
  </si>
  <si>
    <t>Link Status</t>
  </si>
  <si>
    <t>KU5180</t>
  </si>
  <si>
    <t>Baragedara_Lamp</t>
  </si>
  <si>
    <t>PU5093</t>
  </si>
  <si>
    <t>Marawila_Hospital_Lamp</t>
  </si>
  <si>
    <t>JA5177</t>
  </si>
  <si>
    <t>Manatkadu_Lamp</t>
  </si>
  <si>
    <t>JA5107</t>
  </si>
  <si>
    <t>Avarankal_Lamp</t>
  </si>
  <si>
    <t>KU5071</t>
  </si>
  <si>
    <t>Thalgodapitiya_Junction_Lamp</t>
  </si>
  <si>
    <t>Weligama_Tourism_Cluster_1_Lamp</t>
  </si>
  <si>
    <t>GA5098</t>
  </si>
  <si>
    <t>Maha Ambalangoda_Lamp</t>
  </si>
  <si>
    <t>JA5099</t>
  </si>
  <si>
    <t>Araly_North_Lamp</t>
  </si>
  <si>
    <t>Design Pending</t>
  </si>
  <si>
    <t>MW_2026_2011</t>
  </si>
  <si>
    <t>WIBAS_2026_1677</t>
  </si>
  <si>
    <t>MW_2026_1877</t>
  </si>
  <si>
    <t>MW_2026_1991</t>
  </si>
  <si>
    <t>WIBAS_2026_1691</t>
  </si>
  <si>
    <t>ACE WH Pending</t>
  </si>
  <si>
    <t>MW_2026_1988</t>
  </si>
  <si>
    <t>MW_2026_2030</t>
  </si>
  <si>
    <t>MW_2026_2111</t>
  </si>
  <si>
    <t>MW_2026_2110</t>
  </si>
  <si>
    <t>MW_2026_2094</t>
  </si>
  <si>
    <t>MW_2026_2095</t>
  </si>
  <si>
    <t>MA5035
0.6m Antenna - 1
18G ODU - 1
1.25G TX SFP - 2
RTN 905 IDU - 1</t>
  </si>
  <si>
    <t>KU0121</t>
  </si>
  <si>
    <t>KU0260</t>
  </si>
  <si>
    <t>18G2006</t>
  </si>
  <si>
    <t>23G593</t>
  </si>
  <si>
    <t>JA0011</t>
  </si>
  <si>
    <t>JA0090</t>
  </si>
  <si>
    <t>Kandarodai Dialog [Kadurugoda]</t>
  </si>
  <si>
    <t>Chunnakam Dialog</t>
  </si>
  <si>
    <t>Panaliya</t>
  </si>
  <si>
    <t>Hondella</t>
  </si>
  <si>
    <t>Hold by E.co</t>
  </si>
  <si>
    <t>Partially, No BBUs</t>
  </si>
  <si>
    <t>Batticaloa</t>
  </si>
  <si>
    <t>Batti-BA5024-10G1547-PtP353V</t>
  </si>
  <si>
    <t>10G1454</t>
  </si>
  <si>
    <t>CM5364</t>
  </si>
  <si>
    <t>10.208.25.66/29</t>
  </si>
  <si>
    <t>10.208.25.65/29</t>
  </si>
  <si>
    <t>10.208.25.64/29</t>
  </si>
  <si>
    <t>THALAYADI-ESTR-ACC06-R9-N6-01</t>
  </si>
  <si>
    <t>23G2835</t>
  </si>
  <si>
    <t>KA0219</t>
  </si>
  <si>
    <t>KA0496</t>
  </si>
  <si>
    <t>23G3461</t>
  </si>
  <si>
    <t>Thalgaspitiya_Town_Lamp</t>
  </si>
  <si>
    <t>Thalgaspitiya_Town_Lamp-KU5071-23G3461-HY</t>
  </si>
  <si>
    <t>KU0144</t>
  </si>
  <si>
    <t>Welagedara</t>
  </si>
  <si>
    <t>Welagedara-KU0144-23G3461-HY</t>
  </si>
  <si>
    <t>10.196.11.94</t>
  </si>
  <si>
    <t>10.196.11.90</t>
  </si>
  <si>
    <t>10.196.11.93</t>
  </si>
  <si>
    <t>10.196.11.89/30 Inband</t>
  </si>
  <si>
    <t>WELAGEDARA-CETR-VLL</t>
  </si>
  <si>
    <t>23G3431</t>
  </si>
  <si>
    <t>Avarankal_Lamp-JA5107-23G3431-HY</t>
  </si>
  <si>
    <t>JA0191</t>
  </si>
  <si>
    <t>Achchuweli_Town</t>
  </si>
  <si>
    <t>Achchuweli_Town-JA0191-23G3431-HY</t>
  </si>
  <si>
    <t>23G2259</t>
  </si>
  <si>
    <t>AM0212</t>
  </si>
  <si>
    <t>AM0011</t>
  </si>
  <si>
    <t>10.196.17.158</t>
  </si>
  <si>
    <t>10.196.17.154</t>
  </si>
  <si>
    <t>10.196.17.157</t>
  </si>
  <si>
    <t>10.196.17.153/30 Inband</t>
  </si>
  <si>
    <t>ACHCHUWELI_TOWN-CETR-ACC18-R2-N2-01</t>
  </si>
  <si>
    <t>Kosgama South 2 Lamp</t>
  </si>
  <si>
    <t>Kalmunei_Madavan_Road</t>
  </si>
  <si>
    <t>Kalmunai Dialog</t>
  </si>
  <si>
    <t>Palle_Aludeniya</t>
  </si>
  <si>
    <t>Kotakedeniya</t>
  </si>
  <si>
    <t>GL900 Sec 01</t>
  </si>
  <si>
    <t>GL900 Sec 02</t>
  </si>
  <si>
    <t>GL900 Sec 03</t>
  </si>
  <si>
    <t>GL900 Sec 04</t>
  </si>
  <si>
    <t>L21 Sec 01</t>
  </si>
  <si>
    <t>L21 Sec 02</t>
  </si>
  <si>
    <t>L21 Sec 03</t>
  </si>
  <si>
    <t>L21 Sec 04</t>
  </si>
  <si>
    <t>L18 Sec 01</t>
  </si>
  <si>
    <t>L18 Sec 02</t>
  </si>
  <si>
    <t>L18 Sec 03</t>
  </si>
  <si>
    <t>L18 Sec 04</t>
  </si>
  <si>
    <t>RRU5910</t>
  </si>
  <si>
    <t>Share GL900 Sec 01 RRU</t>
  </si>
  <si>
    <t>Share GL900 Sec 03 RRU</t>
  </si>
  <si>
    <t>SXPWL4WH-16/18-65/65-IVT-R1_10P</t>
  </si>
  <si>
    <t>Antenna Sec 01</t>
  </si>
  <si>
    <t>Antenna Sec 02</t>
  </si>
  <si>
    <t>Antenna Sec 03</t>
  </si>
  <si>
    <t>Azimuth Sec 01</t>
  </si>
  <si>
    <t>M-Tilt Sec 01</t>
  </si>
  <si>
    <t>E-Tilt Sec 01</t>
  </si>
  <si>
    <t>Azimuth Sec 02</t>
  </si>
  <si>
    <t>M-Tilt Sec 02</t>
  </si>
  <si>
    <t>E-Tilt Sec 02</t>
  </si>
  <si>
    <t>Azimuth Sec 03</t>
  </si>
  <si>
    <t>M-Tilt Sec 03</t>
  </si>
  <si>
    <t>E-Tilt Sec 03</t>
  </si>
  <si>
    <t>Azimuth Sec 04</t>
  </si>
  <si>
    <t>M-Tilt Sec 04</t>
  </si>
  <si>
    <t>E-Tilt Sec 04</t>
  </si>
  <si>
    <t>Antenna Sec 04</t>
  </si>
  <si>
    <t>Share GL900 Sec 02 RRU</t>
  </si>
  <si>
    <t>MW_2026_2123</t>
  </si>
  <si>
    <t>OVERALL PROGRESS</t>
  </si>
  <si>
    <t>23G2496</t>
  </si>
  <si>
    <t>WO Status</t>
  </si>
  <si>
    <t>Wasantha</t>
  </si>
  <si>
    <t>18G2997(0.9|0.9)</t>
  </si>
  <si>
    <t>23G2161</t>
  </si>
  <si>
    <t>23G2684</t>
  </si>
  <si>
    <t>18G2980</t>
  </si>
  <si>
    <t>PU0027</t>
  </si>
  <si>
    <t>PU0222</t>
  </si>
  <si>
    <t>GM0026</t>
  </si>
  <si>
    <t>GM0197</t>
  </si>
  <si>
    <t>CM0209</t>
  </si>
  <si>
    <t>CM2303</t>
  </si>
  <si>
    <t>Mathusan</t>
  </si>
  <si>
    <t>Bishan</t>
  </si>
  <si>
    <t>Commission Plan Date</t>
  </si>
  <si>
    <t>WO Acceptance</t>
  </si>
  <si>
    <t>Yes</t>
  </si>
  <si>
    <t>TE WIP</t>
  </si>
  <si>
    <t>Unims</t>
  </si>
  <si>
    <t>No ODU at FE</t>
  </si>
  <si>
    <t>10G1454, NO Low ODU</t>
  </si>
  <si>
    <t>18G3926</t>
  </si>
  <si>
    <t>Iyankankulam_Lamp-MU5051-18G3926-HY</t>
  </si>
  <si>
    <t>MU0045</t>
  </si>
  <si>
    <t>Thunukkai_North-MU0045-18G3926-HY</t>
  </si>
  <si>
    <t>Thunukkai_North</t>
  </si>
  <si>
    <t>10.196.17.182</t>
  </si>
  <si>
    <t>10.196.17.181</t>
  </si>
  <si>
    <t>THUNUKKAI_NORTH-NRTH-MWI02-R2-N1-01</t>
  </si>
  <si>
    <t>GE0/3/2</t>
  </si>
  <si>
    <t>18G3923</t>
  </si>
  <si>
    <t>Pulopalai_Lamp-KI5040-18G3923-HY</t>
  </si>
  <si>
    <t>Installation Completed</t>
  </si>
  <si>
    <t>Full Link Available</t>
  </si>
  <si>
    <t>Kotahena North</t>
  </si>
  <si>
    <t>Mattakkuliya_South_Reloc</t>
  </si>
  <si>
    <t>PAT Plan on 27th July</t>
  </si>
  <si>
    <t>Tx WO &amp; Mapping Pending</t>
  </si>
  <si>
    <t>Kehelbaddara Suntel</t>
  </si>
  <si>
    <t>Uggalboda Dialog</t>
  </si>
  <si>
    <t>Puttalam_East</t>
  </si>
  <si>
    <t>Puttalam_Town_South</t>
  </si>
  <si>
    <t>KI0034</t>
  </si>
  <si>
    <t>10.208.25.83/29</t>
  </si>
  <si>
    <t xml:space="preserve">DHARMAPURAM_DTL-NRTH-ACC11-R2-N3-01 </t>
  </si>
  <si>
    <t>GE0/2/24</t>
  </si>
  <si>
    <t>Dharmapuram</t>
  </si>
  <si>
    <t>Dharmapuram-KI0034-10G1549-PtP67V</t>
  </si>
  <si>
    <t>Pirama-KI5034-10G1549-PtP248V</t>
  </si>
  <si>
    <t>10.196.17.177/30 In band</t>
  </si>
  <si>
    <t>10.196.17.178</t>
  </si>
  <si>
    <t>ACE WH &amp; 18G336 Superfine Removed Received on - 24th July &amp; 25th July</t>
  </si>
  <si>
    <t>No CSR at HUB, used back-to-back from Hub</t>
  </si>
  <si>
    <t>No power at site, Hub changed due to access issue</t>
  </si>
  <si>
    <t>ACE WH Pending - Received on 24th July
18G336 Superfine Removed Pending - Received on 25th July midnight</t>
  </si>
  <si>
    <t>Wiraj</t>
  </si>
  <si>
    <t>ACE WH &amp; 18G336 Superfine Removed</t>
  </si>
  <si>
    <t>WH</t>
  </si>
  <si>
    <t>From ACE WH (2*1.2m &amp; 2*0.6 shuffled and made 2 links)</t>
  </si>
  <si>
    <t>From ACE WH 2*0.6m Links + Superfine 1.2m, shuffled and made the link</t>
  </si>
  <si>
    <t>From ACE WH 2*0.6m Links + Superfine 0.9m, shuffled and made the link</t>
  </si>
  <si>
    <t>Vavuniya</t>
  </si>
  <si>
    <t>GE0/2/25</t>
  </si>
  <si>
    <t>New CSR</t>
  </si>
  <si>
    <t>No CSR at HUB, no back-to-back solution from Hub - Another Vendor Installed CSR on 26th July</t>
  </si>
  <si>
    <t xml:space="preserve">ACE WH Pending - Received on 24th July
18G336 Superfine Removed Pending - Received on 25th July midnight
</t>
  </si>
  <si>
    <t>ACE WH - Collected on 24th July</t>
  </si>
  <si>
    <t>Requested</t>
  </si>
  <si>
    <t>CSR Installed on 26th July</t>
  </si>
  <si>
    <t>PAT Done on 26th July</t>
  </si>
  <si>
    <t>TE Materials Delivered on 26th July</t>
  </si>
  <si>
    <t>TE Materials Delivered on 27th July</t>
  </si>
  <si>
    <t>PAT Done on 24th July</t>
  </si>
  <si>
    <t>PAT Plan on 29th July</t>
  </si>
  <si>
    <t>PU5046</t>
  </si>
  <si>
    <t>bbu pending</t>
  </si>
  <si>
    <t>Site Hold by E.Co, despute</t>
  </si>
  <si>
    <t>despute, bbu pending</t>
  </si>
  <si>
    <t>Chathuranga</t>
  </si>
  <si>
    <t>Sithara</t>
  </si>
  <si>
    <t>Dilshan</t>
  </si>
  <si>
    <t>10.196.227.6</t>
  </si>
  <si>
    <t>10.196.227.2</t>
  </si>
  <si>
    <t>10.196.227.5</t>
  </si>
  <si>
    <t>10.196.227.1/30 Inband</t>
  </si>
  <si>
    <t>PALAI_SOUTH-NRTH-ACC03-R2-N2-01</t>
  </si>
  <si>
    <t>GE0/2/21</t>
  </si>
  <si>
    <t>KI0095</t>
  </si>
  <si>
    <t>Palai_South</t>
  </si>
  <si>
    <t>Palai_South-KI0095-18G3923-HY</t>
  </si>
  <si>
    <t>10G1547</t>
  </si>
  <si>
    <t>PAT Plan on 30th July</t>
  </si>
  <si>
    <t>CM5746</t>
  </si>
  <si>
    <t>Himbutana_South_Lamp</t>
  </si>
  <si>
    <t>2026_MBB_New Sites_Design_Batch_05</t>
  </si>
  <si>
    <t>Photo Pending</t>
  </si>
  <si>
    <t>Collected</t>
  </si>
  <si>
    <t>Installed</t>
  </si>
  <si>
    <t>Buddhi Harshika &amp; Ishara</t>
  </si>
  <si>
    <t>Dasun</t>
  </si>
  <si>
    <t>Dulanjana</t>
  </si>
  <si>
    <t>OK</t>
  </si>
  <si>
    <t>On-Air</t>
  </si>
  <si>
    <t>MA5042</t>
  </si>
  <si>
    <t>Karisal_Lamp</t>
  </si>
  <si>
    <t>No Issues</t>
  </si>
  <si>
    <t>No</t>
  </si>
  <si>
    <t>Ranesh</t>
  </si>
  <si>
    <t>Viraj</t>
  </si>
  <si>
    <t>Uyangoda &amp; Dulanjana</t>
  </si>
  <si>
    <t>GM5322</t>
  </si>
  <si>
    <t>Mallehewa_Lamp</t>
  </si>
  <si>
    <t>Out of Tooway Scope Punches available</t>
  </si>
  <si>
    <t>ANO Condition - Licence for 2nd Carrier</t>
  </si>
  <si>
    <t>CM5563</t>
  </si>
  <si>
    <t>Malpura_Rd_Lamp</t>
  </si>
  <si>
    <t>Ishara</t>
  </si>
  <si>
    <t>Suranga</t>
  </si>
  <si>
    <t>Connected</t>
  </si>
  <si>
    <t>KU5128</t>
  </si>
  <si>
    <t>Maraluwawa_Lamp</t>
  </si>
  <si>
    <t>Buddhi Harshika &amp; Sajith</t>
  </si>
  <si>
    <t>Amith</t>
  </si>
  <si>
    <t>JA5159</t>
  </si>
  <si>
    <t>Sankaraththai_Lamp</t>
  </si>
  <si>
    <t>UMPTe2 Faulty - Done on 29th April</t>
  </si>
  <si>
    <t>Rectified punches, mail sent</t>
  </si>
  <si>
    <t>Sajith</t>
  </si>
  <si>
    <t>Thushi</t>
  </si>
  <si>
    <t>VA5042</t>
  </si>
  <si>
    <t>Taranikkulam_Lamp</t>
  </si>
  <si>
    <t>Antenna Requested from WH for VSWR Rectification, Material Reservation/VA5042/2026_MBB_New Sites_Design_Batch_05/Hashan Thennakoon/2026-05-26 14:44:00/904</t>
  </si>
  <si>
    <t>UBBP Card Faulty -  Done on 25th May
VSWR Alarm - Antenna replaced on xxth July</t>
  </si>
  <si>
    <t>TE equipment mounting pole not grounded using separate Earth cable</t>
  </si>
  <si>
    <t>Reject - Antenna Faulty</t>
  </si>
  <si>
    <t>MA5034</t>
  </si>
  <si>
    <t>Thiruketheeswaram_Lamp</t>
  </si>
  <si>
    <t>OFN patching - Done on 24th May</t>
  </si>
  <si>
    <t>Tx OK</t>
  </si>
  <si>
    <t>PU5084</t>
  </si>
  <si>
    <t>Wennappuwa_East_Lamp</t>
  </si>
  <si>
    <t>IDU Issue - Done on 29th April</t>
  </si>
  <si>
    <t>Yasas</t>
  </si>
  <si>
    <t>CM5471</t>
  </si>
  <si>
    <t>Dambahena_Rd_Lamp</t>
  </si>
  <si>
    <t>2026_MBB_New Sites_Design_Batch_08</t>
  </si>
  <si>
    <t>UMPTb1 Card Faulty (Material Reservation/CM5471/2026_MBB_New Sites_Design_Batch_08/Hashan Thennakoon/2026-06-05 16:42:00/954) - Done on 20th June
OFN Patching Done on - Done on 20th June</t>
  </si>
  <si>
    <t>PAT Done on 6th June</t>
  </si>
  <si>
    <t>Senthuran</t>
  </si>
  <si>
    <t>CM5775</t>
  </si>
  <si>
    <t>Jalthara_North_Lamp</t>
  </si>
  <si>
    <t>MW-HYB-Redep</t>
  </si>
  <si>
    <r>
      <t>UBBP Faulty - Done on 23rd May
UAT Rectifications - Done on 1</t>
    </r>
    <r>
      <rPr>
        <vertAlign val="superscript"/>
        <sz val="10"/>
        <color theme="1"/>
        <rFont val="Calibri"/>
        <family val="2"/>
      </rPr>
      <t>st</t>
    </r>
    <r>
      <rPr>
        <sz val="10"/>
        <color theme="1"/>
        <rFont val="Calibri"/>
        <family val="2"/>
      </rPr>
      <t xml:space="preserve"> June</t>
    </r>
  </si>
  <si>
    <t>Highlighted issues rectified</t>
  </si>
  <si>
    <t>Dilan</t>
  </si>
  <si>
    <t>PU5090</t>
  </si>
  <si>
    <t>Karambe_East_Lamp</t>
  </si>
  <si>
    <t>Used the UMPTe2 card from the previous bulk</t>
  </si>
  <si>
    <t>No issues were highlighted</t>
  </si>
  <si>
    <t>Rukshan</t>
  </si>
  <si>
    <t>GM5355</t>
  </si>
  <si>
    <t>Katuwellegama_South_Lamp</t>
  </si>
  <si>
    <t>Management issue got rectified from IPNOC side on 10th June</t>
  </si>
  <si>
    <t>PAT Done on 3rd June</t>
  </si>
  <si>
    <t>Arunodi</t>
  </si>
  <si>
    <t>Tharindu</t>
  </si>
  <si>
    <t>GM5370</t>
  </si>
  <si>
    <t>Makola_North_Lamp</t>
  </si>
  <si>
    <t>PAT Rectifications - Done of 25th June</t>
  </si>
  <si>
    <t>Harsha</t>
  </si>
  <si>
    <t>Partially</t>
  </si>
  <si>
    <t>GM5356</t>
  </si>
  <si>
    <t>Pamunuvila_Lamp</t>
  </si>
  <si>
    <t>UMPTb1 Card Faulty - Done on 20th June
FAN Card Faulty - Done on 21st June</t>
  </si>
  <si>
    <t>PAT Done on 17th June</t>
  </si>
  <si>
    <t>CM5762</t>
  </si>
  <si>
    <t>Pepiliyana_Town_North_lamp</t>
  </si>
  <si>
    <t>UBBP Card Faulty - Done on 15th June</t>
  </si>
  <si>
    <t>PAT Done on 7th June</t>
  </si>
  <si>
    <t>CM5749</t>
  </si>
  <si>
    <t>Samuddrasanna_Rd_Lamp</t>
  </si>
  <si>
    <t>MW-HYB- ACE</t>
  </si>
  <si>
    <t>FAN Faulty - Done on 15th July</t>
  </si>
  <si>
    <t>PAT Done on 18th June</t>
  </si>
  <si>
    <t>GM5368</t>
  </si>
  <si>
    <t>Weliamuna_Rd_Lamp</t>
  </si>
  <si>
    <t>Antenna Requested from WH for VSWR Rectification - Done on 27th June</t>
  </si>
  <si>
    <t>CM5540</t>
  </si>
  <si>
    <t>Kotuvila_Lamp</t>
  </si>
  <si>
    <t>UBBP Card Replacement - Done on 18th June
OFN Patching - Done on 18th June
L900 Sec 02 down - Done on 23rd June
BBU Chassie &amp; FAN Faulty - Done on 25th June
BBU Slot Issue - Done on 26th June
FAN Faulty - Done on 15th July</t>
  </si>
  <si>
    <t>PAT Done on 24th June</t>
  </si>
  <si>
    <t>GM5359</t>
  </si>
  <si>
    <t>Morahena_Lamp</t>
  </si>
  <si>
    <t>Ericsson IDUs NPU Card Faulty at Lamp Side (Team doing rectification on 10th June) - Done on 16th June
UMPTb1 Card Faulty, Material Reservation/GM5359/2026_MBB_New Sites_Design_Batch_08/Hashan Thennakoon/2026-06-08 16:21:00/970 - Done on 16th June
UBBP Card Faulty - Done on 16th June
VSWR at L21 SEC 02 - RRU Replaced on 16th July
BBU Chassie Faulty - Done on 26th June</t>
  </si>
  <si>
    <t>PAT Done on 16th June</t>
  </si>
  <si>
    <t>KU5178</t>
  </si>
  <si>
    <t>Thittawella_East_Lamp</t>
  </si>
  <si>
    <t>2026_MBB_New Sites_Design_Batch_07</t>
  </si>
  <si>
    <t xml:space="preserve">UMPT &amp; UBBP Card Faulty - Done on 21st June
UBBP Faulty, High VSWR - Done on 26th June
</t>
  </si>
  <si>
    <t>PAT Done on 9th June</t>
  </si>
  <si>
    <t>Partially Removed</t>
  </si>
  <si>
    <t>CM5736</t>
  </si>
  <si>
    <t>Pittugala_West_Lamp</t>
  </si>
  <si>
    <t>UMPTa6 Card Faulty (This card is not used in Dialog Network) - Done on 25th June
OFN Patching - Done on 25th June</t>
  </si>
  <si>
    <t>PAT Done on 21st June</t>
  </si>
  <si>
    <t>CM5779</t>
  </si>
  <si>
    <t>Bomiriya_North_Lamp</t>
  </si>
  <si>
    <t>WiBAS-Redep</t>
  </si>
  <si>
    <t>Wi-Bas POE faulty - Done on 23rd June
UMPTb1 Faulty at Lamp Side - Done on 26th June
L900 &amp; L21 Sec 03 High VSWR (Antenna faulty) - Antenna Replaced on 17th July</t>
  </si>
  <si>
    <t>PAT Done on 23rd June</t>
  </si>
  <si>
    <t>Milinda</t>
  </si>
  <si>
    <t>CM5734</t>
  </si>
  <si>
    <t>Jayamuthu_Mw_Lamp</t>
  </si>
  <si>
    <t>UMPTb1 Faulty - Done on 02nd July</t>
  </si>
  <si>
    <t>PAT Done on 03rd July</t>
  </si>
  <si>
    <t>CM5761</t>
  </si>
  <si>
    <t>Ernest_Place_Lamp</t>
  </si>
  <si>
    <t xml:space="preserve">MW Antenna &amp; ODU mismatch - Done on 27th June
NetEco Issue - </t>
  </si>
  <si>
    <t>PAT Done on 01st July</t>
  </si>
  <si>
    <t>Collected from ACE WH</t>
  </si>
  <si>
    <t>Kaveesha</t>
  </si>
  <si>
    <t>CM5744</t>
  </si>
  <si>
    <t>Alubogahalanda_West_Lamp</t>
  </si>
  <si>
    <t>BBU FAN, UBBP, UMPTb1 Faulty - Done on 02nd July
L21 Sec 03 Down - Done on 17th July (Power issue at DC Pannel)</t>
  </si>
  <si>
    <t>Imalsha</t>
  </si>
  <si>
    <t>KU5059</t>
  </si>
  <si>
    <t>Nandana_Mw_Lamp</t>
  </si>
  <si>
    <t>Wi-Bas ODU Faulty (with 2nd Mapping Link)- Done on 04th July</t>
  </si>
  <si>
    <t>PAT Done on 26th June</t>
  </si>
  <si>
    <t>GM5330</t>
  </si>
  <si>
    <t>Kondagammulla_Lamp</t>
  </si>
  <si>
    <t>PAT Done 29th May / Highlighted issues not related to Tooway</t>
  </si>
  <si>
    <t>MR5051</t>
  </si>
  <si>
    <t>Weliketiya_Lamp</t>
  </si>
  <si>
    <t>2025_MBB_Lamp_Pole_Batch_06</t>
  </si>
  <si>
    <t>Wi-Bas ODU Faulty at Both Sites - Done on 09th July
LP Rectifier Faulty - Done by Edotco
Sector 02 &amp; Sector 03 RRU Faulty - Done on 28th June
2nd time Sector 02 &amp; Sector 03 RRU Faulty - Done on 09th July
3rd time Sector 02 RRU Faulty - Done on 11th July</t>
  </si>
  <si>
    <t>PAT Done on 08th July</t>
  </si>
  <si>
    <t>Saman</t>
  </si>
  <si>
    <t>Nuwan</t>
  </si>
  <si>
    <t>Pramesh</t>
  </si>
  <si>
    <t>Relay Installed</t>
  </si>
  <si>
    <t>GM5358</t>
  </si>
  <si>
    <t>Weliwatta_Lamp</t>
  </si>
  <si>
    <t>ODU, IDUs, ETU card Faulty at Lamp Side (Taking materials from the not used Ericsson mapping link for rectification) - Done on 16th June
UMPTb1 Faulty - Done on 27th June
Link issue - ODU replaced at FE, VLAN reassigned - Done on 08th July
VSWR at L900 Sec 02 - Done on 08th July
L21 Sec 01 CPRI Issue - Done on 08th July
MW MGT Lost - Done on 14th July</t>
  </si>
  <si>
    <t>PU5022</t>
  </si>
  <si>
    <t>Madampe_North_Lamp</t>
  </si>
  <si>
    <t>L900 Sec 03 locked (Filter Issue)</t>
  </si>
  <si>
    <t>UMPTb1 Faulty - Done on 08th June</t>
  </si>
  <si>
    <t>PAT Done on 04th July</t>
  </si>
  <si>
    <t>CM5148</t>
  </si>
  <si>
    <t>Sirigal_Av_Lamp</t>
  </si>
  <si>
    <t>Used BBU5900 from the previous bulk</t>
  </si>
  <si>
    <t>PAT Done on 28th May</t>
  </si>
  <si>
    <t>GM5357</t>
  </si>
  <si>
    <t>Rilaulla_Lamp</t>
  </si>
  <si>
    <t>NU5098</t>
  </si>
  <si>
    <t>Ambewela_Rw_Reloc_Lamp</t>
  </si>
  <si>
    <r>
      <rPr>
        <b/>
        <sz val="10"/>
        <color rgb="FFFF0066"/>
        <rFont val="Calibri"/>
        <family val="2"/>
      </rPr>
      <t>Tx pending (OFN)</t>
    </r>
    <r>
      <rPr>
        <sz val="10"/>
        <color theme="1"/>
        <rFont val="Calibri"/>
        <family val="2"/>
      </rPr>
      <t xml:space="preserve"> / No Plan / TE Starts on 03rd July</t>
    </r>
  </si>
  <si>
    <t>Madusha</t>
  </si>
  <si>
    <t>Rejected</t>
  </si>
  <si>
    <t>MW Installed - 28th July</t>
  </si>
  <si>
    <t>CM0926</t>
  </si>
  <si>
    <t>MANGALA ROAD</t>
  </si>
  <si>
    <t>MANGALA_RD-CMBS-ACC02-R2-N4-01</t>
  </si>
  <si>
    <t>MANGALA ROAD-PP-01-15-16</t>
  </si>
  <si>
    <t>BS80446</t>
  </si>
  <si>
    <t>MW_2026_1702</t>
  </si>
  <si>
    <t>23G3361</t>
  </si>
  <si>
    <t>Himbutana_South_Lamp-CM5746-23G3361-HY</t>
  </si>
  <si>
    <t>CM2474</t>
  </si>
  <si>
    <t>Himbutana_Reloc</t>
  </si>
  <si>
    <t>Himbutana_Reloc-CM2474-23G3361-HY</t>
  </si>
  <si>
    <t>10.196.6.201</t>
  </si>
  <si>
    <t>10.196.6.202</t>
  </si>
  <si>
    <t>10.196.6.205</t>
  </si>
  <si>
    <t>10.196.6.206</t>
  </si>
  <si>
    <t>HIMBUTTANA_RELOC-CMBS-ACC04-R6-N3-01</t>
  </si>
  <si>
    <t>GE0/2/20</t>
  </si>
  <si>
    <t>MW_2026_1767</t>
  </si>
  <si>
    <t>23G3384</t>
  </si>
  <si>
    <t>Malpura_Rd_Lamp-CM5563-23G3384-HY</t>
  </si>
  <si>
    <t>CM2478</t>
  </si>
  <si>
    <t>Kotikawatta_South_Reloc</t>
  </si>
  <si>
    <t>Kotikawatta_South_Reloc-CM2478-23G3384-HY</t>
  </si>
  <si>
    <t>10.196.130.225</t>
  </si>
  <si>
    <t>10.196.130.226</t>
  </si>
  <si>
    <t>10.196.130.229</t>
  </si>
  <si>
    <t>10.196.130.230</t>
  </si>
  <si>
    <t>KOTIKAWATTA_S_RLC-CMBS-ACC25-R1-N2-01</t>
  </si>
  <si>
    <t>WIBAS_2026_1601</t>
  </si>
  <si>
    <t>10G1543</t>
  </si>
  <si>
    <t>Tarani-VA5042-10G1543-PtP137V</t>
  </si>
  <si>
    <t>VA0050</t>
  </si>
  <si>
    <t>Ichchankulam_South</t>
  </si>
  <si>
    <t>IchchaSouth-VA0050-10G1543-PtP137V</t>
  </si>
  <si>
    <t>10.208.25.33/29</t>
  </si>
  <si>
    <t>10.208.25.34/29</t>
  </si>
  <si>
    <t>10.208.25.35/29</t>
  </si>
  <si>
    <t>ICHCHANKULAM_SOUTH-CETR-VLL</t>
  </si>
  <si>
    <t>MW_2026_1917</t>
  </si>
  <si>
    <t>28 MHz</t>
  </si>
  <si>
    <t>18G3779</t>
  </si>
  <si>
    <t>SANKARATHTHAI_LAMP-JA5159-18G3779-HY</t>
  </si>
  <si>
    <t>JA0010</t>
  </si>
  <si>
    <t>Chankanai</t>
  </si>
  <si>
    <t>CHANKANAI-JA0010-18G3779-HY</t>
  </si>
  <si>
    <t>10.196.142.217</t>
  </si>
  <si>
    <t>10.196.142.218</t>
  </si>
  <si>
    <t>10.196.142.221</t>
  </si>
  <si>
    <t>10.196.142.222</t>
  </si>
  <si>
    <t>CHANKANAI-CETR-ACC30-R1-N2-01</t>
  </si>
  <si>
    <t>GE0/5/2</t>
  </si>
  <si>
    <t>MW_2026_1666</t>
  </si>
  <si>
    <t>18G3833</t>
  </si>
  <si>
    <t>Mallehewa_Lamp-GM5322-18G3833-HY</t>
  </si>
  <si>
    <t>GM0198</t>
  </si>
  <si>
    <t>Humbutiyawa</t>
  </si>
  <si>
    <t>Humbutiyawa-GM0198-18G3833-HY</t>
  </si>
  <si>
    <t>10.196.169.249</t>
  </si>
  <si>
    <t>10.196.169.250</t>
  </si>
  <si>
    <t>10.196.169.253</t>
  </si>
  <si>
    <t>10.196.169.254</t>
  </si>
  <si>
    <t>HUMBUTIYAWA-CETR-ACC01-R1-N6-01</t>
  </si>
  <si>
    <t>WIBAS_2026_1529</t>
  </si>
  <si>
    <t>10G1538</t>
  </si>
  <si>
    <t>Maralu-KU5128-10G1538-PtPV</t>
  </si>
  <si>
    <t>KU0059</t>
  </si>
  <si>
    <t>Mallawapitiya</t>
  </si>
  <si>
    <t>Mallawapitiya-KU0059-10G1538-PtPV</t>
  </si>
  <si>
    <t>10.208.25.1/29</t>
  </si>
  <si>
    <t>10.208.25.2/29</t>
  </si>
  <si>
    <t>10.208.25.3/29</t>
  </si>
  <si>
    <t>MALLAWAPITIYA-CETR-ACC01-R2-N3-01</t>
  </si>
  <si>
    <t xml:space="preserve">GigabitEthernet0/2/7 </t>
  </si>
  <si>
    <t>MW_2026_1723</t>
  </si>
  <si>
    <t>23G3375</t>
  </si>
  <si>
    <t>Wennappuwa_East_Lamp-PU5084-23G3375-HY</t>
  </si>
  <si>
    <t>PU0013</t>
  </si>
  <si>
    <t>Wennappuwa</t>
  </si>
  <si>
    <t>Wennappuwa-PU0013-23G3375-HY</t>
  </si>
  <si>
    <t>10.196.192.25</t>
  </si>
  <si>
    <t>10.196.192.26</t>
  </si>
  <si>
    <t>10.196.192.29</t>
  </si>
  <si>
    <t>10.196.192.30</t>
  </si>
  <si>
    <t>WENNAPPUWA-CETR-ACC04-R1-N4-01</t>
  </si>
  <si>
    <t>WIBAS_2026_1602</t>
  </si>
  <si>
    <t>10G1544</t>
  </si>
  <si>
    <t>Karisa-MA5042-10G1544-PtP146V</t>
  </si>
  <si>
    <t>MA0029</t>
  </si>
  <si>
    <t>Erukkulampiddi Dialog</t>
  </si>
  <si>
    <t>10.208.25.41/29</t>
  </si>
  <si>
    <t>10.208.25.42/29</t>
  </si>
  <si>
    <t>10.208.25.43/29</t>
  </si>
  <si>
    <t>MC1_ERUKKALAMPIDDI-CETR-VLL</t>
  </si>
  <si>
    <t>MA0047</t>
  </si>
  <si>
    <t>Pappamoddai</t>
  </si>
  <si>
    <t>PAPPAMODDAI-CETR-ACC16-R3-N5-01</t>
  </si>
  <si>
    <t>Pappamoddai-PP-01-07-08</t>
  </si>
  <si>
    <t>BS8044</t>
  </si>
  <si>
    <t>MW_2026_1721</t>
  </si>
  <si>
    <t>23G3374</t>
  </si>
  <si>
    <t>Thittawella_East_Lamp-KU5178-23G3374-HY</t>
  </si>
  <si>
    <t>KU0579</t>
  </si>
  <si>
    <t>Pellandeniya</t>
  </si>
  <si>
    <t>Pellandeniya-KU0579-23G3374-HY</t>
  </si>
  <si>
    <t>10.196.50.153/30</t>
  </si>
  <si>
    <t>10.196.50.154</t>
  </si>
  <si>
    <t>10.196.50.157</t>
  </si>
  <si>
    <t>10.196.50.158</t>
  </si>
  <si>
    <t>PELLANDENIYA-CETR-ACC11-R1-N6-01</t>
  </si>
  <si>
    <t>MW_2026_1790</t>
  </si>
  <si>
    <t>23G3391</t>
  </si>
  <si>
    <t>Ernest_Place_Lamp-CM5761-23G3391-HY</t>
  </si>
  <si>
    <t>CM1168</t>
  </si>
  <si>
    <t>Soysaramaya</t>
  </si>
  <si>
    <t>Soysaramaya-CM1168-23G3391-HY</t>
  </si>
  <si>
    <t>10.196.223.153/30</t>
  </si>
  <si>
    <t>10.196.223.154</t>
  </si>
  <si>
    <t>10.196.223.157</t>
  </si>
  <si>
    <t>10.196.223.158</t>
  </si>
  <si>
    <t>SOYSARAMAYA-CMBS-ACC01-R8-N4-01</t>
  </si>
  <si>
    <t>MW_2026_1835</t>
  </si>
  <si>
    <t>23G3410</t>
  </si>
  <si>
    <t>Jalthara_North_Lamp-CM5775-23G3410-HY</t>
  </si>
  <si>
    <t>CM0256</t>
  </si>
  <si>
    <t>Jalthara</t>
  </si>
  <si>
    <t>Jalthara-CM0256-23G3410-HY</t>
  </si>
  <si>
    <t>10.196.22.225/30</t>
  </si>
  <si>
    <t>10.196.22.226</t>
  </si>
  <si>
    <t>10.196.22.229</t>
  </si>
  <si>
    <t>10.196.22.230</t>
  </si>
  <si>
    <t>JALTHARA_DIALOG-CMBN-ACC20-R1-N3-01</t>
  </si>
  <si>
    <t>GE0/2/15</t>
  </si>
  <si>
    <t>MW_2026_1664</t>
  </si>
  <si>
    <t>18G3834</t>
  </si>
  <si>
    <t>Karambe_East_Lamp-PU5090-18G3834-HY</t>
  </si>
  <si>
    <t>PU0062</t>
  </si>
  <si>
    <t>Nagavil</t>
  </si>
  <si>
    <t>Nagavil-PU0062-18G3834-HY</t>
  </si>
  <si>
    <t>10.196.106.217/30</t>
  </si>
  <si>
    <t>10.196.106.218</t>
  </si>
  <si>
    <t>10.196.106.221</t>
  </si>
  <si>
    <t>10.196.106.222</t>
  </si>
  <si>
    <t>NAGAWIL-CETR-ACC04-R3-N5-01</t>
  </si>
  <si>
    <t>GE0/3/3</t>
  </si>
  <si>
    <t>MW_2026_1667</t>
  </si>
  <si>
    <t>23G3347</t>
  </si>
  <si>
    <t>Samuddrasanna_Rd_Lamp-CM5749-23G3347-HY</t>
  </si>
  <si>
    <t>CM0883</t>
  </si>
  <si>
    <t>Jayasumanarama</t>
  </si>
  <si>
    <t>Jayasumanarama-CM0883-23G3347-HY</t>
  </si>
  <si>
    <t>10.196.219.145/30</t>
  </si>
  <si>
    <t>10.196.219.146</t>
  </si>
  <si>
    <t>10.196.219.149</t>
  </si>
  <si>
    <t>10.196.219.150</t>
  </si>
  <si>
    <t>JAYASUMANARAMA_AT-CMBS-ACC01-R9-N3-01</t>
  </si>
  <si>
    <t>MW_2026_1915</t>
  </si>
  <si>
    <t>Ericsson Link</t>
  </si>
  <si>
    <t>23G3441</t>
  </si>
  <si>
    <t>Weliwatta_Lamp-GM5358-23G3441-HY</t>
  </si>
  <si>
    <t>GM0041</t>
  </si>
  <si>
    <t>Raddoluwa</t>
  </si>
  <si>
    <t>Raddoluwa-GM0041-23G3441-HY</t>
  </si>
  <si>
    <t>10.196.218.153/29 inband</t>
  </si>
  <si>
    <t>10.196.218.154</t>
  </si>
  <si>
    <t>10.196.218.155</t>
  </si>
  <si>
    <t>RADDOLUWA-CMBN-ACC06-R2-N3-01</t>
  </si>
  <si>
    <t>GE0/2/7</t>
  </si>
  <si>
    <t>MW_2026_1909</t>
  </si>
  <si>
    <t>23G3442</t>
  </si>
  <si>
    <t>Weliamuna_Rd_Lamp-GM5368-23G3442-HY</t>
  </si>
  <si>
    <t>GM0016</t>
  </si>
  <si>
    <t>Hekiththa</t>
  </si>
  <si>
    <t>Hekiththa-GM0016-23G3442-HY</t>
  </si>
  <si>
    <t>10.196.27.217/29 Inband</t>
  </si>
  <si>
    <t>10.196.27.218</t>
  </si>
  <si>
    <t>10.196.27.219</t>
  </si>
  <si>
    <t>HEKITHTHA-CMBN-ACC02-R1-N5-01</t>
  </si>
  <si>
    <t>GE0/2/3</t>
  </si>
  <si>
    <t>MW_2026_1908</t>
  </si>
  <si>
    <t>Link Changed to Huawei, Ips from Mail</t>
  </si>
  <si>
    <t>23G3443</t>
  </si>
  <si>
    <t>Pamunuvila_Lamp-GM5356-23G3443-HY</t>
  </si>
  <si>
    <t>GM0551</t>
  </si>
  <si>
    <t>Pelengahahena</t>
  </si>
  <si>
    <t>Pelengahahena-GM0551-23G3443-HY</t>
  </si>
  <si>
    <t>10.196.117.33</t>
  </si>
  <si>
    <t>10.196.117.34</t>
  </si>
  <si>
    <t>10.196.117.37</t>
  </si>
  <si>
    <t>10.196.117.38</t>
  </si>
  <si>
    <t>PELENGAHAHENA-CMBN-ACC12-R1-N3-01</t>
  </si>
  <si>
    <t>MW_2026_1852</t>
  </si>
  <si>
    <t>23G3419</t>
  </si>
  <si>
    <t>Pepiliyana_Town_North_lamp-CM5762-23G3419-HY</t>
  </si>
  <si>
    <t>CM0573</t>
  </si>
  <si>
    <t>Pepiliyana_Town</t>
  </si>
  <si>
    <t>Pepiliyana_Town-CM0573-23G3419-HY</t>
  </si>
  <si>
    <t>10.196.120.209/30</t>
  </si>
  <si>
    <t>10.196.120.210</t>
  </si>
  <si>
    <t>10.196.120.213</t>
  </si>
  <si>
    <t>10.196.120.214</t>
  </si>
  <si>
    <t>PEPILIYANA_TOWN-CMBS-ACC02-R1-N5-01</t>
  </si>
  <si>
    <t>MW_2026_1878</t>
  </si>
  <si>
    <t>23G3430</t>
  </si>
  <si>
    <t>Morahena_Lamp-GM5359-23G3430-HY</t>
  </si>
  <si>
    <t>GM0023</t>
  </si>
  <si>
    <t>Kalagedihena</t>
  </si>
  <si>
    <t>Kalagedihena-GM0023-23G3430-HY</t>
  </si>
  <si>
    <t>10.196.218.73/29 Inband</t>
  </si>
  <si>
    <t>10.196.218.74</t>
  </si>
  <si>
    <t>10.196.218.75</t>
  </si>
  <si>
    <t>KALAGEDIHENA-CETR-ACC01-R1-N1-01</t>
  </si>
  <si>
    <t>MW_2026_1857</t>
  </si>
  <si>
    <t>23G3427</t>
  </si>
  <si>
    <t>Katuwellegama_Lamp</t>
  </si>
  <si>
    <t>Katuwellegama_Lamp-GM5355-23G3427-HY</t>
  </si>
  <si>
    <t>GM0075</t>
  </si>
  <si>
    <t>Katuwellegama</t>
  </si>
  <si>
    <t>Katuwellegama-GM0075-23G3427-HY</t>
  </si>
  <si>
    <t>10.196.170.137/29 Inband</t>
  </si>
  <si>
    <t>10.196.170.138</t>
  </si>
  <si>
    <t>10.196.170.139</t>
  </si>
  <si>
    <t>KATUWELLEGAMA-CMBN-ACC09-R3-N1-01</t>
  </si>
  <si>
    <t>MW_2026_1807</t>
  </si>
  <si>
    <t>Use existing IP on removed MW link</t>
  </si>
  <si>
    <t>23G3398</t>
  </si>
  <si>
    <t>Makola_North_Lamp-GM5370-23G3398-HY</t>
  </si>
  <si>
    <t>Pelengahahena-GM0551-23G3398-HY</t>
  </si>
  <si>
    <t>10.196.32.177</t>
  </si>
  <si>
    <t>10.196.32.178</t>
  </si>
  <si>
    <t>10.196.32.181</t>
  </si>
  <si>
    <t>10.196.32.182</t>
  </si>
  <si>
    <t>WIBAS_2026_1784</t>
  </si>
  <si>
    <t>10G1555</t>
  </si>
  <si>
    <t>Nandan-KU5059-10G1555-PtP22V</t>
  </si>
  <si>
    <t>KU0203</t>
  </si>
  <si>
    <t>Wilgoda</t>
  </si>
  <si>
    <t>Wilgoda-KU0203-10G1555-PtP22V</t>
  </si>
  <si>
    <t>10.208.25.129/29</t>
  </si>
  <si>
    <t>10.208.25.130/29</t>
  </si>
  <si>
    <t>10.208.25.131/29</t>
  </si>
  <si>
    <t>WILGODA-CETR-ACC11-R2-N1-01</t>
  </si>
  <si>
    <t>GE0/2/5</t>
  </si>
  <si>
    <t>WIBAS_2026_1791</t>
  </si>
  <si>
    <t>10G1562</t>
  </si>
  <si>
    <t>Bomiri-CM5779-10G1562-PtP213V</t>
  </si>
  <si>
    <t>CM0346</t>
  </si>
  <si>
    <t>Bomiriya</t>
  </si>
  <si>
    <t>Bomiriya-CM0346-10G1562-PtP33V</t>
  </si>
  <si>
    <t>10.208.25.185/29</t>
  </si>
  <si>
    <t>10.208.25.186/29</t>
  </si>
  <si>
    <t>10.208.25.187/29</t>
  </si>
  <si>
    <t>BOMIRIYA-CMBN-ACC04-R4-N4-01</t>
  </si>
  <si>
    <t>GE0/2/8</t>
  </si>
  <si>
    <t>Batch 6</t>
  </si>
  <si>
    <t>10G1535</t>
  </si>
  <si>
    <t>WELIKETIYA_LM-MR5051-10G1535-ptp-68v</t>
  </si>
  <si>
    <t>MR0184</t>
  </si>
  <si>
    <t>Weliketiya</t>
  </si>
  <si>
    <t>WELIKETIYA-MR0184-10G1535-ptp248v</t>
  </si>
  <si>
    <t>10.208.24.233/29</t>
  </si>
  <si>
    <t>10.208.24.234/29</t>
  </si>
  <si>
    <t>10.208.24.235/29</t>
  </si>
  <si>
    <t>WELIKETIYA-SURN-MWI20-R1-N4-01</t>
  </si>
  <si>
    <t>CM0993</t>
  </si>
  <si>
    <t>DAMBAHENA ROAD</t>
  </si>
  <si>
    <t>DAMBAHENA_RD-CMBS-ACC03-R6-N1-01</t>
  </si>
  <si>
    <t>DAMBAHENA ROAD-PP-01-17-18</t>
  </si>
  <si>
    <t>BS80445</t>
  </si>
  <si>
    <t>CM0903</t>
  </si>
  <si>
    <t>Uswattha Road Dialog</t>
  </si>
  <si>
    <t>USWATTHA_ROAD-CMBS-ACC04-R2-N5-01</t>
  </si>
  <si>
    <t>GE0/2/22</t>
  </si>
  <si>
    <t>Uswattha Road Dialog-PP-01-11-12</t>
  </si>
  <si>
    <t>BS80437</t>
  </si>
  <si>
    <t>PU0080</t>
  </si>
  <si>
    <t>Pambala</t>
  </si>
  <si>
    <t>MADAMPE_NORTH-CETR-ACC04-R6-N4-01</t>
  </si>
  <si>
    <t>MADAMPE North-PP-01-07-08</t>
  </si>
  <si>
    <t>BS80455</t>
  </si>
  <si>
    <t>MALABE_GEMUNUPURA_MW-CMBS-ACC18-R1-N3-01</t>
  </si>
  <si>
    <t>Malabe_Gamunupura_Mawatha-PP-01-05~06</t>
  </si>
  <si>
    <t>CM2601</t>
  </si>
  <si>
    <t>COL_KAD129_GC</t>
  </si>
  <si>
    <t>BS80450</t>
  </si>
  <si>
    <t>NO</t>
  </si>
  <si>
    <t>ECO Engineers have done the Link</t>
  </si>
  <si>
    <t>MW_2026_2114</t>
  </si>
  <si>
    <t>23G3503</t>
  </si>
  <si>
    <t>Rilaulla_Lamp-GM5357-23G3503-HY</t>
  </si>
  <si>
    <t>GM0079</t>
  </si>
  <si>
    <t>Kandana_West</t>
  </si>
  <si>
    <t>Kandana_West-GM0079-23G3503-HY</t>
  </si>
  <si>
    <t>10.196.24.249/30 Inband</t>
  </si>
  <si>
    <t>10.196.24.250</t>
  </si>
  <si>
    <t>10.196.24.253</t>
  </si>
  <si>
    <t>10.196.24.254</t>
  </si>
  <si>
    <t>KANDANA_WEST-CMBN-ACC02-R2-N3-01</t>
  </si>
  <si>
    <t>MW_2026_2062</t>
  </si>
  <si>
    <t>23G3487</t>
  </si>
  <si>
    <t>Kondagammulla_Lamp-GM5330-23G3487-HY</t>
  </si>
  <si>
    <t>GM0064</t>
  </si>
  <si>
    <t>Demanhandiya</t>
  </si>
  <si>
    <t>Demanhandiya-GM0064-23G3487-HY</t>
  </si>
  <si>
    <t>10.196.70.161/30</t>
  </si>
  <si>
    <t>10.196.70.162</t>
  </si>
  <si>
    <t>10.196.70.165</t>
  </si>
  <si>
    <t>10.196.70.166</t>
  </si>
  <si>
    <t>DEMANHANDIYA-CMBN-ACC09-R5-N1-01</t>
  </si>
  <si>
    <t>At New Site</t>
  </si>
  <si>
    <t>23G2833</t>
  </si>
  <si>
    <t>GM1155</t>
  </si>
  <si>
    <t>Ranmuthu_Uyana_Road</t>
  </si>
  <si>
    <t>GM0536</t>
  </si>
  <si>
    <t>Eldeniya Relocation Dialog</t>
  </si>
  <si>
    <t>18G3334</t>
  </si>
  <si>
    <t>BA0182</t>
  </si>
  <si>
    <t>Mavadichchenai</t>
  </si>
  <si>
    <t>BA0136</t>
  </si>
  <si>
    <t>Oddamavadi_North</t>
  </si>
  <si>
    <t>Already Removed One</t>
  </si>
  <si>
    <t>18G2716</t>
  </si>
  <si>
    <t>KU0210</t>
  </si>
  <si>
    <t>Hettipola_South</t>
  </si>
  <si>
    <t>KU0004</t>
  </si>
  <si>
    <t>Hettipola</t>
  </si>
  <si>
    <t>0.9m</t>
  </si>
  <si>
    <r>
      <t>CM0135 FE Link Removed on 21</t>
    </r>
    <r>
      <rPr>
        <vertAlign val="superscript"/>
        <sz val="10"/>
        <color theme="1"/>
        <rFont val="Calibri"/>
        <family val="2"/>
        <scheme val="minor"/>
      </rPr>
      <t>st</t>
    </r>
    <r>
      <rPr>
        <sz val="10"/>
        <color theme="1"/>
        <rFont val="Calibri"/>
        <family val="2"/>
        <scheme val="minor"/>
      </rPr>
      <t xml:space="preserve"> April, No link at NE side</t>
    </r>
  </si>
  <si>
    <t>Received the direction to take, removed 1 MW Antenna from Anuradhapura_South_Lamp Link.</t>
  </si>
  <si>
    <t>23G3141</t>
  </si>
  <si>
    <t>CM2530</t>
  </si>
  <si>
    <t>COL_DEH185_GC</t>
  </si>
  <si>
    <t>CM0135</t>
  </si>
  <si>
    <t>Dehiwala North</t>
  </si>
  <si>
    <r>
      <t>Revised Mapping link received on 22</t>
    </r>
    <r>
      <rPr>
        <vertAlign val="superscript"/>
        <sz val="10"/>
        <color theme="1"/>
        <rFont val="Calibri"/>
        <family val="2"/>
        <scheme val="minor"/>
      </rPr>
      <t>nd</t>
    </r>
    <r>
      <rPr>
        <sz val="10"/>
        <color theme="1"/>
        <rFont val="Calibri"/>
        <family val="2"/>
        <scheme val="minor"/>
      </rPr>
      <t xml:space="preserve"> April</t>
    </r>
  </si>
  <si>
    <t>23G930</t>
  </si>
  <si>
    <t>CM0342</t>
  </si>
  <si>
    <t>Ratmalana East Dialog</t>
  </si>
  <si>
    <t>CM0165</t>
  </si>
  <si>
    <t>Ratmalana Dialog</t>
  </si>
  <si>
    <t>Sudarshana</t>
  </si>
  <si>
    <r>
      <t>Revised Mapping link received on 21</t>
    </r>
    <r>
      <rPr>
        <vertAlign val="superscript"/>
        <sz val="10"/>
        <color theme="1"/>
        <rFont val="Calibri"/>
        <family val="2"/>
        <scheme val="minor"/>
      </rPr>
      <t>st</t>
    </r>
    <r>
      <rPr>
        <sz val="10"/>
        <color theme="1"/>
        <rFont val="Calibri"/>
        <family val="2"/>
        <scheme val="minor"/>
      </rPr>
      <t xml:space="preserve"> April</t>
    </r>
  </si>
  <si>
    <t>CM5313</t>
  </si>
  <si>
    <t>Parisara_Mw_Lamp-CM5313</t>
  </si>
  <si>
    <t>CM0061</t>
  </si>
  <si>
    <t>Maradana</t>
  </si>
  <si>
    <t>Cannot remove</t>
  </si>
  <si>
    <t>Can not remove the link (Live)</t>
  </si>
  <si>
    <t>CM1487</t>
  </si>
  <si>
    <t>Edinborough_Paduka_EBTS</t>
  </si>
  <si>
    <t>CM0516</t>
  </si>
  <si>
    <t>Dampe dialog</t>
  </si>
  <si>
    <t>N0</t>
  </si>
  <si>
    <r>
      <t>JA5000 NE Link Removed on 25</t>
    </r>
    <r>
      <rPr>
        <vertAlign val="superscript"/>
        <sz val="10"/>
        <color theme="1"/>
        <rFont val="Calibri"/>
        <family val="2"/>
        <scheme val="minor"/>
      </rPr>
      <t xml:space="preserve">th </t>
    </r>
    <r>
      <rPr>
        <sz val="10"/>
        <color theme="1"/>
        <rFont val="Calibri"/>
        <family val="2"/>
        <scheme val="minor"/>
      </rPr>
      <t>April, No link at FE side</t>
    </r>
  </si>
  <si>
    <r>
      <t>2</t>
    </r>
    <r>
      <rPr>
        <vertAlign val="superscript"/>
        <sz val="10"/>
        <color theme="1"/>
        <rFont val="Calibri"/>
        <family val="2"/>
        <scheme val="minor"/>
      </rPr>
      <t xml:space="preserve">nd </t>
    </r>
    <r>
      <rPr>
        <sz val="10"/>
        <color theme="1"/>
        <rFont val="Calibri"/>
        <family val="2"/>
        <scheme val="minor"/>
      </rPr>
      <t>Revised Mapping link received on 21</t>
    </r>
    <r>
      <rPr>
        <vertAlign val="superscript"/>
        <sz val="10"/>
        <color theme="1"/>
        <rFont val="Calibri"/>
        <family val="2"/>
        <scheme val="minor"/>
      </rPr>
      <t>st</t>
    </r>
    <r>
      <rPr>
        <sz val="10"/>
        <color theme="1"/>
        <rFont val="Calibri"/>
        <family val="2"/>
        <scheme val="minor"/>
      </rPr>
      <t xml:space="preserve"> April. No Link at FE Side</t>
    </r>
  </si>
  <si>
    <t>JA5000</t>
  </si>
  <si>
    <t>Jaffna_Power_House_Rd_Lamp</t>
  </si>
  <si>
    <t>JA0119</t>
  </si>
  <si>
    <t>Jaffna Town West DBN [Manipay]</t>
  </si>
  <si>
    <t>No link to remove</t>
  </si>
  <si>
    <t>Link already removed</t>
  </si>
  <si>
    <t>GM5192</t>
  </si>
  <si>
    <t>Kudahakapola_1_Lamp_Pole</t>
  </si>
  <si>
    <t>GM0160</t>
  </si>
  <si>
    <t>Dandugama Dialog</t>
  </si>
  <si>
    <r>
      <t>3</t>
    </r>
    <r>
      <rPr>
        <vertAlign val="super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Revised Mapping link received on 25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April</t>
    </r>
  </si>
  <si>
    <t>10G1013</t>
  </si>
  <si>
    <t>MU5006</t>
  </si>
  <si>
    <t>Mulliyawalai_South_Lamp</t>
  </si>
  <si>
    <t>MU0009</t>
  </si>
  <si>
    <t>Tanniyuttu</t>
  </si>
  <si>
    <r>
      <t>2</t>
    </r>
    <r>
      <rPr>
        <vertAlign val="superscript"/>
        <sz val="10"/>
        <color theme="1"/>
        <rFont val="Calibri"/>
        <family val="2"/>
        <scheme val="minor"/>
      </rPr>
      <t>nd</t>
    </r>
    <r>
      <rPr>
        <sz val="10"/>
        <color theme="1"/>
        <rFont val="Calibri"/>
        <family val="2"/>
        <scheme val="minor"/>
      </rPr>
      <t xml:space="preserve"> Revised Mapping link received on 25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April</t>
    </r>
  </si>
  <si>
    <t>10G1355</t>
  </si>
  <si>
    <t>MT5052</t>
  </si>
  <si>
    <t>Moragollewa_Lamp</t>
  </si>
  <si>
    <t>MT0106</t>
  </si>
  <si>
    <t>Ambul_Ambe</t>
  </si>
  <si>
    <r>
      <t>Revised Faulty Replacement Mapping link received on 06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May</t>
    </r>
  </si>
  <si>
    <t>10G1046</t>
  </si>
  <si>
    <t>CM5203</t>
  </si>
  <si>
    <t>IDH 1 RDA Lamp</t>
  </si>
  <si>
    <t>CM0239</t>
  </si>
  <si>
    <t>Kohilawatta</t>
  </si>
  <si>
    <t>28-May &amp; 29-May</t>
  </si>
  <si>
    <r>
      <t>Revised Faulty Replacement Mapping link received on 06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May, mgt ok ne &amp; fe, acc to region no poe at lamp side</t>
    </r>
  </si>
  <si>
    <t>10G1051</t>
  </si>
  <si>
    <t>CM5363</t>
  </si>
  <si>
    <t>Kosgama South 1 Lamp</t>
  </si>
  <si>
    <t>05-May &amp; 01-Jun</t>
  </si>
  <si>
    <t>At Samuddrasanna_Rd_Lamp</t>
  </si>
  <si>
    <t>No access to the Delpe_Jn site</t>
  </si>
  <si>
    <t>23G2873</t>
  </si>
  <si>
    <t>GM0190</t>
  </si>
  <si>
    <t>Kurukulawa Dialog</t>
  </si>
  <si>
    <t>GM1154</t>
  </si>
  <si>
    <t>Delpe_Jn</t>
  </si>
  <si>
    <t>MW-HYB-ACE</t>
  </si>
  <si>
    <t>MW is available according to the DAP officer, and management is available to the IPNOC</t>
  </si>
  <si>
    <t>23G2788</t>
  </si>
  <si>
    <t>CM2495</t>
  </si>
  <si>
    <t>Siyambalagoda_North</t>
  </si>
  <si>
    <t>CM2481</t>
  </si>
  <si>
    <t>Kudamaduwa_Reloc</t>
  </si>
  <si>
    <t>MW is available according to the DAP officer, No management to the IPNOC</t>
  </si>
  <si>
    <t>18G2112</t>
  </si>
  <si>
    <t>KU0284</t>
  </si>
  <si>
    <t>Metiyagane_South</t>
  </si>
  <si>
    <t>KU0091</t>
  </si>
  <si>
    <t>Boyawalana</t>
  </si>
  <si>
    <t>Collected from Eco Engineers</t>
  </si>
  <si>
    <t>At Thittawella_East_Lamp</t>
  </si>
  <si>
    <t>MW availability is unknown according to the DAP officer; IDU is not their at MT0040</t>
  </si>
  <si>
    <t>23G2750</t>
  </si>
  <si>
    <t>MT0040</t>
  </si>
  <si>
    <t>Matale_West</t>
  </si>
  <si>
    <t>MT0005</t>
  </si>
  <si>
    <t>Matale Dialog</t>
  </si>
  <si>
    <t>MW availability is unknown according to the DAP officer, No management to NE &amp; have management to FE to the IPNOC</t>
  </si>
  <si>
    <t>23G2744</t>
  </si>
  <si>
    <t>BD0285</t>
  </si>
  <si>
    <t>Badulaupitiya</t>
  </si>
  <si>
    <t>BD0001</t>
  </si>
  <si>
    <t>Badulla</t>
  </si>
  <si>
    <t>Used for Spares</t>
  </si>
  <si>
    <t>23G2484</t>
  </si>
  <si>
    <t>BD0179</t>
  </si>
  <si>
    <t>Gotuwela</t>
  </si>
  <si>
    <t>BD0017</t>
  </si>
  <si>
    <t>Demodara</t>
  </si>
  <si>
    <t>MW Available</t>
  </si>
  <si>
    <t>23G2553</t>
  </si>
  <si>
    <t>PU0198</t>
  </si>
  <si>
    <t>Kirimetiyana_East</t>
  </si>
  <si>
    <t>PU0030</t>
  </si>
  <si>
    <t>Kirimetiyana</t>
  </si>
  <si>
    <t>MW is available according to the DAP officer, Have management to NE &amp; FE side to the IPNOC</t>
  </si>
  <si>
    <t>23G1823</t>
  </si>
  <si>
    <t>NU0080</t>
  </si>
  <si>
    <t>Laxapana Mobitel</t>
  </si>
  <si>
    <t>NU0143</t>
  </si>
  <si>
    <t>Laxapana Town Dialog</t>
  </si>
  <si>
    <t>23G2341</t>
  </si>
  <si>
    <t>HA0232</t>
  </si>
  <si>
    <t>Hilton_Yala_Outdoor</t>
  </si>
  <si>
    <t>HA0053</t>
  </si>
  <si>
    <t>Yala</t>
  </si>
  <si>
    <t>23G3249</t>
  </si>
  <si>
    <t>GM5319</t>
  </si>
  <si>
    <t>Sinharamulla_Lamp</t>
  </si>
  <si>
    <t>GM0518</t>
  </si>
  <si>
    <t>Sinharamulla_North</t>
  </si>
  <si>
    <t>Revised Mapping link asked to take the from Eco Engineers</t>
  </si>
  <si>
    <t>23G2868</t>
  </si>
  <si>
    <t>CM2237</t>
  </si>
  <si>
    <t>Nonawatta_East</t>
  </si>
  <si>
    <t>CM0255</t>
  </si>
  <si>
    <t>Meegoda</t>
  </si>
  <si>
    <t>no mgt ne &amp; fe, might be removed, suntel side no poe region removed, FE only removed &amp; No POE at FE</t>
  </si>
  <si>
    <t>KE0161 - Wibass Antenna(0.6)
                 ODU</t>
  </si>
  <si>
    <t>10G0737</t>
  </si>
  <si>
    <t>KE5007</t>
  </si>
  <si>
    <t>Rambukkana_Brandix_Lamp-KE5007</t>
  </si>
  <si>
    <t>KE0161</t>
  </si>
  <si>
    <t>Rambukkana_Suntel (RAM/001)</t>
  </si>
  <si>
    <t>28-May &amp; 08-Jun</t>
  </si>
  <si>
    <t>No mgt ne &amp; fe, might be removed, link might be their, poe removed from one side as per dap officer</t>
  </si>
  <si>
    <t>CM5372 - Wibass Antenna(0.3)
                   ODU
                   PONE(Not Powered)
                   Arestor</t>
  </si>
  <si>
    <t>10G0771</t>
  </si>
  <si>
    <t>CM5372</t>
  </si>
  <si>
    <t>Moratuwa Town South Lamp</t>
  </si>
  <si>
    <t>CM0068</t>
  </si>
  <si>
    <t>Moratumulla Dialog</t>
  </si>
  <si>
    <t>Faulty Replacements</t>
  </si>
  <si>
    <t>As per depot, no link</t>
  </si>
  <si>
    <t>10G0892</t>
  </si>
  <si>
    <t>GM0951</t>
  </si>
  <si>
    <t>Print_Care_Kadawata_EBTS</t>
  </si>
  <si>
    <t>GM0126</t>
  </si>
  <si>
    <t>Kadawatha South Dialog</t>
  </si>
  <si>
    <t>Xpic Link removed (2 Hi &amp; 2Lo ODUs, 2 RTN905 IDUs &amp; 2 SFPs)</t>
  </si>
  <si>
    <t>23G2953</t>
  </si>
  <si>
    <t>GM0032</t>
  </si>
  <si>
    <t>Mahabage</t>
  </si>
  <si>
    <t>GM0502</t>
  </si>
  <si>
    <t>Mabole_North</t>
  </si>
  <si>
    <t>Weliketiya Lamp</t>
  </si>
  <si>
    <t>No POEs at both sides</t>
  </si>
  <si>
    <t>KL5021 - WIbass Antenna(0.3)
                ODU(Used to weliketiya Rectification)
KL0043 - Wibass Antenna(0.6)
               ODU(Used to weliketiya Rectification)</t>
  </si>
  <si>
    <t>10G1155</t>
  </si>
  <si>
    <t>KL5031</t>
  </si>
  <si>
    <t>120_Bus_Root_RDA_Lamp</t>
  </si>
  <si>
    <t>KL0043</t>
  </si>
  <si>
    <t>Horana West DBN</t>
  </si>
  <si>
    <t>No POE at NE Side</t>
  </si>
  <si>
    <t xml:space="preserve">CM5071 - Wibass Antenna(o.3)
                  ODU
                 Arrestor
CM0390 - Wibass Antenna(0.6)
                  ODU
                  PONE   
                  Arrestor      </t>
  </si>
  <si>
    <t>10G1183</t>
  </si>
  <si>
    <t>CM5071</t>
  </si>
  <si>
    <t>Rilawala Lamp</t>
  </si>
  <si>
    <t>CM0390</t>
  </si>
  <si>
    <t>Diyagama South Dialog</t>
  </si>
  <si>
    <t>No POE at FE Side</t>
  </si>
  <si>
    <t>GM5213 - Wibass Antenna(o.3)
                   ODU
                  PONE(Not Powered)
                  Arrestor
GM0172 - Wibass Antenna(0.6)
                  ODU 
                  Arrestor</t>
  </si>
  <si>
    <t>10G1162</t>
  </si>
  <si>
    <t>GM5213</t>
  </si>
  <si>
    <t>Veyangoda_North_Lamp_Pole</t>
  </si>
  <si>
    <t>GM0172</t>
  </si>
  <si>
    <t>Medagampitiya Dialog</t>
  </si>
  <si>
    <t>No FE Site,  totally removed</t>
  </si>
  <si>
    <t>GM5163 - Wibass Antenna(0.3)
                   ODU
                   PONE(Not Powered)
                   Arestor</t>
  </si>
  <si>
    <t>10G1038</t>
  </si>
  <si>
    <t>GM5163</t>
  </si>
  <si>
    <t>Ganemulla_South_Lamp</t>
  </si>
  <si>
    <t>NO FE</t>
  </si>
  <si>
    <t>10G1135</t>
  </si>
  <si>
    <t>CM5357</t>
  </si>
  <si>
    <t>SPAR HO Battaramulla Lamp</t>
  </si>
  <si>
    <t>CM0121</t>
  </si>
  <si>
    <t>Wickramasinghepura DBN</t>
  </si>
  <si>
    <t>23G2688</t>
  </si>
  <si>
    <t>GM1112</t>
  </si>
  <si>
    <t>Srilankan_Catering_Ind</t>
  </si>
  <si>
    <t>GM0056</t>
  </si>
  <si>
    <t>Andiambalama Dialog</t>
  </si>
  <si>
    <t>CM5189 - Wibass Antenna(0.3) - 1
                   ODU - 1
                   PONE - 1
                   Arestor - 1
CM0115 - Wibass Antenna(0.6) - 1
                   ODU - 1
                   PONE - 1
                   Arestor - 1</t>
  </si>
  <si>
    <t>10G0950</t>
  </si>
  <si>
    <t>CM0115</t>
  </si>
  <si>
    <t>Udahamulla</t>
  </si>
  <si>
    <t>CM5189</t>
  </si>
  <si>
    <t>Latitude 26 Lamp</t>
  </si>
  <si>
    <t>Malambe</t>
  </si>
  <si>
    <t>Dehiwala</t>
  </si>
  <si>
    <t>UBBPg2</t>
  </si>
  <si>
    <t>-</t>
  </si>
  <si>
    <t>MC2_Narahenpita_East_Reloc-CM2029-BDGHNOP</t>
  </si>
  <si>
    <t>CM2029</t>
  </si>
  <si>
    <t>210305715510H8011639</t>
  </si>
  <si>
    <t>UBBPe4</t>
  </si>
  <si>
    <t>Thisara</t>
  </si>
  <si>
    <t>MC2_Mt_Lavinia_Beach-CM0627-BDGHLOP</t>
  </si>
  <si>
    <t>CM0627</t>
  </si>
  <si>
    <t>210305715710K4002904</t>
  </si>
  <si>
    <t>UBBPe6</t>
  </si>
  <si>
    <t>022HEK10FA000795</t>
  </si>
  <si>
    <t>UBBPd4</t>
  </si>
  <si>
    <t>210305715710HB002396</t>
  </si>
  <si>
    <t>Ward_Place-CM0118-BHLNOP</t>
  </si>
  <si>
    <t>CM0118</t>
  </si>
  <si>
    <t>210305715710K5001027</t>
  </si>
  <si>
    <t>Park_Hospital-CM1122-BGHLNOP</t>
  </si>
  <si>
    <t>CM1122</t>
  </si>
  <si>
    <t>210305862610L9000006</t>
  </si>
  <si>
    <t>210305862610LB008451</t>
  </si>
  <si>
    <t>Alexandra_Place-CM0220-BDGHLNOP</t>
  </si>
  <si>
    <t>CM0220</t>
  </si>
  <si>
    <t>022HEK10FA000317</t>
  </si>
  <si>
    <t>Weboda-GM0152-BDGHNOP</t>
  </si>
  <si>
    <t>GM0152</t>
  </si>
  <si>
    <t>210305715510H4012546</t>
  </si>
  <si>
    <t>022HEK4MFB001581</t>
  </si>
  <si>
    <t>De_Seram_Rd-CM0288-HLNOP</t>
  </si>
  <si>
    <t>CM0288</t>
  </si>
  <si>
    <t>Mapped Site Name</t>
  </si>
  <si>
    <t>Mapped Site ID</t>
  </si>
  <si>
    <t>Removed Card SN</t>
  </si>
  <si>
    <t>Removed Card Type</t>
  </si>
  <si>
    <t>Baseband Removal 6 (slot 5)</t>
  </si>
  <si>
    <t>Baseband Removal 5 (slot 4)</t>
  </si>
  <si>
    <t>Baseband Removal 4 (slot 3)</t>
  </si>
  <si>
    <t>Baseband Removal 3 (slot 2)</t>
  </si>
  <si>
    <t>Baseband Removal 2 (slot 1)</t>
  </si>
  <si>
    <t>Baseband Removal 1 (slot 0)</t>
  </si>
  <si>
    <t>Baseband Removal Amount</t>
  </si>
  <si>
    <t>OMCR</t>
  </si>
  <si>
    <t>Wi-Bas ODU Faulty (with 2nd Mapping Link) - Done on 04th July</t>
  </si>
  <si>
    <t xml:space="preserve">UMPTb1 Faulty - </t>
  </si>
  <si>
    <t>ODU, IDUs, ETU card Faulty at Lamp Side (Taking materials from the not used Ericsson mapping link for rectification) - Done on 16th June
MW Down issue - 
VSWR at L900 Sec 02 - 
UMPTb1 Faulty - Done on 27th June</t>
  </si>
  <si>
    <t>BBU FAN, UMPTb1 Faulty - Done on 02nd July</t>
  </si>
  <si>
    <t>Site Installation completed - 22nd of December 2025 (No Power to the site; team withdrew after the installation)
LP Power issue sorted – 07th of May 2026
1st visit after power issue sorted – 21st of June 2026 (Team identified POEs faulty at both sides)
2nd visit with POEs – 23rd of June 2026 (Team identified ODUs faulty at both sides)
3rd visit with Wi-Bas Mapping link – 06th of June 2026 (Visit only LP side due to Cabinet SWAP working at HUB Site, changed ODU at LP side)
4th visit with Wi-Bas Mapping link from KL5031-KL0043 (120_Bus_Root_RDA_Lamp-Horana West DBN) – 08th of June 2026 (Wi-Bas link issue sorted, link got accepted, Sector 01 RRU only On-Aired, Sector 02 &amp; Sector 03 RRUs Faulty)
5th visit with RRUs – 27th of June (Replaced the faulty RRUs, Wi-Bas link down - team identified ODU faulty at HUB site, LP Rectifier slots faulty)</t>
  </si>
  <si>
    <t xml:space="preserve">Wi-Bas POE faulty - Done on 23rd June
UMPTb1 Faulty at Lamp Side - Done on 26th June
VSWR Alarm - </t>
  </si>
  <si>
    <t>UMPT &amp; UBBP Card Faulty - Done on 21st June
UBBP Faulty, High VSWR - Done on 26th June</t>
  </si>
  <si>
    <t>Ericsson IDUs NPU Card Faulty at Lamp Side - Done on 16th June
UMPTb1 Card Faulty - Done on 16th June
UBBP Card Faulty - Done on 16th June
VSWR at L21 SEC 02 - 
BBU Chassie Faulty - Done on 26th June</t>
  </si>
  <si>
    <t xml:space="preserve">UBBP Card Replacement - Done on 18th June
L900 Sec 02 down - Done on 23rd June
BBU Chassie &amp; FAN Faulty - Done on 25th June
BBU Slot Issue - Done on 26th June
Replaced FAN Faulty -  </t>
  </si>
  <si>
    <t>BBU FAN Faulty - Requested</t>
  </si>
  <si>
    <t>UMPTb1 Card Faulty - Used the UMPTe2 card from the previous bulk
Ericsson Link unable to add NMS (NOC Issue) - Done on 06th June</t>
  </si>
  <si>
    <t>UMPTb1 Card Faulty - Used the UMPTe2 card from the previous bulk</t>
  </si>
  <si>
    <t>UBBP Faulty - Done on 23rd May</t>
  </si>
  <si>
    <t>UMPTb1 Card Faulty - Done on 20th June
OFN Patching - Done on 20th June</t>
  </si>
  <si>
    <t>OFN Patching - Done on 24th May</t>
  </si>
  <si>
    <t>UBBP Card Faulty -  Done on 25th May
High VSWR - Antenna Faulty (not replaced yet)</t>
  </si>
  <si>
    <t>Initial mapping CM5313-CM0061 Wi-Bas Faulty
2nd Mapping Link CM5203-CM0239 (NE Link only changed) - Done on 09th May</t>
  </si>
  <si>
    <t>Issues</t>
  </si>
  <si>
    <t>Thushan</t>
  </si>
  <si>
    <t>Hasith</t>
  </si>
  <si>
    <t>RVV2NPX310.211R</t>
  </si>
  <si>
    <t>COMM_ANT_RVV2H-6533D-R5_4.3-10F</t>
  </si>
  <si>
    <t>Andw _Ant _XX_GSM/3G _65_DBXLH-6565C-VTM</t>
  </si>
  <si>
    <t>4 Port</t>
  </si>
  <si>
    <t xml:space="preserve">RRUS11B1 </t>
  </si>
  <si>
    <t>RRUS13B1</t>
  </si>
  <si>
    <t>DXX-1710-2690/1710-2690-65/65-18i/18i-M/M</t>
  </si>
  <si>
    <t>2 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</si>
</sst>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roboto"/>
      <family val="2"/>
    </font>
    <font>
      <sz val="10"/>
      <color theme="1"/>
      <name val="Calibri"/>
      <family val="2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rgb="FF1F4E79"/>
      <name val="Calibri"/>
      <family val="2"/>
    </font>
    <font>
      <b/>
      <sz val="13"/>
      <color rgb="FFFFFFFF"/>
      <name val="Calibri"/>
      <family val="2"/>
    </font>
    <font>
      <b/>
      <sz val="26"/>
      <color rgb="FFFFFFFF"/>
      <name val="Calibri"/>
      <family val="2"/>
    </font>
    <font>
      <b/>
      <sz val="10"/>
      <color rgb="FFFFFFFF"/>
      <name val="Calibri"/>
      <family val="2"/>
    </font>
    <font>
      <b/>
      <sz val="11"/>
      <color theme="0"/>
      <name val="Calibri"/>
      <family val="2"/>
    </font>
    <font>
      <b/>
      <sz val="13"/>
      <color rgb="FFFFFFFF"/>
      <name val="Calibri"/>
      <family val="2"/>
    </font>
    <font>
      <b/>
      <i/>
      <sz val="9"/>
      <color rgb="FFFFFFFF"/>
      <name val="Calibri"/>
      <family val="2"/>
    </font>
    <font>
      <b/>
      <sz val="9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18"/>
      <color rgb="FF1F4E79"/>
      <name val="Calibri"/>
      <family val="2"/>
    </font>
    <font>
      <b/>
      <sz val="12"/>
      <color rgb="FFFFFFFF"/>
      <name val="Calibri"/>
      <family val="2"/>
    </font>
    <font>
      <b/>
      <sz val="12"/>
      <color theme="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800000"/>
      <name val="Calibri"/>
      <family val="2"/>
    </font>
    <font>
      <b/>
      <sz val="11"/>
      <color rgb="FFFFFFFF"/>
      <name val="Calibri"/>
      <family val="2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0"/>
      <color theme="1"/>
      <name val="Calibri"/>
      <family val="2"/>
    </font>
    <font>
      <b/>
      <sz val="10"/>
      <color rgb="FFFF0066"/>
      <name val="Calibri"/>
      <family val="2"/>
    </font>
    <font>
      <b/>
      <sz val="10"/>
      <color rgb="FFC00000"/>
      <name val="Calibri"/>
      <family val="2"/>
    </font>
    <font>
      <b/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FFFFFF"/>
        <bgColor rgb="FFEBF3FB"/>
      </patternFill>
    </fill>
    <fill>
      <patternFill patternType="solid">
        <fgColor rgb="FF4472C4"/>
        <bgColor rgb="FF2E75B6"/>
      </patternFill>
    </fill>
    <fill>
      <patternFill patternType="solid">
        <fgColor rgb="FF1F4E79"/>
        <bgColor rgb="FF00555A"/>
      </patternFill>
    </fill>
    <fill>
      <patternFill patternType="solid">
        <fgColor rgb="FF595959"/>
        <bgColor rgb="FF5E407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rgb="FF9C5700"/>
      </patternFill>
    </fill>
    <fill>
      <patternFill patternType="solid">
        <fgColor rgb="FF1E6B0A"/>
        <bgColor rgb="FF00555A"/>
      </patternFill>
    </fill>
    <fill>
      <patternFill patternType="solid">
        <fgColor rgb="FF00B050"/>
        <bgColor rgb="FF595959"/>
      </patternFill>
    </fill>
    <fill>
      <patternFill patternType="solid">
        <fgColor theme="7" tint="-0.249977111117893"/>
        <bgColor rgb="FF9C0006"/>
      </patternFill>
    </fill>
    <fill>
      <patternFill patternType="solid">
        <fgColor rgb="FFFF0066"/>
        <bgColor rgb="FF9C5700"/>
      </patternFill>
    </fill>
    <fill>
      <patternFill patternType="solid">
        <fgColor theme="9"/>
        <bgColor rgb="FFBF9000"/>
      </patternFill>
    </fill>
    <fill>
      <patternFill patternType="solid">
        <fgColor rgb="FFFFA602"/>
        <bgColor rgb="FF9C5700"/>
      </patternFill>
    </fill>
    <fill>
      <patternFill patternType="solid">
        <fgColor rgb="FF1F4E79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60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89F9F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auto="1"/>
      </bottom>
      <diagonal/>
    </border>
  </borders>
  <cellStyleXfs count="19">
    <xf numFmtId="0" fontId="0" fillId="0" borderId="0"/>
    <xf numFmtId="0" fontId="13" fillId="0" borderId="0"/>
    <xf numFmtId="43" fontId="13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7" fillId="0" borderId="0"/>
    <xf numFmtId="0" fontId="7" fillId="0" borderId="0"/>
    <xf numFmtId="0" fontId="25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</cellStyleXfs>
  <cellXfs count="3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3" fillId="0" borderId="0" xfId="1" applyAlignment="1">
      <alignment horizontal="center" vertical="center" wrapText="1"/>
    </xf>
    <xf numFmtId="0" fontId="13" fillId="0" borderId="0" xfId="1"/>
    <xf numFmtId="0" fontId="9" fillId="4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4" fillId="3" borderId="1" xfId="1" applyFont="1" applyFill="1" applyBorder="1" applyAlignment="1">
      <alignment horizontal="center" vertical="center"/>
    </xf>
    <xf numFmtId="0" fontId="11" fillId="11" borderId="1" xfId="1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14" borderId="1" xfId="0" applyFont="1" applyFill="1" applyBorder="1" applyAlignment="1">
      <alignment horizontal="center" vertical="center" wrapText="1"/>
    </xf>
    <xf numFmtId="0" fontId="9" fillId="15" borderId="1" xfId="0" applyFont="1" applyFill="1" applyBorder="1" applyAlignment="1">
      <alignment horizontal="center" vertical="center" wrapText="1"/>
    </xf>
    <xf numFmtId="0" fontId="20" fillId="15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11" fillId="13" borderId="1" xfId="1" applyFont="1" applyFill="1" applyBorder="1" applyAlignment="1">
      <alignment horizontal="center" vertical="center"/>
    </xf>
    <xf numFmtId="0" fontId="11" fillId="0" borderId="1" xfId="1" applyFont="1" applyBorder="1" applyAlignment="1">
      <alignment horizontal="left" vertical="center"/>
    </xf>
    <xf numFmtId="0" fontId="11" fillId="0" borderId="0" xfId="1" applyFont="1" applyAlignment="1">
      <alignment horizontal="center" vertical="center"/>
    </xf>
    <xf numFmtId="0" fontId="9" fillId="16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16" fontId="14" fillId="0" borderId="1" xfId="0" applyNumberFormat="1" applyFont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center"/>
    </xf>
    <xf numFmtId="0" fontId="11" fillId="7" borderId="1" xfId="1" applyFont="1" applyFill="1" applyBorder="1" applyAlignment="1">
      <alignment horizontal="center" vertical="center"/>
    </xf>
    <xf numFmtId="0" fontId="11" fillId="7" borderId="1" xfId="1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center" vertical="center"/>
    </xf>
    <xf numFmtId="0" fontId="25" fillId="0" borderId="0" xfId="7"/>
    <xf numFmtId="0" fontId="29" fillId="19" borderId="6" xfId="7" applyFont="1" applyFill="1" applyBorder="1" applyAlignment="1">
      <alignment horizontal="center" vertical="center"/>
    </xf>
    <xf numFmtId="0" fontId="29" fillId="20" borderId="6" xfId="7" applyFont="1" applyFill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30" fillId="20" borderId="6" xfId="7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 wrapText="1"/>
    </xf>
    <xf numFmtId="16" fontId="14" fillId="13" borderId="1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16" fontId="14" fillId="13" borderId="1" xfId="0" applyNumberFormat="1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 wrapText="1"/>
    </xf>
    <xf numFmtId="0" fontId="20" fillId="21" borderId="1" xfId="0" applyFont="1" applyFill="1" applyBorder="1" applyAlignment="1">
      <alignment horizontal="center" vertical="center" wrapText="1"/>
    </xf>
    <xf numFmtId="0" fontId="30" fillId="19" borderId="6" xfId="7" applyFont="1" applyFill="1" applyBorder="1" applyAlignment="1">
      <alignment horizontal="center" vertical="center"/>
    </xf>
    <xf numFmtId="0" fontId="14" fillId="0" borderId="0" xfId="7" applyFont="1"/>
    <xf numFmtId="0" fontId="17" fillId="0" borderId="0" xfId="7" applyFont="1"/>
    <xf numFmtId="9" fontId="33" fillId="19" borderId="6" xfId="7" applyNumberFormat="1" applyFont="1" applyFill="1" applyBorder="1" applyAlignment="1">
      <alignment horizontal="center" vertical="center"/>
    </xf>
    <xf numFmtId="0" fontId="33" fillId="20" borderId="6" xfId="7" applyFont="1" applyFill="1" applyBorder="1" applyAlignment="1">
      <alignment horizontal="center" vertical="center"/>
    </xf>
    <xf numFmtId="0" fontId="34" fillId="0" borderId="0" xfId="7" applyFont="1"/>
    <xf numFmtId="0" fontId="30" fillId="22" borderId="6" xfId="7" applyFont="1" applyFill="1" applyBorder="1" applyAlignment="1">
      <alignment horizontal="center" vertical="center" wrapText="1"/>
    </xf>
    <xf numFmtId="0" fontId="29" fillId="22" borderId="6" xfId="7" applyFont="1" applyFill="1" applyBorder="1" applyAlignment="1">
      <alignment horizontal="center" vertical="center"/>
    </xf>
    <xf numFmtId="0" fontId="33" fillId="22" borderId="6" xfId="7" applyFont="1" applyFill="1" applyBorder="1" applyAlignment="1">
      <alignment horizontal="center" vertical="center"/>
    </xf>
    <xf numFmtId="0" fontId="30" fillId="23" borderId="6" xfId="7" applyFont="1" applyFill="1" applyBorder="1" applyAlignment="1">
      <alignment horizontal="center" vertical="center"/>
    </xf>
    <xf numFmtId="0" fontId="29" fillId="23" borderId="6" xfId="7" applyFont="1" applyFill="1" applyBorder="1" applyAlignment="1">
      <alignment horizontal="center" vertical="center"/>
    </xf>
    <xf numFmtId="0" fontId="33" fillId="23" borderId="6" xfId="7" applyFont="1" applyFill="1" applyBorder="1" applyAlignment="1">
      <alignment horizontal="center" vertical="center"/>
    </xf>
    <xf numFmtId="0" fontId="30" fillId="24" borderId="6" xfId="7" applyFont="1" applyFill="1" applyBorder="1" applyAlignment="1">
      <alignment horizontal="center" vertical="center" wrapText="1"/>
    </xf>
    <xf numFmtId="0" fontId="29" fillId="24" borderId="6" xfId="7" applyFont="1" applyFill="1" applyBorder="1" applyAlignment="1">
      <alignment horizontal="center" vertical="center"/>
    </xf>
    <xf numFmtId="0" fontId="33" fillId="24" borderId="6" xfId="7" applyFont="1" applyFill="1" applyBorder="1" applyAlignment="1">
      <alignment horizontal="center" vertical="center"/>
    </xf>
    <xf numFmtId="0" fontId="30" fillId="25" borderId="6" xfId="7" applyFont="1" applyFill="1" applyBorder="1" applyAlignment="1">
      <alignment horizontal="center" vertical="center" wrapText="1"/>
    </xf>
    <xf numFmtId="0" fontId="29" fillId="25" borderId="6" xfId="7" applyFont="1" applyFill="1" applyBorder="1" applyAlignment="1">
      <alignment horizontal="center" vertical="center"/>
    </xf>
    <xf numFmtId="0" fontId="33" fillId="25" borderId="6" xfId="7" applyFont="1" applyFill="1" applyBorder="1" applyAlignment="1">
      <alignment horizontal="center" vertical="center"/>
    </xf>
    <xf numFmtId="0" fontId="30" fillId="26" borderId="6" xfId="7" applyFont="1" applyFill="1" applyBorder="1" applyAlignment="1">
      <alignment horizontal="center" vertical="center" wrapText="1"/>
    </xf>
    <xf numFmtId="0" fontId="29" fillId="26" borderId="6" xfId="7" applyFont="1" applyFill="1" applyBorder="1" applyAlignment="1">
      <alignment horizontal="center" vertical="center"/>
    </xf>
    <xf numFmtId="0" fontId="33" fillId="26" borderId="6" xfId="7" applyFont="1" applyFill="1" applyBorder="1" applyAlignment="1">
      <alignment horizontal="center" vertical="center"/>
    </xf>
    <xf numFmtId="0" fontId="30" fillId="27" borderId="6" xfId="7" applyFont="1" applyFill="1" applyBorder="1" applyAlignment="1">
      <alignment horizontal="center" vertical="center" wrapText="1"/>
    </xf>
    <xf numFmtId="0" fontId="29" fillId="27" borderId="6" xfId="7" applyFont="1" applyFill="1" applyBorder="1" applyAlignment="1">
      <alignment horizontal="center" vertical="center"/>
    </xf>
    <xf numFmtId="0" fontId="33" fillId="27" borderId="6" xfId="7" applyFont="1" applyFill="1" applyBorder="1" applyAlignment="1">
      <alignment horizontal="center" vertical="center"/>
    </xf>
    <xf numFmtId="0" fontId="30" fillId="28" borderId="6" xfId="7" applyFont="1" applyFill="1" applyBorder="1" applyAlignment="1">
      <alignment horizontal="center" vertical="center" wrapText="1"/>
    </xf>
    <xf numFmtId="0" fontId="29" fillId="28" borderId="6" xfId="7" applyFont="1" applyFill="1" applyBorder="1" applyAlignment="1">
      <alignment horizontal="center" vertical="center"/>
    </xf>
    <xf numFmtId="0" fontId="33" fillId="28" borderId="6" xfId="7" applyFont="1" applyFill="1" applyBorder="1" applyAlignment="1">
      <alignment horizontal="center" vertical="center"/>
    </xf>
    <xf numFmtId="0" fontId="35" fillId="2" borderId="1" xfId="1" applyFont="1" applyFill="1" applyBorder="1" applyAlignment="1">
      <alignment horizontal="center" vertical="center" wrapText="1"/>
    </xf>
    <xf numFmtId="0" fontId="35" fillId="10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 wrapText="1"/>
    </xf>
    <xf numFmtId="16" fontId="11" fillId="7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center" wrapText="1"/>
    </xf>
    <xf numFmtId="0" fontId="11" fillId="3" borderId="1" xfId="1" applyFont="1" applyFill="1" applyBorder="1" applyAlignment="1">
      <alignment horizontal="left" vertical="center"/>
    </xf>
    <xf numFmtId="0" fontId="21" fillId="7" borderId="1" xfId="0" applyFont="1" applyFill="1" applyBorder="1" applyAlignment="1">
      <alignment horizontal="left" vertical="center"/>
    </xf>
    <xf numFmtId="0" fontId="21" fillId="9" borderId="1" xfId="0" applyFont="1" applyFill="1" applyBorder="1" applyAlignment="1">
      <alignment horizontal="left" vertical="center"/>
    </xf>
    <xf numFmtId="0" fontId="35" fillId="12" borderId="1" xfId="1" applyFont="1" applyFill="1" applyBorder="1" applyAlignment="1">
      <alignment horizontal="center" vertical="center" wrapText="1"/>
    </xf>
    <xf numFmtId="0" fontId="13" fillId="0" borderId="0" xfId="1" applyAlignment="1">
      <alignment horizontal="center"/>
    </xf>
    <xf numFmtId="0" fontId="11" fillId="13" borderId="1" xfId="1" applyFont="1" applyFill="1" applyBorder="1" applyAlignment="1">
      <alignment horizontal="left" vertical="center"/>
    </xf>
    <xf numFmtId="0" fontId="13" fillId="0" borderId="0" xfId="1" applyAlignment="1">
      <alignment horizontal="left"/>
    </xf>
    <xf numFmtId="0" fontId="11" fillId="0" borderId="1" xfId="0" applyFont="1" applyBorder="1" applyAlignment="1">
      <alignment horizontal="left" vertical="center"/>
    </xf>
    <xf numFmtId="0" fontId="11" fillId="11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25" fillId="0" borderId="6" xfId="7" applyBorder="1" applyAlignment="1">
      <alignment horizontal="center" vertical="center"/>
    </xf>
    <xf numFmtId="0" fontId="26" fillId="29" borderId="6" xfId="0" applyFont="1" applyFill="1" applyBorder="1" applyAlignment="1">
      <alignment horizontal="center" vertical="center"/>
    </xf>
    <xf numFmtId="0" fontId="20" fillId="29" borderId="6" xfId="0" applyFont="1" applyFill="1" applyBorder="1" applyAlignment="1">
      <alignment horizontal="center" vertical="center"/>
    </xf>
    <xf numFmtId="0" fontId="38" fillId="29" borderId="6" xfId="7" applyFont="1" applyFill="1" applyBorder="1" applyAlignment="1">
      <alignment horizontal="center" vertical="center"/>
    </xf>
    <xf numFmtId="0" fontId="26" fillId="29" borderId="6" xfId="0" applyFont="1" applyFill="1" applyBorder="1" applyAlignment="1">
      <alignment horizontal="center" vertical="center" wrapText="1"/>
    </xf>
    <xf numFmtId="0" fontId="6" fillId="30" borderId="6" xfId="0" applyFont="1" applyFill="1" applyBorder="1" applyAlignment="1">
      <alignment horizontal="center" vertical="center"/>
    </xf>
    <xf numFmtId="0" fontId="16" fillId="30" borderId="6" xfId="7" applyFont="1" applyFill="1" applyBorder="1" applyAlignment="1">
      <alignment horizontal="center" vertical="center"/>
    </xf>
    <xf numFmtId="0" fontId="0" fillId="30" borderId="6" xfId="0" applyFill="1" applyBorder="1" applyAlignment="1">
      <alignment horizontal="center" vertical="center"/>
    </xf>
    <xf numFmtId="0" fontId="25" fillId="30" borderId="6" xfId="7" applyFill="1" applyBorder="1" applyAlignment="1">
      <alignment horizontal="center" vertical="center"/>
    </xf>
    <xf numFmtId="0" fontId="39" fillId="30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vertical="top" wrapText="1"/>
    </xf>
    <xf numFmtId="0" fontId="11" fillId="9" borderId="1" xfId="1" applyFont="1" applyFill="1" applyBorder="1" applyAlignment="1">
      <alignment vertical="top" wrapText="1"/>
    </xf>
    <xf numFmtId="0" fontId="6" fillId="0" borderId="0" xfId="8"/>
    <xf numFmtId="0" fontId="24" fillId="0" borderId="0" xfId="0" applyFont="1"/>
    <xf numFmtId="0" fontId="40" fillId="0" borderId="0" xfId="7" applyFont="1"/>
    <xf numFmtId="0" fontId="11" fillId="0" borderId="0" xfId="1" applyFont="1" applyAlignment="1">
      <alignment horizontal="left" vertical="center" wrapText="1"/>
    </xf>
    <xf numFmtId="0" fontId="11" fillId="0" borderId="0" xfId="1" applyFont="1" applyAlignment="1">
      <alignment horizontal="left" vertical="center"/>
    </xf>
    <xf numFmtId="0" fontId="11" fillId="0" borderId="0" xfId="1" applyFont="1"/>
    <xf numFmtId="0" fontId="11" fillId="0" borderId="0" xfId="1" applyFont="1" applyAlignment="1">
      <alignment vertical="top"/>
    </xf>
    <xf numFmtId="0" fontId="22" fillId="0" borderId="1" xfId="0" applyFont="1" applyBorder="1" applyAlignment="1">
      <alignment horizontal="center" vertical="center"/>
    </xf>
    <xf numFmtId="0" fontId="11" fillId="0" borderId="1" xfId="1" applyFont="1" applyBorder="1" applyAlignment="1">
      <alignment vertical="top" wrapText="1"/>
    </xf>
    <xf numFmtId="0" fontId="22" fillId="9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31" fillId="29" borderId="6" xfId="7" applyFont="1" applyFill="1" applyBorder="1" applyAlignment="1">
      <alignment horizontal="center" vertical="center" wrapText="1"/>
    </xf>
    <xf numFmtId="0" fontId="6" fillId="0" borderId="0" xfId="8" applyAlignment="1">
      <alignment horizontal="center" vertical="center"/>
    </xf>
    <xf numFmtId="0" fontId="6" fillId="0" borderId="0" xfId="8" applyAlignment="1">
      <alignment horizontal="left" vertical="center"/>
    </xf>
    <xf numFmtId="16" fontId="14" fillId="0" borderId="1" xfId="0" applyNumberFormat="1" applyFont="1" applyBorder="1" applyAlignment="1">
      <alignment horizontal="left" vertical="center" wrapText="1"/>
    </xf>
    <xf numFmtId="0" fontId="21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41" fillId="0" borderId="1" xfId="0" applyFont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 wrapText="1"/>
    </xf>
    <xf numFmtId="0" fontId="13" fillId="0" borderId="0" xfId="1" applyAlignment="1">
      <alignment horizontal="center" vertical="center"/>
    </xf>
    <xf numFmtId="0" fontId="13" fillId="0" borderId="0" xfId="1" applyAlignment="1">
      <alignment horizontal="left" vertical="center"/>
    </xf>
    <xf numFmtId="0" fontId="21" fillId="30" borderId="8" xfId="0" applyFont="1" applyFill="1" applyBorder="1" applyAlignment="1">
      <alignment horizontal="left" vertical="center"/>
    </xf>
    <xf numFmtId="0" fontId="21" fillId="30" borderId="1" xfId="0" applyFont="1" applyFill="1" applyBorder="1" applyAlignment="1">
      <alignment horizontal="left" vertical="center"/>
    </xf>
    <xf numFmtId="0" fontId="15" fillId="7" borderId="1" xfId="1" applyFont="1" applyFill="1" applyBorder="1" applyAlignment="1">
      <alignment horizontal="center" vertical="center" wrapText="1"/>
    </xf>
    <xf numFmtId="0" fontId="18" fillId="9" borderId="1" xfId="1" applyFont="1" applyFill="1" applyBorder="1" applyAlignment="1">
      <alignment horizontal="left" vertical="center"/>
    </xf>
    <xf numFmtId="0" fontId="18" fillId="9" borderId="1" xfId="1" applyFont="1" applyFill="1" applyBorder="1" applyAlignment="1">
      <alignment vertical="center"/>
    </xf>
    <xf numFmtId="9" fontId="42" fillId="33" borderId="6" xfId="7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41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3" fillId="9" borderId="1" xfId="0" applyFont="1" applyFill="1" applyBorder="1" applyAlignment="1">
      <alignment horizontal="left" vertical="center"/>
    </xf>
    <xf numFmtId="0" fontId="21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3" fillId="0" borderId="8" xfId="0" applyFont="1" applyBorder="1" applyAlignment="1">
      <alignment horizontal="left" vertical="center"/>
    </xf>
    <xf numFmtId="0" fontId="11" fillId="0" borderId="0" xfId="1" applyFont="1" applyAlignment="1">
      <alignment horizontal="left"/>
    </xf>
    <xf numFmtId="0" fontId="9" fillId="8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3" fillId="30" borderId="1" xfId="0" applyFont="1" applyFill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4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23" fillId="0" borderId="9" xfId="0" applyFont="1" applyBorder="1" applyAlignment="1">
      <alignment horizontal="left" vertical="center"/>
    </xf>
    <xf numFmtId="0" fontId="11" fillId="37" borderId="1" xfId="1" applyFont="1" applyFill="1" applyBorder="1" applyAlignment="1">
      <alignment horizontal="left" vertical="center"/>
    </xf>
    <xf numFmtId="0" fontId="11" fillId="37" borderId="1" xfId="1" applyFont="1" applyFill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15" fillId="14" borderId="1" xfId="1" applyFont="1" applyFill="1" applyBorder="1" applyAlignment="1">
      <alignment horizontal="center" vertical="center" wrapText="1"/>
    </xf>
    <xf numFmtId="0" fontId="11" fillId="14" borderId="1" xfId="1" applyFont="1" applyFill="1" applyBorder="1" applyAlignment="1">
      <alignment horizontal="left" vertical="center"/>
    </xf>
    <xf numFmtId="0" fontId="11" fillId="14" borderId="1" xfId="1" applyFont="1" applyFill="1" applyBorder="1" applyAlignment="1">
      <alignment horizontal="center" vertical="center"/>
    </xf>
    <xf numFmtId="0" fontId="11" fillId="14" borderId="1" xfId="1" applyFont="1" applyFill="1" applyBorder="1" applyAlignment="1">
      <alignment vertical="top" wrapText="1"/>
    </xf>
    <xf numFmtId="0" fontId="20" fillId="14" borderId="4" xfId="0" applyFont="1" applyFill="1" applyBorder="1" applyAlignment="1">
      <alignment horizontal="center" vertical="center" wrapText="1"/>
    </xf>
    <xf numFmtId="0" fontId="15" fillId="36" borderId="1" xfId="1" applyFont="1" applyFill="1" applyBorder="1" applyAlignment="1">
      <alignment horizontal="center" vertical="center" wrapText="1"/>
    </xf>
    <xf numFmtId="0" fontId="22" fillId="36" borderId="1" xfId="0" applyFont="1" applyFill="1" applyBorder="1" applyAlignment="1">
      <alignment horizontal="center" vertical="center"/>
    </xf>
    <xf numFmtId="0" fontId="11" fillId="36" borderId="1" xfId="1" applyFont="1" applyFill="1" applyBorder="1" applyAlignment="1">
      <alignment horizontal="left" vertical="center"/>
    </xf>
    <xf numFmtId="0" fontId="11" fillId="36" borderId="1" xfId="1" applyFont="1" applyFill="1" applyBorder="1" applyAlignment="1">
      <alignment horizontal="center" vertical="center"/>
    </xf>
    <xf numFmtId="0" fontId="11" fillId="36" borderId="1" xfId="1" applyFont="1" applyFill="1" applyBorder="1" applyAlignment="1">
      <alignment vertical="top" wrapText="1"/>
    </xf>
    <xf numFmtId="0" fontId="21" fillId="14" borderId="1" xfId="0" applyFont="1" applyFill="1" applyBorder="1" applyAlignment="1">
      <alignment horizontal="left" vertical="center"/>
    </xf>
    <xf numFmtId="0" fontId="45" fillId="38" borderId="1" xfId="1" applyFont="1" applyFill="1" applyBorder="1" applyAlignment="1">
      <alignment horizontal="left" vertical="center"/>
    </xf>
    <xf numFmtId="0" fontId="11" fillId="39" borderId="1" xfId="1" applyFont="1" applyFill="1" applyBorder="1" applyAlignment="1">
      <alignment horizontal="left" vertical="center"/>
    </xf>
    <xf numFmtId="0" fontId="11" fillId="39" borderId="1" xfId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left" vertical="center"/>
    </xf>
    <xf numFmtId="0" fontId="21" fillId="36" borderId="1" xfId="0" applyFont="1" applyFill="1" applyBorder="1" applyAlignment="1">
      <alignment horizontal="left" vertical="center"/>
    </xf>
    <xf numFmtId="0" fontId="18" fillId="0" borderId="8" xfId="1" applyFont="1" applyBorder="1" applyAlignment="1">
      <alignment horizontal="left" vertical="center"/>
    </xf>
    <xf numFmtId="0" fontId="18" fillId="0" borderId="8" xfId="1" applyFont="1" applyBorder="1" applyAlignment="1">
      <alignment vertical="center"/>
    </xf>
    <xf numFmtId="0" fontId="18" fillId="0" borderId="9" xfId="1" applyFont="1" applyBorder="1" applyAlignment="1">
      <alignment horizontal="left" vertical="center"/>
    </xf>
    <xf numFmtId="0" fontId="18" fillId="0" borderId="9" xfId="1" applyFont="1" applyBorder="1" applyAlignment="1">
      <alignment vertical="center"/>
    </xf>
    <xf numFmtId="0" fontId="20" fillId="8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20" fillId="34" borderId="1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46" fillId="0" borderId="0" xfId="8" applyFont="1"/>
    <xf numFmtId="0" fontId="11" fillId="0" borderId="1" xfId="8" applyFont="1" applyBorder="1" applyAlignment="1">
      <alignment horizontal="left" vertical="center"/>
    </xf>
    <xf numFmtId="0" fontId="11" fillId="0" borderId="1" xfId="8" applyFont="1" applyBorder="1" applyAlignment="1">
      <alignment horizontal="center" vertical="center"/>
    </xf>
    <xf numFmtId="0" fontId="11" fillId="5" borderId="1" xfId="8" applyFont="1" applyFill="1" applyBorder="1" applyAlignment="1">
      <alignment horizontal="center" vertical="center"/>
    </xf>
    <xf numFmtId="0" fontId="11" fillId="6" borderId="1" xfId="8" applyFont="1" applyFill="1" applyBorder="1" applyAlignment="1">
      <alignment horizontal="center" vertical="center"/>
    </xf>
    <xf numFmtId="0" fontId="11" fillId="32" borderId="1" xfId="8" applyFont="1" applyFill="1" applyBorder="1" applyAlignment="1">
      <alignment horizontal="center" vertical="center"/>
    </xf>
    <xf numFmtId="0" fontId="11" fillId="0" borderId="0" xfId="8" applyFont="1"/>
    <xf numFmtId="0" fontId="12" fillId="0" borderId="1" xfId="0" applyFont="1" applyBorder="1" applyAlignment="1">
      <alignment horizontal="center" vertical="center"/>
    </xf>
    <xf numFmtId="9" fontId="44" fillId="40" borderId="6" xfId="7" applyNumberFormat="1" applyFont="1" applyFill="1" applyBorder="1" applyAlignment="1">
      <alignment horizontal="center" vertical="center"/>
    </xf>
    <xf numFmtId="0" fontId="47" fillId="9" borderId="1" xfId="1" applyFont="1" applyFill="1" applyBorder="1" applyAlignment="1">
      <alignment horizontal="left" vertical="center"/>
    </xf>
    <xf numFmtId="0" fontId="47" fillId="9" borderId="1" xfId="1" applyFont="1" applyFill="1" applyBorder="1" applyAlignment="1">
      <alignment vertical="center"/>
    </xf>
    <xf numFmtId="0" fontId="48" fillId="9" borderId="1" xfId="0" applyFont="1" applyFill="1" applyBorder="1" applyAlignment="1">
      <alignment horizontal="left" vertical="center"/>
    </xf>
    <xf numFmtId="0" fontId="14" fillId="36" borderId="1" xfId="0" applyFont="1" applyFill="1" applyBorder="1" applyAlignment="1">
      <alignment horizontal="left" vertical="center"/>
    </xf>
    <xf numFmtId="0" fontId="18" fillId="36" borderId="1" xfId="1" applyFont="1" applyFill="1" applyBorder="1" applyAlignment="1">
      <alignment horizontal="left" vertical="center"/>
    </xf>
    <xf numFmtId="0" fontId="18" fillId="36" borderId="1" xfId="1" applyFont="1" applyFill="1" applyBorder="1" applyAlignment="1">
      <alignment vertical="center"/>
    </xf>
    <xf numFmtId="0" fontId="23" fillId="31" borderId="1" xfId="0" applyFont="1" applyFill="1" applyBorder="1" applyAlignment="1">
      <alignment horizontal="left" vertical="center"/>
    </xf>
    <xf numFmtId="0" fontId="18" fillId="31" borderId="1" xfId="1" applyFont="1" applyFill="1" applyBorder="1" applyAlignment="1">
      <alignment horizontal="left" vertical="center"/>
    </xf>
    <xf numFmtId="0" fontId="18" fillId="31" borderId="1" xfId="1" applyFont="1" applyFill="1" applyBorder="1" applyAlignment="1">
      <alignment vertical="center"/>
    </xf>
    <xf numFmtId="0" fontId="10" fillId="38" borderId="1" xfId="0" applyFont="1" applyFill="1" applyBorder="1" applyAlignment="1">
      <alignment horizontal="center" vertical="center"/>
    </xf>
    <xf numFmtId="0" fontId="41" fillId="38" borderId="1" xfId="0" applyFont="1" applyFill="1" applyBorder="1" applyAlignment="1">
      <alignment horizontal="left" vertical="center"/>
    </xf>
    <xf numFmtId="0" fontId="41" fillId="38" borderId="1" xfId="0" applyFont="1" applyFill="1" applyBorder="1" applyAlignment="1">
      <alignment horizontal="center" vertical="center"/>
    </xf>
    <xf numFmtId="0" fontId="2" fillId="0" borderId="0" xfId="0" applyFont="1"/>
    <xf numFmtId="0" fontId="41" fillId="38" borderId="8" xfId="0" applyFont="1" applyFill="1" applyBorder="1" applyAlignment="1">
      <alignment horizontal="left" vertical="center"/>
    </xf>
    <xf numFmtId="0" fontId="41" fillId="38" borderId="9" xfId="0" applyFont="1" applyFill="1" applyBorder="1" applyAlignment="1">
      <alignment horizontal="left" vertical="center"/>
    </xf>
    <xf numFmtId="0" fontId="24" fillId="38" borderId="1" xfId="1" applyFont="1" applyFill="1" applyBorder="1" applyAlignment="1">
      <alignment horizontal="left" vertical="center"/>
    </xf>
    <xf numFmtId="0" fontId="24" fillId="38" borderId="1" xfId="1" applyFont="1" applyFill="1" applyBorder="1" applyAlignment="1">
      <alignment vertical="center"/>
    </xf>
    <xf numFmtId="0" fontId="32" fillId="18" borderId="6" xfId="7" applyFont="1" applyFill="1" applyBorder="1" applyAlignment="1">
      <alignment horizontal="center" vertical="center"/>
    </xf>
    <xf numFmtId="0" fontId="28" fillId="18" borderId="6" xfId="7" applyFont="1" applyFill="1" applyBorder="1" applyAlignment="1">
      <alignment horizontal="center" vertical="center"/>
    </xf>
    <xf numFmtId="0" fontId="36" fillId="17" borderId="5" xfId="7" applyFont="1" applyFill="1" applyBorder="1" applyAlignment="1">
      <alignment horizontal="center" vertical="center"/>
    </xf>
    <xf numFmtId="0" fontId="27" fillId="17" borderId="7" xfId="7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 wrapText="1"/>
    </xf>
    <xf numFmtId="0" fontId="9" fillId="21" borderId="3" xfId="0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6" fillId="0" borderId="12" xfId="8" applyBorder="1" applyAlignment="1">
      <alignment horizontal="center" vertical="center"/>
    </xf>
    <xf numFmtId="16" fontId="14" fillId="0" borderId="1" xfId="0" applyNumberFormat="1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16" fontId="14" fillId="0" borderId="0" xfId="0" applyNumberFormat="1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 wrapText="1"/>
    </xf>
    <xf numFmtId="16" fontId="12" fillId="0" borderId="1" xfId="0" applyNumberFormat="1" applyFont="1" applyBorder="1" applyAlignment="1">
      <alignment horizontal="left" vertical="center"/>
    </xf>
    <xf numFmtId="0" fontId="50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left" vertical="center"/>
    </xf>
    <xf numFmtId="0" fontId="14" fillId="37" borderId="1" xfId="0" applyFont="1" applyFill="1" applyBorder="1" applyAlignment="1">
      <alignment horizontal="center" vertical="center"/>
    </xf>
    <xf numFmtId="16" fontId="18" fillId="13" borderId="1" xfId="0" applyNumberFormat="1" applyFont="1" applyFill="1" applyBorder="1" applyAlignment="1">
      <alignment horizontal="center" vertical="center"/>
    </xf>
    <xf numFmtId="16" fontId="14" fillId="9" borderId="1" xfId="0" applyNumberFormat="1" applyFont="1" applyFill="1" applyBorder="1" applyAlignment="1">
      <alignment horizontal="center" vertical="center" wrapText="1"/>
    </xf>
    <xf numFmtId="9" fontId="37" fillId="40" borderId="6" xfId="7" applyNumberFormat="1" applyFont="1" applyFill="1" applyBorder="1" applyAlignment="1">
      <alignment horizontal="center" vertical="center"/>
    </xf>
    <xf numFmtId="0" fontId="18" fillId="0" borderId="1" xfId="1" applyFont="1" applyBorder="1" applyAlignment="1">
      <alignment horizontal="left" vertical="center"/>
    </xf>
    <xf numFmtId="0" fontId="18" fillId="0" borderId="1" xfId="1" applyFont="1" applyBorder="1" applyAlignment="1">
      <alignment vertical="center"/>
    </xf>
    <xf numFmtId="0" fontId="4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1" fillId="5" borderId="1" xfId="1" applyFont="1" applyFill="1" applyBorder="1" applyAlignment="1">
      <alignment horizontal="left" vertical="center"/>
    </xf>
    <xf numFmtId="0" fontId="22" fillId="0" borderId="1" xfId="1" applyFont="1" applyBorder="1" applyAlignment="1">
      <alignment horizontal="center" vertical="center"/>
    </xf>
    <xf numFmtId="0" fontId="22" fillId="0" borderId="1" xfId="1" applyFont="1" applyBorder="1" applyAlignment="1">
      <alignment horizontal="left" vertical="center" wrapText="1"/>
    </xf>
    <xf numFmtId="0" fontId="21" fillId="0" borderId="1" xfId="1" applyFont="1" applyBorder="1" applyAlignment="1">
      <alignment horizontal="left" vertical="center" wrapText="1"/>
    </xf>
    <xf numFmtId="0" fontId="21" fillId="11" borderId="1" xfId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left" vertical="center"/>
    </xf>
    <xf numFmtId="0" fontId="21" fillId="13" borderId="1" xfId="1" applyFont="1" applyFill="1" applyBorder="1" applyAlignment="1">
      <alignment horizontal="center" vertical="center"/>
    </xf>
    <xf numFmtId="0" fontId="21" fillId="13" borderId="1" xfId="1" applyFont="1" applyFill="1" applyBorder="1" applyAlignment="1">
      <alignment horizontal="left" vertical="center"/>
    </xf>
    <xf numFmtId="0" fontId="21" fillId="0" borderId="1" xfId="1" applyFont="1" applyBorder="1" applyAlignment="1">
      <alignment horizontal="left" vertical="center"/>
    </xf>
    <xf numFmtId="0" fontId="23" fillId="13" borderId="1" xfId="1" applyFont="1" applyFill="1" applyBorder="1" applyAlignment="1">
      <alignment horizontal="center" vertical="center"/>
    </xf>
    <xf numFmtId="0" fontId="21" fillId="38" borderId="1" xfId="0" applyFont="1" applyFill="1" applyBorder="1" applyAlignment="1">
      <alignment horizontal="left" vertical="center"/>
    </xf>
    <xf numFmtId="0" fontId="21" fillId="2" borderId="1" xfId="0" applyFont="1" applyFill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22" fillId="2" borderId="1" xfId="1" applyFont="1" applyFill="1" applyBorder="1" applyAlignment="1">
      <alignment horizontal="center" vertical="center"/>
    </xf>
    <xf numFmtId="0" fontId="45" fillId="41" borderId="1" xfId="1" applyFont="1" applyFill="1" applyBorder="1" applyAlignment="1">
      <alignment horizontal="left" vertical="center"/>
    </xf>
    <xf numFmtId="0" fontId="22" fillId="41" borderId="1" xfId="0" applyFont="1" applyFill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3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left" vertical="center"/>
    </xf>
    <xf numFmtId="0" fontId="11" fillId="38" borderId="1" xfId="0" applyFont="1" applyFill="1" applyBorder="1" applyAlignment="1">
      <alignment horizontal="left" vertical="center"/>
    </xf>
    <xf numFmtId="0" fontId="23" fillId="13" borderId="1" xfId="0" applyFont="1" applyFill="1" applyBorder="1" applyAlignment="1">
      <alignment horizontal="center" vertical="center"/>
    </xf>
    <xf numFmtId="0" fontId="52" fillId="41" borderId="1" xfId="0" applyFont="1" applyFill="1" applyBorder="1" applyAlignment="1">
      <alignment horizontal="left" vertical="center"/>
    </xf>
    <xf numFmtId="0" fontId="23" fillId="0" borderId="1" xfId="1" applyFont="1" applyBorder="1" applyAlignment="1">
      <alignment horizontal="left" vertical="center"/>
    </xf>
    <xf numFmtId="0" fontId="21" fillId="3" borderId="1" xfId="0" applyFont="1" applyFill="1" applyBorder="1" applyAlignment="1">
      <alignment horizontal="center" vertical="center"/>
    </xf>
    <xf numFmtId="0" fontId="22" fillId="7" borderId="1" xfId="1" applyFont="1" applyFill="1" applyBorder="1" applyAlignment="1">
      <alignment horizontal="center" vertical="center"/>
    </xf>
    <xf numFmtId="0" fontId="11" fillId="7" borderId="1" xfId="1" applyFont="1" applyFill="1" applyBorder="1" applyAlignment="1">
      <alignment horizontal="left" vertical="top"/>
    </xf>
    <xf numFmtId="0" fontId="11" fillId="7" borderId="1" xfId="1" applyFont="1" applyFill="1" applyBorder="1" applyAlignment="1">
      <alignment horizontal="left" vertical="center" wrapText="1"/>
    </xf>
    <xf numFmtId="16" fontId="11" fillId="7" borderId="1" xfId="1" applyNumberFormat="1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left" vertical="top" wrapText="1"/>
    </xf>
    <xf numFmtId="0" fontId="22" fillId="9" borderId="1" xfId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top"/>
    </xf>
    <xf numFmtId="0" fontId="11" fillId="9" borderId="1" xfId="0" applyFont="1" applyFill="1" applyBorder="1" applyAlignment="1">
      <alignment horizontal="left" vertical="center"/>
    </xf>
    <xf numFmtId="16" fontId="11" fillId="9" borderId="1" xfId="1" applyNumberFormat="1" applyFont="1" applyFill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left" vertical="top" wrapText="1"/>
    </xf>
    <xf numFmtId="0" fontId="11" fillId="0" borderId="0" xfId="1" applyFont="1" applyAlignment="1">
      <alignment vertical="center"/>
    </xf>
    <xf numFmtId="0" fontId="11" fillId="39" borderId="1" xfId="1" applyFont="1" applyFill="1" applyBorder="1" applyAlignment="1">
      <alignment horizontal="left" vertical="top"/>
    </xf>
    <xf numFmtId="0" fontId="23" fillId="7" borderId="1" xfId="1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left" vertical="center"/>
    </xf>
    <xf numFmtId="0" fontId="11" fillId="4" borderId="1" xfId="1" applyFont="1" applyFill="1" applyBorder="1" applyAlignment="1">
      <alignment horizontal="left" vertical="center"/>
    </xf>
    <xf numFmtId="0" fontId="22" fillId="4" borderId="1" xfId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left" vertical="center" wrapText="1"/>
    </xf>
    <xf numFmtId="16" fontId="11" fillId="4" borderId="1" xfId="1" applyNumberFormat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vertical="top" wrapText="1"/>
    </xf>
    <xf numFmtId="16" fontId="11" fillId="9" borderId="1" xfId="1" applyNumberFormat="1" applyFont="1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vertical="center"/>
    </xf>
    <xf numFmtId="0" fontId="0" fillId="38" borderId="4" xfId="0" applyFill="1" applyBorder="1" applyAlignment="1">
      <alignment vertical="center"/>
    </xf>
    <xf numFmtId="0" fontId="0" fillId="38" borderId="4" xfId="0" applyFill="1" applyBorder="1" applyAlignment="1">
      <alignment horizontal="center" vertical="center"/>
    </xf>
    <xf numFmtId="0" fontId="0" fillId="38" borderId="1" xfId="0" applyFill="1" applyBorder="1" applyAlignment="1">
      <alignment horizontal="center"/>
    </xf>
    <xf numFmtId="0" fontId="0" fillId="7" borderId="1" xfId="1" applyFont="1" applyFill="1" applyBorder="1" applyAlignment="1">
      <alignment horizontal="right" vertical="center"/>
    </xf>
    <xf numFmtId="0" fontId="0" fillId="7" borderId="1" xfId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center" vertical="center"/>
    </xf>
    <xf numFmtId="0" fontId="41" fillId="7" borderId="1" xfId="1" applyFont="1" applyFill="1" applyBorder="1" applyAlignment="1">
      <alignment horizontal="right" vertical="center"/>
    </xf>
    <xf numFmtId="0" fontId="41" fillId="7" borderId="1" xfId="1" applyFont="1" applyFill="1" applyBorder="1" applyAlignment="1">
      <alignment horizontal="center" vertical="center"/>
    </xf>
    <xf numFmtId="0" fontId="0" fillId="7" borderId="4" xfId="0" applyFill="1" applyBorder="1" applyAlignment="1">
      <alignment horizontal="right" vertical="center"/>
    </xf>
    <xf numFmtId="0" fontId="0" fillId="7" borderId="4" xfId="0" applyFill="1" applyBorder="1" applyAlignment="1">
      <alignment horizontal="center" vertical="center"/>
    </xf>
    <xf numFmtId="0" fontId="24" fillId="7" borderId="1" xfId="1" applyFont="1" applyFill="1" applyBorder="1" applyAlignment="1">
      <alignment horizontal="right" vertical="center"/>
    </xf>
    <xf numFmtId="0" fontId="24" fillId="7" borderId="1" xfId="1" applyFont="1" applyFill="1" applyBorder="1" applyAlignment="1">
      <alignment horizontal="center" vertical="center"/>
    </xf>
    <xf numFmtId="0" fontId="1" fillId="38" borderId="1" xfId="0" applyFont="1" applyFill="1" applyBorder="1" applyAlignment="1">
      <alignment horizontal="left" vertical="center"/>
    </xf>
    <xf numFmtId="0" fontId="1" fillId="38" borderId="1" xfId="0" applyFont="1" applyFill="1" applyBorder="1" applyAlignment="1">
      <alignment horizontal="center" vertical="center"/>
    </xf>
    <xf numFmtId="0" fontId="1" fillId="38" borderId="8" xfId="0" applyFont="1" applyFill="1" applyBorder="1" applyAlignment="1">
      <alignment horizontal="left" vertical="center"/>
    </xf>
    <xf numFmtId="0" fontId="1" fillId="7" borderId="1" xfId="1" applyFont="1" applyFill="1" applyBorder="1" applyAlignment="1">
      <alignment horizontal="right" vertical="center"/>
    </xf>
    <xf numFmtId="0" fontId="1" fillId="7" borderId="1" xfId="1" applyFont="1" applyFill="1" applyBorder="1" applyAlignment="1">
      <alignment horizontal="center" vertical="center"/>
    </xf>
    <xf numFmtId="0" fontId="1" fillId="0" borderId="0" xfId="17"/>
    <xf numFmtId="0" fontId="1" fillId="0" borderId="0" xfId="17" applyAlignment="1">
      <alignment horizontal="center"/>
    </xf>
    <xf numFmtId="0" fontId="1" fillId="0" borderId="0" xfId="17" applyAlignment="1">
      <alignment horizontal="center" vertical="center"/>
    </xf>
    <xf numFmtId="0" fontId="1" fillId="35" borderId="1" xfId="17" applyFill="1" applyBorder="1" applyAlignment="1">
      <alignment horizontal="left" vertical="center"/>
    </xf>
    <xf numFmtId="0" fontId="11" fillId="35" borderId="1" xfId="17" applyFont="1" applyFill="1" applyBorder="1" applyAlignment="1">
      <alignment horizontal="left" vertical="center"/>
    </xf>
    <xf numFmtId="0" fontId="11" fillId="3" borderId="1" xfId="17" applyFont="1" applyFill="1" applyBorder="1" applyAlignment="1">
      <alignment horizontal="left" vertical="center"/>
    </xf>
    <xf numFmtId="0" fontId="14" fillId="3" borderId="1" xfId="17" applyFont="1" applyFill="1" applyBorder="1" applyAlignment="1">
      <alignment horizontal="center" vertical="center"/>
    </xf>
    <xf numFmtId="0" fontId="14" fillId="11" borderId="1" xfId="17" applyFont="1" applyFill="1" applyBorder="1" applyAlignment="1">
      <alignment horizontal="center" vertical="center"/>
    </xf>
    <xf numFmtId="0" fontId="14" fillId="13" borderId="1" xfId="17" applyFont="1" applyFill="1" applyBorder="1" applyAlignment="1">
      <alignment horizontal="center" vertical="center"/>
    </xf>
    <xf numFmtId="0" fontId="14" fillId="13" borderId="1" xfId="17" applyFont="1" applyFill="1" applyBorder="1" applyAlignment="1">
      <alignment horizontal="left" vertical="center"/>
    </xf>
    <xf numFmtId="16" fontId="14" fillId="13" borderId="1" xfId="17" applyNumberFormat="1" applyFont="1" applyFill="1" applyBorder="1" applyAlignment="1">
      <alignment horizontal="center" vertical="center"/>
    </xf>
    <xf numFmtId="0" fontId="12" fillId="35" borderId="1" xfId="17" applyFont="1" applyFill="1" applyBorder="1" applyAlignment="1">
      <alignment horizontal="left" vertical="center"/>
    </xf>
    <xf numFmtId="0" fontId="14" fillId="35" borderId="1" xfId="17" applyFont="1" applyFill="1" applyBorder="1" applyAlignment="1">
      <alignment horizontal="left" vertical="center"/>
    </xf>
    <xf numFmtId="0" fontId="54" fillId="14" borderId="1" xfId="17" applyFont="1" applyFill="1" applyBorder="1" applyAlignment="1">
      <alignment horizontal="center" vertical="center" wrapText="1"/>
    </xf>
    <xf numFmtId="0" fontId="54" fillId="42" borderId="1" xfId="17" applyFont="1" applyFill="1" applyBorder="1" applyAlignment="1">
      <alignment horizontal="center" vertical="center" wrapText="1"/>
    </xf>
    <xf numFmtId="0" fontId="54" fillId="43" borderId="1" xfId="17" applyFont="1" applyFill="1" applyBorder="1" applyAlignment="1">
      <alignment horizontal="center" vertical="center" wrapText="1"/>
    </xf>
    <xf numFmtId="0" fontId="54" fillId="44" borderId="1" xfId="17" applyFont="1" applyFill="1" applyBorder="1" applyAlignment="1">
      <alignment horizontal="center" vertical="center" wrapText="1"/>
    </xf>
    <xf numFmtId="0" fontId="1" fillId="0" borderId="0" xfId="18"/>
    <xf numFmtId="0" fontId="1" fillId="0" borderId="0" xfId="18" applyAlignment="1">
      <alignment horizontal="center"/>
    </xf>
    <xf numFmtId="0" fontId="1" fillId="0" borderId="1" xfId="18" applyBorder="1"/>
    <xf numFmtId="0" fontId="14" fillId="0" borderId="1" xfId="18" applyFont="1" applyBorder="1" applyAlignment="1">
      <alignment horizontal="center" vertical="center"/>
    </xf>
    <xf numFmtId="0" fontId="11" fillId="0" borderId="1" xfId="18" applyFont="1" applyBorder="1" applyAlignment="1">
      <alignment horizontal="left" vertical="center"/>
    </xf>
    <xf numFmtId="0" fontId="11" fillId="0" borderId="1" xfId="18" applyFont="1" applyBorder="1" applyAlignment="1">
      <alignment horizontal="center" vertical="center"/>
    </xf>
    <xf numFmtId="0" fontId="12" fillId="0" borderId="1" xfId="18" applyFont="1" applyBorder="1" applyAlignment="1">
      <alignment horizontal="left" vertical="center"/>
    </xf>
    <xf numFmtId="0" fontId="12" fillId="0" borderId="1" xfId="18" applyFont="1" applyBorder="1" applyAlignment="1">
      <alignment horizontal="center" vertical="center"/>
    </xf>
    <xf numFmtId="0" fontId="14" fillId="0" borderId="1" xfId="18" applyFont="1" applyBorder="1" applyAlignment="1">
      <alignment horizontal="left" vertical="center"/>
    </xf>
    <xf numFmtId="0" fontId="1" fillId="0" borderId="1" xfId="18" applyBorder="1" applyAlignment="1">
      <alignment wrapText="1"/>
    </xf>
    <xf numFmtId="16" fontId="12" fillId="0" borderId="1" xfId="18" applyNumberFormat="1" applyFont="1" applyBorder="1" applyAlignment="1">
      <alignment horizontal="center" vertical="center"/>
    </xf>
    <xf numFmtId="0" fontId="20" fillId="14" borderId="1" xfId="18" applyFont="1" applyFill="1" applyBorder="1" applyAlignment="1">
      <alignment horizontal="center" vertical="center"/>
    </xf>
    <xf numFmtId="0" fontId="20" fillId="4" borderId="1" xfId="18" applyFont="1" applyFill="1" applyBorder="1" applyAlignment="1">
      <alignment horizontal="center" vertical="center" wrapText="1"/>
    </xf>
    <xf numFmtId="0" fontId="20" fillId="14" borderId="1" xfId="18" applyFont="1" applyFill="1" applyBorder="1" applyAlignment="1">
      <alignment horizontal="center" vertical="center" wrapText="1"/>
    </xf>
    <xf numFmtId="0" fontId="9" fillId="4" borderId="1" xfId="18" applyFont="1" applyFill="1" applyBorder="1" applyAlignment="1">
      <alignment horizontal="center" vertical="center"/>
    </xf>
    <xf numFmtId="0" fontId="9" fillId="4" borderId="1" xfId="18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horizontal="left" vertical="center"/>
    </xf>
    <xf numFmtId="16" fontId="12" fillId="7" borderId="1" xfId="0" applyNumberFormat="1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2" fillId="45" borderId="1" xfId="0" applyFont="1" applyFill="1" applyBorder="1" applyAlignment="1">
      <alignment horizontal="left" vertical="center"/>
    </xf>
    <xf numFmtId="0" fontId="11" fillId="45" borderId="1" xfId="0" applyFont="1" applyFill="1" applyBorder="1" applyAlignment="1">
      <alignment horizontal="left" vertical="center"/>
    </xf>
  </cellXfs>
  <cellStyles count="19">
    <cellStyle name="Comma 2" xfId="2" xr:uid="{0D4BE73F-B684-4CD1-8578-5852FA2A8C53}"/>
    <cellStyle name="Comma 3" xfId="4" xr:uid="{057C5A1B-393F-4687-B54B-064A7C4C85FA}"/>
    <cellStyle name="Comma 4" xfId="9" xr:uid="{C3D95A16-F6B2-4275-A5CB-16A08081339B}"/>
    <cellStyle name="Comma 5" xfId="15" xr:uid="{D8D4251C-A158-4946-B394-A97DAD5802A9}"/>
    <cellStyle name="Normal" xfId="0" builtinId="0"/>
    <cellStyle name="Normal 10" xfId="17" xr:uid="{B6A1B753-1733-4660-B4D5-D0C9B2F49F81}"/>
    <cellStyle name="Normal 2" xfId="1" xr:uid="{364133B4-F4E8-4BA0-8C1E-35DA5E583666}"/>
    <cellStyle name="Normal 2 2" xfId="16" xr:uid="{514C9371-DB96-4A2F-8CC8-F2587F967CFB}"/>
    <cellStyle name="Normal 3" xfId="3" xr:uid="{5312EF39-E98E-430A-9990-0931B4F8E096}"/>
    <cellStyle name="Normal 3 2" xfId="6" xr:uid="{787DE542-2FD1-4B9A-A98D-6BA5E496BF0F}"/>
    <cellStyle name="Normal 3 2 2" xfId="11" xr:uid="{1C4555CC-A429-44E4-9CA9-B3EB6708A6C5}"/>
    <cellStyle name="Normal 4" xfId="5" xr:uid="{7CBCA7AC-B290-4C14-8F59-E1CCC0D8F5BE}"/>
    <cellStyle name="Normal 4 2" xfId="10" xr:uid="{7B5D9BB9-517D-4DDE-815C-DD964FDAB90F}"/>
    <cellStyle name="Normal 5" xfId="7" xr:uid="{CDA6466B-7F0F-434A-8ABE-C0182C400C9E}"/>
    <cellStyle name="Normal 6" xfId="8" xr:uid="{FA8DBD9A-52CF-4A6F-8F6A-023DF9F623B2}"/>
    <cellStyle name="Normal 7" xfId="12" xr:uid="{26836834-D15B-4162-ABFE-4DEEFA88BC48}"/>
    <cellStyle name="Normal 7 2" xfId="18" xr:uid="{9BBD0474-212E-40AC-A924-FB0A213A8D91}"/>
    <cellStyle name="Normal 8" xfId="13" xr:uid="{FFD73068-2844-45A5-9D58-C253DD09DC99}"/>
    <cellStyle name="Normal 9" xfId="14" xr:uid="{934215EC-7AF7-4D41-825F-31956BEAD4FD}"/>
  </cellStyles>
  <dxfs count="3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B0000"/>
      </font>
      <fill>
        <patternFill>
          <bgColor rgb="FFFF7F7F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rgb="FF92D050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ont>
        <b/>
        <i val="0"/>
        <color rgb="FFF40009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40009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40009"/>
      </font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rgb="FFF40009"/>
      </font>
    </dxf>
    <dxf>
      <font>
        <b/>
        <i val="0"/>
        <color rgb="FFF40009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rgb="FF92D050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rgb="FF92D050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rgb="FF92D050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ont>
        <b/>
        <i val="0"/>
        <color rgb="FFF40009"/>
      </font>
    </dxf>
  </dxfs>
  <tableStyles count="0" defaultTableStyle="TableStyleMedium2" defaultPivotStyle="PivotStyleLight16"/>
  <colors>
    <mruColors>
      <color rgb="FFFF0066"/>
      <color rgb="FFFFA602"/>
      <color rgb="FFC00000"/>
      <color rgb="FFFFFFC0"/>
      <color rgb="FFFFC000"/>
      <color rgb="FF1E6B0A"/>
      <color rgb="FF808080"/>
      <color rgb="FF1F4E79"/>
      <color rgb="FF2E75B6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30</xdr:col>
          <xdr:colOff>708660</xdr:colOff>
          <xdr:row>0</xdr:row>
          <xdr:rowOff>579120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7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Click Here to Generate the Message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Tooway%20Engineers\Projects\Lamp%20Poles\Lamp%20Pole%20Update%20NEW.xlsm" TargetMode="External"/><Relationship Id="rId1" Type="http://schemas.openxmlformats.org/officeDocument/2006/relationships/externalLinkPath" Target="Lamp%20Pole%20Update%20NEW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Tooway%20Engineers\Projects\Lamp%20Poles\Master%20LP%20Database%20OLD.xlsm" TargetMode="External"/><Relationship Id="rId1" Type="http://schemas.openxmlformats.org/officeDocument/2006/relationships/externalLinkPath" Target="Master%20LP%20Database%20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Full Plan"/>
      <sheetName val="Dependancy"/>
      <sheetName val="Temp Sheet"/>
      <sheetName val="Tx Design"/>
      <sheetName val="MW Removal &amp; Update"/>
      <sheetName val="New Site Locations"/>
      <sheetName val="AP Data"/>
    </sheetNames>
    <sheetDataSet>
      <sheetData sheetId="0"/>
      <sheetData sheetId="1"/>
      <sheetData sheetId="2"/>
      <sheetData sheetId="3"/>
      <sheetData sheetId="4">
        <row r="1">
          <cell r="A1" t="str">
            <v>Site  ID</v>
          </cell>
          <cell r="B1" t="str">
            <v>Site  Name</v>
          </cell>
          <cell r="C1" t="str">
            <v>Batch</v>
          </cell>
          <cell r="D1" t="str">
            <v>Technology</v>
          </cell>
          <cell r="E1" t="str">
            <v>WO ID</v>
          </cell>
        </row>
        <row r="2">
          <cell r="A2">
            <v>32</v>
          </cell>
          <cell r="B2">
            <v>32</v>
          </cell>
          <cell r="C2">
            <v>32</v>
          </cell>
          <cell r="D2">
            <v>32</v>
          </cell>
          <cell r="E2">
            <v>22</v>
          </cell>
        </row>
        <row r="3">
          <cell r="A3" t="str">
            <v>KI5029</v>
          </cell>
          <cell r="B3" t="str">
            <v>Pallikuda_Lamp</v>
          </cell>
          <cell r="C3" t="str">
            <v>2026_MBB_New Sites_Design_Batch_12</v>
          </cell>
          <cell r="D3" t="str">
            <v>MW-HYB</v>
          </cell>
          <cell r="E3" t="str">
            <v>MW_2026_1995</v>
          </cell>
        </row>
        <row r="4">
          <cell r="A4" t="str">
            <v>KI5032</v>
          </cell>
          <cell r="B4" t="str">
            <v>Pallikuda_North_Lamp</v>
          </cell>
          <cell r="C4" t="str">
            <v>2026_MBB_New Sites_Design_Batch_12</v>
          </cell>
          <cell r="D4" t="str">
            <v>MW-HYB</v>
          </cell>
          <cell r="E4" t="str">
            <v>MW_2026_1994</v>
          </cell>
        </row>
        <row r="5">
          <cell r="A5" t="str">
            <v>MA5036</v>
          </cell>
          <cell r="B5" t="str">
            <v>Madukkarai_Lamp</v>
          </cell>
          <cell r="C5" t="str">
            <v>2026_MBB_New Sites_Design_Batch_12</v>
          </cell>
          <cell r="D5" t="str">
            <v>MW-HYB</v>
          </cell>
          <cell r="E5" t="str">
            <v>MW_2026_1966</v>
          </cell>
        </row>
        <row r="6">
          <cell r="A6" t="str">
            <v>MU5054</v>
          </cell>
          <cell r="B6" t="str">
            <v>Muththuaiyankaddu_Lamp</v>
          </cell>
          <cell r="C6" t="str">
            <v>2026_MBB_New Sites_Design_Batch_13</v>
          </cell>
          <cell r="D6" t="str">
            <v>MW-HYB</v>
          </cell>
          <cell r="E6" t="str">
            <v>MW_2026_1992</v>
          </cell>
        </row>
        <row r="7">
          <cell r="A7" t="str">
            <v>KI5034</v>
          </cell>
          <cell r="B7" t="str">
            <v>Piramanthanaru_Lamp</v>
          </cell>
          <cell r="C7" t="str">
            <v>2026_MBB_New Sites_Design_Batch_13</v>
          </cell>
          <cell r="D7" t="str">
            <v>WiBAS</v>
          </cell>
          <cell r="E7" t="str">
            <v>WIBAS_2026_1678</v>
          </cell>
        </row>
        <row r="8">
          <cell r="A8" t="str">
            <v>MU5051</v>
          </cell>
          <cell r="B8" t="str">
            <v>Iyankankulam_Lamp</v>
          </cell>
          <cell r="C8" t="str">
            <v>2026_MBB_New Sites_Design_Batch_13</v>
          </cell>
          <cell r="D8" t="str">
            <v>MW-HYB</v>
          </cell>
          <cell r="E8" t="str">
            <v>MW_2026_2030</v>
          </cell>
        </row>
        <row r="9">
          <cell r="A9" t="str">
            <v>BA5051</v>
          </cell>
          <cell r="B9" t="str">
            <v>Mandur_Main_Rd_Lamp</v>
          </cell>
          <cell r="C9" t="str">
            <v>2026_MBB_New Sites_Design_Batch_14</v>
          </cell>
          <cell r="D9" t="str">
            <v>MW-HYB</v>
          </cell>
        </row>
        <row r="10">
          <cell r="A10" t="str">
            <v>BA5081</v>
          </cell>
          <cell r="B10" t="str">
            <v>Mandur_Kaneshapuram_Lamp</v>
          </cell>
          <cell r="C10" t="str">
            <v>2026_MBB_New Sites_Design_Batch_14</v>
          </cell>
          <cell r="D10" t="str">
            <v>MW-HYB</v>
          </cell>
        </row>
        <row r="11">
          <cell r="A11" t="str">
            <v>BA5086</v>
          </cell>
          <cell r="B11" t="str">
            <v>Vavunativu_Junc_Lamp</v>
          </cell>
          <cell r="C11" t="str">
            <v>2026_MBB_New Sites_Design_Batch_14</v>
          </cell>
          <cell r="D11" t="str">
            <v>MW-HYB</v>
          </cell>
        </row>
        <row r="12">
          <cell r="A12" t="str">
            <v>BA5024</v>
          </cell>
          <cell r="B12" t="str">
            <v>Batti_Karaveddi_East_Lamp</v>
          </cell>
          <cell r="C12" t="str">
            <v>2026_MBB_New Sites_Design_Batch_13</v>
          </cell>
          <cell r="D12" t="str">
            <v>WiBAS</v>
          </cell>
          <cell r="E12" t="str">
            <v>WIBAS_2026_1651</v>
          </cell>
        </row>
        <row r="13">
          <cell r="A13" t="str">
            <v>KI5040</v>
          </cell>
          <cell r="B13" t="str">
            <v>Pulopalai_Lamp</v>
          </cell>
          <cell r="C13" t="str">
            <v>2026_MBB_New Sites_Design_Batch_13</v>
          </cell>
          <cell r="D13" t="str">
            <v>MW-HYB</v>
          </cell>
          <cell r="E13" t="str">
            <v>MW_2026_2123</v>
          </cell>
        </row>
        <row r="14">
          <cell r="A14" t="str">
            <v>HA5039</v>
          </cell>
          <cell r="B14" t="str">
            <v>Medaketiya_Lamp</v>
          </cell>
          <cell r="C14" t="str">
            <v>2026_MBB_New Sites_Design_Batch_10</v>
          </cell>
          <cell r="D14" t="str">
            <v>OFN</v>
          </cell>
          <cell r="E14" t="str">
            <v>OFN</v>
          </cell>
        </row>
        <row r="15">
          <cell r="A15" t="str">
            <v>BD5071</v>
          </cell>
          <cell r="B15" t="str">
            <v>Meedumpitiya_Lamp</v>
          </cell>
          <cell r="C15" t="str">
            <v>2026_MBB_New Sites_Design_Batch_10</v>
          </cell>
          <cell r="D15" t="str">
            <v>OFN</v>
          </cell>
          <cell r="E15" t="str">
            <v>OFN</v>
          </cell>
        </row>
        <row r="16">
          <cell r="A16" t="str">
            <v>MR5049</v>
          </cell>
          <cell r="B16" t="str">
            <v>Midigama_Lamp</v>
          </cell>
          <cell r="C16" t="str">
            <v>2026_MBB_New Sites_Design_Batch_13</v>
          </cell>
          <cell r="D16" t="str">
            <v>OFN</v>
          </cell>
          <cell r="E16" t="str">
            <v>OFN</v>
          </cell>
        </row>
        <row r="17">
          <cell r="A17" t="str">
            <v>MU5039</v>
          </cell>
          <cell r="B17" t="str">
            <v>Venavil_Lamp</v>
          </cell>
          <cell r="C17" t="str">
            <v>2026_MBB_New Sites_Design_Batch_13</v>
          </cell>
          <cell r="D17" t="str">
            <v>MW-HYB</v>
          </cell>
          <cell r="E17" t="str">
            <v>Pending</v>
          </cell>
        </row>
        <row r="18">
          <cell r="A18" t="str">
            <v>CM5451</v>
          </cell>
          <cell r="B18" t="str">
            <v>Bellanwila_Park_Lamp</v>
          </cell>
          <cell r="C18" t="str">
            <v>2026_MBB_New Sites_Design_Batch_14</v>
          </cell>
          <cell r="D18" t="str">
            <v>OFN</v>
          </cell>
          <cell r="E18" t="str">
            <v>OFN</v>
          </cell>
        </row>
        <row r="19">
          <cell r="A19" t="str">
            <v>VA5038</v>
          </cell>
          <cell r="B19" t="str">
            <v>Collage_Rd_Lamp</v>
          </cell>
          <cell r="C19" t="str">
            <v>2026_MBB_New Sites_Design_Batch_14</v>
          </cell>
          <cell r="D19" t="str">
            <v>OFN</v>
          </cell>
          <cell r="E19" t="str">
            <v>OFN</v>
          </cell>
        </row>
        <row r="20">
          <cell r="A20" t="str">
            <v>CM5730</v>
          </cell>
          <cell r="B20" t="str">
            <v>Araliya_Gardens_Lamp</v>
          </cell>
          <cell r="C20" t="str">
            <v>2026_MBB_New Sites_Design_Batch_14</v>
          </cell>
          <cell r="D20" t="str">
            <v>OFN</v>
          </cell>
          <cell r="E20" t="str">
            <v>OFN</v>
          </cell>
        </row>
        <row r="21">
          <cell r="A21" t="str">
            <v>PU5091</v>
          </cell>
          <cell r="B21" t="str">
            <v>Thabbowa_Juction_Lamp</v>
          </cell>
          <cell r="C21" t="str">
            <v>2026_MBB_New Sites_Design_Batch_14</v>
          </cell>
          <cell r="D21" t="str">
            <v>OFN</v>
          </cell>
          <cell r="E21" t="str">
            <v>OFN</v>
          </cell>
        </row>
        <row r="22">
          <cell r="A22" t="str">
            <v>MR5011</v>
          </cell>
          <cell r="B22" t="str">
            <v xml:space="preserve">Batawala_Lamp </v>
          </cell>
          <cell r="C22" t="str">
            <v>2026_MBB_New Sites_Design_Batch_14</v>
          </cell>
          <cell r="D22" t="str">
            <v>MW-HYB</v>
          </cell>
        </row>
        <row r="23">
          <cell r="A23" t="str">
            <v>CM5671</v>
          </cell>
          <cell r="B23" t="str">
            <v>Thotupala_Rd_Lamp</v>
          </cell>
          <cell r="C23" t="str">
            <v>2026_MBB_New Sites_Design_Batch_14</v>
          </cell>
          <cell r="D23" t="str">
            <v>MW-HYB</v>
          </cell>
        </row>
        <row r="24">
          <cell r="A24" t="str">
            <v>CM5724</v>
          </cell>
          <cell r="B24" t="str">
            <v>Angampitiya_Lamp</v>
          </cell>
          <cell r="C24" t="str">
            <v>2026_MBB_New Sites_Design_Batch_14</v>
          </cell>
          <cell r="D24" t="str">
            <v>MW-HYB</v>
          </cell>
        </row>
        <row r="25">
          <cell r="A25" t="str">
            <v>CM5756</v>
          </cell>
          <cell r="B25" t="str">
            <v>Yasorapura_Rd_Lamp</v>
          </cell>
          <cell r="C25" t="str">
            <v>2026_MBB_New Sites_Design_Batch_14</v>
          </cell>
          <cell r="D25" t="str">
            <v>OFN</v>
          </cell>
          <cell r="E25" t="str">
            <v>OFN</v>
          </cell>
        </row>
        <row r="26">
          <cell r="A26" t="str">
            <v>GA5095</v>
          </cell>
          <cell r="B26" t="str">
            <v>Yatramulla_Lamp</v>
          </cell>
          <cell r="C26" t="str">
            <v>2026_MBB_New Sites_Design_Batch_13</v>
          </cell>
          <cell r="D26" t="str">
            <v>MW-HYB</v>
          </cell>
        </row>
        <row r="27">
          <cell r="A27" t="str">
            <v>GA5093</v>
          </cell>
          <cell r="B27" t="str">
            <v>Thalpe_East_Lamp</v>
          </cell>
          <cell r="C27" t="str">
            <v>Design Pending</v>
          </cell>
          <cell r="D27" t="str">
            <v>OFN</v>
          </cell>
          <cell r="E27" t="str">
            <v>OFN</v>
          </cell>
        </row>
        <row r="28">
          <cell r="A28" t="str">
            <v>KU5180</v>
          </cell>
          <cell r="B28" t="str">
            <v>Baragedara_Lamp</v>
          </cell>
          <cell r="C28" t="str">
            <v>2026_MBB_New Sites_Design_Batch_13</v>
          </cell>
          <cell r="D28" t="str">
            <v>MW-HYB</v>
          </cell>
        </row>
        <row r="29">
          <cell r="A29" t="str">
            <v>PU5093</v>
          </cell>
          <cell r="B29" t="str">
            <v>Marawila_Hospital_Lamp</v>
          </cell>
          <cell r="C29" t="str">
            <v>2026_MBB_New Sites_Design_Batch_13</v>
          </cell>
          <cell r="D29" t="str">
            <v>OFN</v>
          </cell>
          <cell r="E29" t="str">
            <v>OFN</v>
          </cell>
        </row>
        <row r="30">
          <cell r="A30" t="str">
            <v>JA5177</v>
          </cell>
          <cell r="B30" t="str">
            <v>Manatkadu_Lamp</v>
          </cell>
          <cell r="C30" t="str">
            <v>2026_MBB_New Sites_Design_Batch_13</v>
          </cell>
          <cell r="D30" t="str">
            <v>WiBAS</v>
          </cell>
        </row>
        <row r="31">
          <cell r="A31" t="str">
            <v>JA5107</v>
          </cell>
          <cell r="B31" t="str">
            <v>Avarankal_Lamp</v>
          </cell>
          <cell r="C31" t="str">
            <v>2026_MBB_New Sites_Design_Batch_13</v>
          </cell>
          <cell r="D31" t="str">
            <v>MW-HYB</v>
          </cell>
          <cell r="E31" t="str">
            <v>MW_2026_1877</v>
          </cell>
        </row>
        <row r="32">
          <cell r="A32" t="str">
            <v>KU5071</v>
          </cell>
          <cell r="B32" t="str">
            <v>Thalgodapitiya_Junction_Lamp</v>
          </cell>
          <cell r="C32" t="str">
            <v>2026_MBB_New Sites_Design_Batch_13</v>
          </cell>
          <cell r="D32" t="str">
            <v>MW-HYB</v>
          </cell>
          <cell r="E32" t="str">
            <v>MW_2026_1991</v>
          </cell>
        </row>
        <row r="33">
          <cell r="A33" t="str">
            <v>GA5098</v>
          </cell>
          <cell r="B33" t="str">
            <v>Maha Ambalangoda_Lamp</v>
          </cell>
          <cell r="C33" t="str">
            <v>2026_MBB_New Sites_Design_Batch_12</v>
          </cell>
          <cell r="D33" t="str">
            <v>OFN</v>
          </cell>
          <cell r="E33" t="str">
            <v>OFN</v>
          </cell>
        </row>
        <row r="34">
          <cell r="A34" t="str">
            <v>JA5099</v>
          </cell>
          <cell r="B34" t="str">
            <v>Araly_North_Lamp</v>
          </cell>
          <cell r="C34" t="str">
            <v>2026_MBB_New Sites_Design_Batch_13</v>
          </cell>
          <cell r="D34" t="str">
            <v>WiBAS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Full Plan"/>
      <sheetName val="Tx Design"/>
      <sheetName val="Tx Summary"/>
      <sheetName val="Location &amp; Permission Status"/>
      <sheetName val="AP Data"/>
      <sheetName val="Temp Sheet"/>
      <sheetName val="Material Requests"/>
    </sheetNames>
    <sheetDataSet>
      <sheetData sheetId="0" refreshError="1"/>
      <sheetData sheetId="1" refreshError="1"/>
      <sheetData sheetId="2">
        <row r="1">
          <cell r="A1" t="str">
            <v>Site  ID</v>
          </cell>
          <cell r="B1" t="str">
            <v>Site  Name</v>
          </cell>
          <cell r="C1" t="str">
            <v>Batch</v>
          </cell>
          <cell r="D1" t="str">
            <v>Technology</v>
          </cell>
          <cell r="E1" t="str">
            <v>WO ID</v>
          </cell>
        </row>
        <row r="2">
          <cell r="A2">
            <v>58</v>
          </cell>
          <cell r="B2">
            <v>58</v>
          </cell>
          <cell r="C2">
            <v>58</v>
          </cell>
          <cell r="D2">
            <v>58</v>
          </cell>
          <cell r="E2">
            <v>45</v>
          </cell>
        </row>
        <row r="3">
          <cell r="A3" t="str">
            <v>CM5148</v>
          </cell>
          <cell r="B3" t="str">
            <v>Sirigal_Av_Lamp</v>
          </cell>
          <cell r="C3" t="str">
            <v>2026_MBB_New Sites_Design_Batch_05</v>
          </cell>
          <cell r="D3" t="str">
            <v>OFN</v>
          </cell>
          <cell r="E3" t="str">
            <v>OFN</v>
          </cell>
        </row>
        <row r="4">
          <cell r="A4" t="str">
            <v>CM5746</v>
          </cell>
          <cell r="B4" t="str">
            <v>Himbutana_South_Lamp</v>
          </cell>
          <cell r="C4" t="str">
            <v>2026_MBB_New Sites_Design_Batch_05</v>
          </cell>
          <cell r="D4" t="str">
            <v>MW-HYB</v>
          </cell>
          <cell r="E4" t="str">
            <v>MW_2026_1702</v>
          </cell>
        </row>
        <row r="5">
          <cell r="A5" t="str">
            <v>CM5563</v>
          </cell>
          <cell r="B5" t="str">
            <v>Malpura_Rd_Lamp</v>
          </cell>
          <cell r="C5" t="str">
            <v>2026_MBB_New Sites_Design_Batch_05</v>
          </cell>
          <cell r="D5" t="str">
            <v>MW-HYB</v>
          </cell>
          <cell r="E5" t="str">
            <v>MW_2026_1767</v>
          </cell>
        </row>
        <row r="6">
          <cell r="A6" t="str">
            <v>VA5042</v>
          </cell>
          <cell r="B6" t="str">
            <v>Taranikkulam_Lamp</v>
          </cell>
          <cell r="C6" t="str">
            <v>2026_MBB_New Sites_Design_Batch_05</v>
          </cell>
          <cell r="D6" t="str">
            <v>WiBAS</v>
          </cell>
          <cell r="E6" t="str">
            <v>WIBAS_2026_1601</v>
          </cell>
        </row>
        <row r="7">
          <cell r="A7" t="str">
            <v>JA5159</v>
          </cell>
          <cell r="B7" t="str">
            <v>Sankaraththai_Lamp</v>
          </cell>
          <cell r="C7" t="str">
            <v>2026_MBB_New Sites_Design_Batch_05</v>
          </cell>
          <cell r="D7" t="str">
            <v>MW-HYB</v>
          </cell>
          <cell r="E7" t="str">
            <v>MW_2026_1917</v>
          </cell>
        </row>
        <row r="8">
          <cell r="A8" t="str">
            <v>GM5322</v>
          </cell>
          <cell r="B8" t="str">
            <v>Mallehewa_Lamp</v>
          </cell>
          <cell r="C8" t="str">
            <v>2026_MBB_New Sites_Design_Batch_05</v>
          </cell>
          <cell r="D8" t="str">
            <v>MW-HYB</v>
          </cell>
          <cell r="E8" t="str">
            <v>MW_2026_1666</v>
          </cell>
        </row>
        <row r="9">
          <cell r="A9" t="str">
            <v>KU5128</v>
          </cell>
          <cell r="B9" t="str">
            <v>Maraluwawa_Lamp</v>
          </cell>
          <cell r="C9" t="str">
            <v>2026_MBB_New Sites_Design_Batch_05</v>
          </cell>
          <cell r="D9" t="str">
            <v>WiBAS</v>
          </cell>
          <cell r="E9" t="str">
            <v>WIBAS_2026_1529</v>
          </cell>
        </row>
        <row r="10">
          <cell r="A10" t="str">
            <v>PU5084</v>
          </cell>
          <cell r="B10" t="str">
            <v>Wennappuwa_East_Lamp</v>
          </cell>
          <cell r="C10" t="str">
            <v>2026_MBB_New Sites_Design_Batch_05</v>
          </cell>
          <cell r="D10" t="str">
            <v>MW-HYB</v>
          </cell>
          <cell r="E10" t="str">
            <v>MW_2026_1723</v>
          </cell>
        </row>
        <row r="11">
          <cell r="A11" t="str">
            <v>MA5042</v>
          </cell>
          <cell r="B11" t="str">
            <v>Karisal_Lamp</v>
          </cell>
          <cell r="C11" t="str">
            <v>2026_MBB_New Sites_Design_Batch_05</v>
          </cell>
          <cell r="D11" t="str">
            <v>WiBAS</v>
          </cell>
          <cell r="E11" t="str">
            <v>WIBAS_2026_1602</v>
          </cell>
        </row>
        <row r="12">
          <cell r="A12" t="str">
            <v>MA5034</v>
          </cell>
          <cell r="B12" t="str">
            <v>Thiruketheeswaram_Lamp</v>
          </cell>
          <cell r="C12" t="str">
            <v>2026_MBB_New Sites_Design_Batch_05</v>
          </cell>
          <cell r="D12" t="str">
            <v>OFN</v>
          </cell>
          <cell r="E12" t="str">
            <v>OFN</v>
          </cell>
        </row>
        <row r="13">
          <cell r="A13" t="str">
            <v>KU5178</v>
          </cell>
          <cell r="B13" t="str">
            <v>Thittawella_East_Lamp</v>
          </cell>
          <cell r="C13" t="str">
            <v>2026_MBB_New Sites_Design_Batch_07</v>
          </cell>
          <cell r="D13" t="str">
            <v>MW-HYB</v>
          </cell>
          <cell r="E13" t="str">
            <v>MW_2026_1721</v>
          </cell>
        </row>
        <row r="14">
          <cell r="A14" t="str">
            <v>CM5761</v>
          </cell>
          <cell r="B14" t="str">
            <v>Ernest_Place_Lamp</v>
          </cell>
          <cell r="C14" t="str">
            <v>2026_MBB_New Sites_Design_Batch_08</v>
          </cell>
          <cell r="D14" t="str">
            <v>MW-HYB</v>
          </cell>
          <cell r="E14" t="str">
            <v>MW_2026_1790</v>
          </cell>
        </row>
        <row r="15">
          <cell r="A15" t="str">
            <v>CM5775</v>
          </cell>
          <cell r="B15" t="str">
            <v>Jalthara_North_Lamp</v>
          </cell>
          <cell r="C15" t="str">
            <v>2026_MBB_New Sites_Design_Batch_08</v>
          </cell>
          <cell r="D15" t="str">
            <v>MW-HYB</v>
          </cell>
          <cell r="E15" t="str">
            <v>MW_2026_1835</v>
          </cell>
        </row>
        <row r="16">
          <cell r="A16" t="str">
            <v>PU5090</v>
          </cell>
          <cell r="B16" t="str">
            <v>Karambe_East_Lamp</v>
          </cell>
          <cell r="C16" t="str">
            <v>2026_MBB_New Sites_Design_Batch_08</v>
          </cell>
          <cell r="D16" t="str">
            <v>MW-HYB</v>
          </cell>
          <cell r="E16" t="str">
            <v>MW_2026_1664</v>
          </cell>
        </row>
        <row r="17">
          <cell r="A17" t="str">
            <v>CM5749</v>
          </cell>
          <cell r="B17" t="str">
            <v>Samuddrasanna_Rd_Lamp</v>
          </cell>
          <cell r="C17" t="str">
            <v>2026_MBB_New Sites_Design_Batch_08</v>
          </cell>
          <cell r="D17" t="str">
            <v>MW-HYB</v>
          </cell>
          <cell r="E17" t="str">
            <v>MW_2026_1667</v>
          </cell>
        </row>
        <row r="18">
          <cell r="A18" t="str">
            <v>GM5358</v>
          </cell>
          <cell r="B18" t="str">
            <v>Weliwatta_Lamp</v>
          </cell>
          <cell r="C18" t="str">
            <v>2026_MBB_New Sites_Design_Batch_08</v>
          </cell>
          <cell r="D18" t="str">
            <v>MW-HYB</v>
          </cell>
          <cell r="E18" t="str">
            <v>MW_2026_1915</v>
          </cell>
        </row>
        <row r="19">
          <cell r="A19" t="str">
            <v>GM5368</v>
          </cell>
          <cell r="B19" t="str">
            <v>Weliamuna_Rd_Lamp</v>
          </cell>
          <cell r="C19" t="str">
            <v>2026_MBB_New Sites_Design_Batch_08</v>
          </cell>
          <cell r="D19" t="str">
            <v>MW-HYB</v>
          </cell>
          <cell r="E19" t="str">
            <v>MW_2026_1909</v>
          </cell>
        </row>
        <row r="20">
          <cell r="A20" t="str">
            <v>GM5356</v>
          </cell>
          <cell r="B20" t="str">
            <v>Pamunuvila_Lamp</v>
          </cell>
          <cell r="C20" t="str">
            <v>2026_MBB_New Sites_Design_Batch_08</v>
          </cell>
          <cell r="D20" t="str">
            <v>MW-HYB</v>
          </cell>
          <cell r="E20" t="str">
            <v>MW_2026_1908</v>
          </cell>
        </row>
        <row r="21">
          <cell r="A21" t="str">
            <v>CM5762</v>
          </cell>
          <cell r="B21" t="str">
            <v>Pepiliyana_Town_North_lamp</v>
          </cell>
          <cell r="C21" t="str">
            <v>2026_MBB_New Sites_Design_Batch_08</v>
          </cell>
          <cell r="D21" t="str">
            <v>MW-HYB</v>
          </cell>
          <cell r="E21" t="str">
            <v>MW_2026_1852</v>
          </cell>
        </row>
        <row r="22">
          <cell r="A22" t="str">
            <v>GM5359</v>
          </cell>
          <cell r="B22" t="str">
            <v>Morahena_Lamp</v>
          </cell>
          <cell r="C22" t="str">
            <v>2026_MBB_New Sites_Design_Batch_08</v>
          </cell>
          <cell r="D22" t="str">
            <v>MW-HYB</v>
          </cell>
          <cell r="E22" t="str">
            <v>MW_2026_1878</v>
          </cell>
        </row>
        <row r="23">
          <cell r="A23" t="str">
            <v>GM5355</v>
          </cell>
          <cell r="B23" t="str">
            <v>Katuwellegama_South_Lamp</v>
          </cell>
          <cell r="C23" t="str">
            <v>2026_MBB_New Sites_Design_Batch_08</v>
          </cell>
          <cell r="D23" t="str">
            <v>MW-HYB</v>
          </cell>
          <cell r="E23" t="str">
            <v>MW_2026_1857</v>
          </cell>
        </row>
        <row r="24">
          <cell r="A24" t="str">
            <v>GM5370</v>
          </cell>
          <cell r="B24" t="str">
            <v>Makola_North_Lamp</v>
          </cell>
          <cell r="C24" t="str">
            <v>2026_MBB_New Sites_Design_Batch_08</v>
          </cell>
          <cell r="D24" t="str">
            <v>MW-HYB</v>
          </cell>
          <cell r="E24" t="str">
            <v>MW_2026_1807</v>
          </cell>
        </row>
        <row r="25">
          <cell r="A25" t="str">
            <v>KU5059</v>
          </cell>
          <cell r="B25" t="str">
            <v>Nandana_Mw_Lamp</v>
          </cell>
          <cell r="C25" t="str">
            <v>2026_MBB_New Sites_Design_Batch_08</v>
          </cell>
          <cell r="D25" t="str">
            <v>WiBAS</v>
          </cell>
          <cell r="E25" t="str">
            <v>WIBAS_2026_1784</v>
          </cell>
        </row>
        <row r="26">
          <cell r="A26" t="str">
            <v>CM5779</v>
          </cell>
          <cell r="B26" t="str">
            <v>Bomiriya_North_Lamp</v>
          </cell>
          <cell r="C26" t="str">
            <v>2026_MBB_New Sites_Design_Batch_08</v>
          </cell>
          <cell r="D26" t="str">
            <v>WiBAS</v>
          </cell>
          <cell r="E26" t="str">
            <v>WIBAS_2026_1791</v>
          </cell>
        </row>
        <row r="27">
          <cell r="A27" t="str">
            <v>MR5051</v>
          </cell>
          <cell r="B27" t="str">
            <v>Weliketiya_Lamp</v>
          </cell>
          <cell r="C27" t="str">
            <v>2025_MBB_Lamp_Pole_Batch_06</v>
          </cell>
          <cell r="D27" t="str">
            <v>WiBAS</v>
          </cell>
          <cell r="E27" t="str">
            <v>Batch 6</v>
          </cell>
        </row>
        <row r="28">
          <cell r="A28" t="str">
            <v>CM5471</v>
          </cell>
          <cell r="B28" t="str">
            <v>Dambahena_Rd_Lamp</v>
          </cell>
          <cell r="C28" t="str">
            <v>2026_MBB_New Sites_Design_Batch_08</v>
          </cell>
          <cell r="D28" t="str">
            <v>OFN</v>
          </cell>
          <cell r="E28" t="str">
            <v>OFN</v>
          </cell>
        </row>
        <row r="29">
          <cell r="A29" t="str">
            <v>CM5540</v>
          </cell>
          <cell r="B29" t="str">
            <v>Kotuvila_Lamp</v>
          </cell>
          <cell r="C29" t="str">
            <v>2026_MBB_New Sites_Design_Batch_08</v>
          </cell>
          <cell r="D29" t="str">
            <v>OFN</v>
          </cell>
          <cell r="E29" t="str">
            <v>OFN</v>
          </cell>
        </row>
        <row r="30">
          <cell r="A30" t="str">
            <v>PU5022</v>
          </cell>
          <cell r="B30" t="str">
            <v>Madampe_North_Lamp</v>
          </cell>
          <cell r="C30" t="str">
            <v>2026_MBB_New Sites_Design_Batch_08</v>
          </cell>
          <cell r="D30" t="str">
            <v>OFN</v>
          </cell>
          <cell r="E30" t="str">
            <v>OFN</v>
          </cell>
        </row>
        <row r="31">
          <cell r="A31" t="str">
            <v>CM5736</v>
          </cell>
          <cell r="B31" t="str">
            <v>Pittugala_West_Lamp</v>
          </cell>
          <cell r="C31" t="str">
            <v>2026_MBB_New Sites_Design_Batch_08</v>
          </cell>
          <cell r="D31" t="str">
            <v>OFN</v>
          </cell>
          <cell r="E31" t="str">
            <v>OFN</v>
          </cell>
        </row>
        <row r="32">
          <cell r="A32" t="str">
            <v>CM5734</v>
          </cell>
          <cell r="B32" t="str">
            <v>Jayamuthu_Mw_Lamp</v>
          </cell>
          <cell r="C32" t="str">
            <v>2026_MBB_New Sites_Design_Batch_08</v>
          </cell>
          <cell r="D32" t="str">
            <v>MW-HYB</v>
          </cell>
          <cell r="E32" t="str">
            <v>NO</v>
          </cell>
        </row>
        <row r="33">
          <cell r="A33" t="str">
            <v>GM5357</v>
          </cell>
          <cell r="B33" t="str">
            <v>Rilaulla_Lamp</v>
          </cell>
          <cell r="C33" t="str">
            <v>2026_MBB_New Sites_Design_Batch_08</v>
          </cell>
          <cell r="D33" t="str">
            <v>MW-HYB</v>
          </cell>
          <cell r="E33" t="str">
            <v>MW_2026_2114</v>
          </cell>
        </row>
        <row r="34">
          <cell r="A34" t="str">
            <v>GM5330</v>
          </cell>
          <cell r="B34" t="str">
            <v>Kondagammulla_Lamp</v>
          </cell>
          <cell r="C34" t="str">
            <v>2026_MBB_New Sites_Design_Batch_08</v>
          </cell>
          <cell r="D34" t="str">
            <v>MW-HYB</v>
          </cell>
          <cell r="E34" t="str">
            <v>MW_2026_2062</v>
          </cell>
        </row>
        <row r="35">
          <cell r="A35" t="str">
            <v>CM5744</v>
          </cell>
          <cell r="B35" t="str">
            <v>Alubogahalanda_West_Lamp</v>
          </cell>
          <cell r="C35" t="str">
            <v>2026_MBB_New Sites_Design_Batch_08</v>
          </cell>
          <cell r="D35" t="str">
            <v>MW-HYB</v>
          </cell>
          <cell r="E35" t="str">
            <v>NO</v>
          </cell>
        </row>
        <row r="36">
          <cell r="A36" t="str">
            <v>NU5098</v>
          </cell>
          <cell r="B36" t="str">
            <v>Ambewela_Rw_Reloc_Lamp</v>
          </cell>
          <cell r="C36" t="str">
            <v>2025_MBB_Lamp_Pole_Batch_06</v>
          </cell>
          <cell r="D36" t="str">
            <v>OFN</v>
          </cell>
          <cell r="E36" t="str">
            <v>OFN</v>
          </cell>
        </row>
        <row r="37">
          <cell r="A37" t="str">
            <v>HA5039</v>
          </cell>
          <cell r="B37" t="str">
            <v>Medaketiya_Lamp</v>
          </cell>
          <cell r="C37" t="str">
            <v>2026_MBB_New Sites_Design_Batch_10</v>
          </cell>
          <cell r="D37" t="str">
            <v>OFN</v>
          </cell>
          <cell r="E37" t="str">
            <v>OFN</v>
          </cell>
        </row>
        <row r="38">
          <cell r="A38" t="str">
            <v>BD5071</v>
          </cell>
          <cell r="B38" t="str">
            <v>Meedumpitiya_Lamp</v>
          </cell>
          <cell r="C38" t="str">
            <v>2026_MBB_New Sites_Design_Batch_10</v>
          </cell>
          <cell r="D38" t="str">
            <v>OFN</v>
          </cell>
          <cell r="E38" t="str">
            <v>OFN</v>
          </cell>
        </row>
        <row r="39">
          <cell r="A39" t="str">
            <v>KI5029</v>
          </cell>
          <cell r="B39" t="str">
            <v>Pallikuda_Lamp</v>
          </cell>
          <cell r="C39" t="str">
            <v>2026_MBB_New Sites_Design_Batch_12</v>
          </cell>
          <cell r="D39" t="str">
            <v>MW-HYB</v>
          </cell>
          <cell r="E39" t="str">
            <v>MW_2026_1995</v>
          </cell>
        </row>
        <row r="40">
          <cell r="A40" t="str">
            <v>KI5032</v>
          </cell>
          <cell r="B40" t="str">
            <v>Pallikuda_North_Lamp</v>
          </cell>
          <cell r="C40" t="str">
            <v>2026_MBB_New Sites_Design_Batch_12</v>
          </cell>
          <cell r="D40" t="str">
            <v>MW-HYB</v>
          </cell>
          <cell r="E40" t="str">
            <v>MW_2026_1994</v>
          </cell>
        </row>
        <row r="41">
          <cell r="A41" t="str">
            <v>MA5036</v>
          </cell>
          <cell r="B41" t="str">
            <v>Madukkarai_Lamp</v>
          </cell>
          <cell r="C41" t="str">
            <v>2026_MBB_New Sites_Design_Batch_12</v>
          </cell>
          <cell r="D41" t="str">
            <v>MW-HYB</v>
          </cell>
          <cell r="E41" t="str">
            <v>MW_2026_1966</v>
          </cell>
        </row>
        <row r="42">
          <cell r="A42" t="str">
            <v>MR5049</v>
          </cell>
          <cell r="B42" t="str">
            <v>Midigama_Lamp</v>
          </cell>
          <cell r="C42" t="str">
            <v>2026_MBB_New Sites_Design_Batch_13</v>
          </cell>
          <cell r="D42" t="str">
            <v>OFN</v>
          </cell>
          <cell r="E42" t="str">
            <v>OFN</v>
          </cell>
        </row>
        <row r="43">
          <cell r="A43" t="str">
            <v>MU5054</v>
          </cell>
          <cell r="B43" t="str">
            <v>Muththuaiyankaddu_Lamp</v>
          </cell>
          <cell r="C43" t="str">
            <v>2026_MBB_New Sites_Design_Batch_13</v>
          </cell>
          <cell r="D43" t="str">
            <v>MW-HYB</v>
          </cell>
          <cell r="E43" t="str">
            <v>MW_2026_1992</v>
          </cell>
        </row>
        <row r="44">
          <cell r="A44" t="str">
            <v>KI5034</v>
          </cell>
          <cell r="B44" t="str">
            <v>Piramanthanaru_Lamp</v>
          </cell>
          <cell r="C44" t="str">
            <v>2026_MBB_New Sites_Design_Batch_13</v>
          </cell>
          <cell r="D44" t="str">
            <v>WiBAS</v>
          </cell>
          <cell r="E44" t="str">
            <v>WIBAS_2026_1678</v>
          </cell>
        </row>
        <row r="45">
          <cell r="A45" t="str">
            <v>MU5039</v>
          </cell>
          <cell r="B45" t="str">
            <v>Venavil_Lamp</v>
          </cell>
          <cell r="C45" t="str">
            <v>2026_MBB_New Sites_Design_Batch_13</v>
          </cell>
          <cell r="D45" t="str">
            <v>MW-HYB</v>
          </cell>
          <cell r="E45" t="str">
            <v>Pending</v>
          </cell>
        </row>
        <row r="46">
          <cell r="A46" t="str">
            <v>MU5051</v>
          </cell>
          <cell r="B46" t="str">
            <v>Iyankankulam_Lamp</v>
          </cell>
          <cell r="C46" t="str">
            <v>2026_MBB_New Sites_Design_Batch_13</v>
          </cell>
          <cell r="D46" t="str">
            <v>MW-HYB</v>
          </cell>
          <cell r="E46" t="str">
            <v>Pending</v>
          </cell>
        </row>
        <row r="47">
          <cell r="A47" t="str">
            <v>CM5451</v>
          </cell>
          <cell r="B47" t="str">
            <v>Bellanwila_Park_Lamp</v>
          </cell>
          <cell r="C47" t="str">
            <v>2026_MBB_New Sites_Design_Batch_14</v>
          </cell>
          <cell r="D47" t="str">
            <v>OFN</v>
          </cell>
          <cell r="E47" t="str">
            <v>OFN</v>
          </cell>
        </row>
        <row r="48">
          <cell r="A48" t="str">
            <v>BA5051</v>
          </cell>
          <cell r="B48" t="str">
            <v>Mandur_Main_Rd_Lamp</v>
          </cell>
          <cell r="C48" t="str">
            <v>2026_MBB_New Sites_Design_Batch_14</v>
          </cell>
          <cell r="D48" t="str">
            <v>MW-HYB</v>
          </cell>
        </row>
        <row r="49">
          <cell r="A49" t="str">
            <v>BA5081</v>
          </cell>
          <cell r="B49" t="str">
            <v>Mandur_Kaneshapuram_Lamp</v>
          </cell>
          <cell r="C49" t="str">
            <v>2026_MBB_New Sites_Design_Batch_14</v>
          </cell>
          <cell r="D49" t="str">
            <v>MW-HYB</v>
          </cell>
        </row>
        <row r="50">
          <cell r="A50" t="str">
            <v>BA5086</v>
          </cell>
          <cell r="B50" t="str">
            <v>Vavunativu_Junc_Lamp</v>
          </cell>
          <cell r="C50" t="str">
            <v>2026_MBB_New Sites_Design_Batch_14</v>
          </cell>
          <cell r="D50" t="str">
            <v>MW-HYB</v>
          </cell>
        </row>
        <row r="51">
          <cell r="A51" t="str">
            <v>VA5038</v>
          </cell>
          <cell r="B51" t="str">
            <v>Collage_Rd_Lamp</v>
          </cell>
          <cell r="C51" t="str">
            <v>2026_MBB_New Sites_Design_Batch_14</v>
          </cell>
          <cell r="D51" t="str">
            <v>OFN</v>
          </cell>
        </row>
        <row r="52">
          <cell r="A52" t="str">
            <v>CM5730</v>
          </cell>
          <cell r="B52" t="str">
            <v>Araliya_Gardens_Lamp</v>
          </cell>
          <cell r="C52" t="str">
            <v>2026_MBB_New Sites_Design_Batch_14</v>
          </cell>
          <cell r="D52" t="str">
            <v>OFN</v>
          </cell>
        </row>
        <row r="53">
          <cell r="A53" t="str">
            <v>PU5091</v>
          </cell>
          <cell r="B53" t="str">
            <v>Thabbowa_Juction_Lamp</v>
          </cell>
          <cell r="C53" t="str">
            <v>2026_MBB_New Sites_Design_Batch_14</v>
          </cell>
          <cell r="D53" t="str">
            <v>OFN</v>
          </cell>
        </row>
        <row r="54">
          <cell r="A54" t="str">
            <v>MR5011</v>
          </cell>
          <cell r="B54" t="str">
            <v xml:space="preserve">Batawala_Lamp </v>
          </cell>
          <cell r="C54" t="str">
            <v>2026_MBB_New Sites_Design_Batch_14</v>
          </cell>
          <cell r="D54" t="str">
            <v>MW-HYB</v>
          </cell>
        </row>
        <row r="55">
          <cell r="A55" t="str">
            <v>CM5671</v>
          </cell>
          <cell r="B55" t="str">
            <v>Thotupala_Rd_Lamp</v>
          </cell>
          <cell r="C55" t="str">
            <v>2026_MBB_New Sites_Design_Batch_14</v>
          </cell>
          <cell r="D55" t="str">
            <v>MW-HYB</v>
          </cell>
        </row>
        <row r="56">
          <cell r="A56" t="str">
            <v>CM5724</v>
          </cell>
          <cell r="B56" t="str">
            <v>Angampitiya_Lamp</v>
          </cell>
          <cell r="C56" t="str">
            <v>2026_MBB_New Sites_Design_Batch_14</v>
          </cell>
          <cell r="D56" t="str">
            <v>MW-HYB</v>
          </cell>
        </row>
        <row r="57">
          <cell r="A57" t="str">
            <v>CM5756</v>
          </cell>
          <cell r="B57" t="str">
            <v>Yasorapura_Rd_Lamp</v>
          </cell>
          <cell r="C57" t="str">
            <v>2026_MBB_New Sites_Design_Batch_14</v>
          </cell>
          <cell r="D57" t="str">
            <v>OFN</v>
          </cell>
        </row>
        <row r="58">
          <cell r="A58" t="str">
            <v>BA5024</v>
          </cell>
          <cell r="B58" t="str">
            <v>Batti_Karaveddi_East_Lamp</v>
          </cell>
          <cell r="C58" t="str">
            <v>2026_MBB_New Sites_Design_Batch_13</v>
          </cell>
          <cell r="D58" t="str">
            <v>WiBAS</v>
          </cell>
        </row>
        <row r="59">
          <cell r="A59" t="str">
            <v>KI5040</v>
          </cell>
          <cell r="B59" t="str">
            <v>Pulopalai_Lamp</v>
          </cell>
          <cell r="C59" t="str">
            <v>2026_MBB_New Sites_Design_Batch_13</v>
          </cell>
          <cell r="D59" t="str">
            <v>MW-HYB</v>
          </cell>
        </row>
        <row r="60">
          <cell r="A60" t="str">
            <v>GA5095</v>
          </cell>
          <cell r="B60" t="str">
            <v>Yatramulla_Lamp</v>
          </cell>
          <cell r="C60" t="str">
            <v>2026_MBB_New Sites_Design_Batch_13</v>
          </cell>
          <cell r="D60" t="str">
            <v>MW-HYB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F31772-E9D2-4733-8FDA-970F9A76703D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e473a0d-b7a4-4093-a383-71bc12717bb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B544-800A-4A2E-B661-C6EA0DDD8AFC}">
  <sheetPr codeName="Sheet1">
    <tabColor rgb="FF1F4E79"/>
  </sheetPr>
  <dimension ref="A1:I568"/>
  <sheetViews>
    <sheetView showGridLines="0" zoomScale="85" zoomScaleNormal="85" workbookViewId="0">
      <selection activeCell="B19" sqref="B19"/>
    </sheetView>
  </sheetViews>
  <sheetFormatPr defaultColWidth="8.6640625" defaultRowHeight="14.4"/>
  <cols>
    <col min="1" max="9" width="23.77734375" style="33" customWidth="1"/>
    <col min="10" max="16384" width="8.6640625" style="33"/>
  </cols>
  <sheetData>
    <row r="1" spans="1:9" ht="10.050000000000001" customHeight="1" thickBot="1"/>
    <row r="2" spans="1:9" ht="40.049999999999997" customHeight="1" thickBot="1">
      <c r="A2" s="214" t="s">
        <v>133</v>
      </c>
      <c r="B2" s="215"/>
      <c r="C2" s="215"/>
      <c r="D2" s="215"/>
      <c r="E2" s="215"/>
      <c r="F2" s="215"/>
      <c r="G2" s="215"/>
      <c r="H2" s="215"/>
      <c r="I2" s="215"/>
    </row>
    <row r="3" spans="1:9" ht="10.050000000000001" customHeight="1" thickBot="1"/>
    <row r="4" spans="1:9" ht="25.05" customHeight="1" thickBot="1">
      <c r="A4" s="213" t="s">
        <v>407</v>
      </c>
      <c r="B4" s="213"/>
      <c r="C4" s="213"/>
      <c r="D4" s="213"/>
      <c r="E4" s="213"/>
      <c r="F4" s="213"/>
      <c r="G4" s="213"/>
      <c r="H4" s="213"/>
      <c r="I4" s="213"/>
    </row>
    <row r="5" spans="1:9" s="48" customFormat="1" ht="30" customHeight="1" thickBot="1">
      <c r="A5" s="46" t="s">
        <v>110</v>
      </c>
      <c r="B5" s="55" t="s">
        <v>153</v>
      </c>
      <c r="C5" s="58" t="s">
        <v>108</v>
      </c>
      <c r="D5" s="67" t="s">
        <v>146</v>
      </c>
      <c r="E5" s="61" t="s">
        <v>147</v>
      </c>
      <c r="F5" s="70" t="s">
        <v>190</v>
      </c>
      <c r="G5" s="52" t="s">
        <v>17</v>
      </c>
      <c r="H5" s="64" t="s">
        <v>105</v>
      </c>
      <c r="I5" s="38" t="s">
        <v>111</v>
      </c>
    </row>
    <row r="6" spans="1:9" ht="49.95" customHeight="1" thickBot="1">
      <c r="A6" s="34">
        <v>67</v>
      </c>
      <c r="B6" s="56">
        <v>32</v>
      </c>
      <c r="C6" s="59">
        <v>3</v>
      </c>
      <c r="D6" s="68">
        <v>3</v>
      </c>
      <c r="E6" s="62">
        <v>2</v>
      </c>
      <c r="F6" s="71">
        <v>0</v>
      </c>
      <c r="G6" s="53">
        <v>26</v>
      </c>
      <c r="H6" s="65">
        <v>0</v>
      </c>
      <c r="I6" s="35">
        <v>0</v>
      </c>
    </row>
    <row r="7" spans="1:9" s="51" customFormat="1" ht="19.95" customHeight="1" thickBot="1">
      <c r="A7" s="49" t="s">
        <v>119</v>
      </c>
      <c r="B7" s="57" t="s">
        <v>124</v>
      </c>
      <c r="C7" s="60" t="s">
        <v>125</v>
      </c>
      <c r="D7" s="69" t="s">
        <v>126</v>
      </c>
      <c r="E7" s="63" t="s">
        <v>112</v>
      </c>
      <c r="F7" s="72" t="s">
        <v>114</v>
      </c>
      <c r="G7" s="54" t="s">
        <v>113</v>
      </c>
      <c r="H7" s="66" t="s">
        <v>115</v>
      </c>
      <c r="I7" s="50" t="s">
        <v>127</v>
      </c>
    </row>
    <row r="8" spans="1:9" ht="10.050000000000001" customHeight="1" thickBot="1"/>
    <row r="9" spans="1:9" ht="25.05" customHeight="1" thickBot="1">
      <c r="A9" s="212" t="s">
        <v>134</v>
      </c>
      <c r="B9" s="213"/>
      <c r="C9" s="213"/>
      <c r="D9" s="213"/>
      <c r="E9" s="213"/>
      <c r="F9" s="213"/>
      <c r="G9" s="213"/>
      <c r="H9" s="213"/>
      <c r="I9" s="213"/>
    </row>
    <row r="10" spans="1:9" s="47" customFormat="1" ht="49.95" customHeight="1" thickBot="1">
      <c r="A10" s="91" t="s">
        <v>3</v>
      </c>
      <c r="B10" s="91" t="s">
        <v>110</v>
      </c>
      <c r="C10" s="91" t="s">
        <v>117</v>
      </c>
      <c r="D10" s="91" t="s">
        <v>108</v>
      </c>
      <c r="E10" s="94" t="s">
        <v>155</v>
      </c>
      <c r="F10" s="115" t="s">
        <v>154</v>
      </c>
      <c r="G10" s="91" t="s">
        <v>17</v>
      </c>
      <c r="H10" s="91" t="s">
        <v>105</v>
      </c>
      <c r="I10" s="91" t="s">
        <v>135</v>
      </c>
    </row>
    <row r="11" spans="1:9" ht="30" customHeight="1" thickBot="1">
      <c r="A11" s="99" t="s">
        <v>86</v>
      </c>
      <c r="B11" s="95">
        <v>1</v>
      </c>
      <c r="C11" s="95">
        <v>1</v>
      </c>
      <c r="D11" s="95">
        <v>0</v>
      </c>
      <c r="E11" s="95">
        <v>0</v>
      </c>
      <c r="F11" s="96">
        <v>0</v>
      </c>
      <c r="G11" s="95">
        <v>0</v>
      </c>
      <c r="H11" s="95">
        <v>0</v>
      </c>
      <c r="I11" s="194">
        <v>1</v>
      </c>
    </row>
    <row r="12" spans="1:9" ht="30" customHeight="1" thickBot="1">
      <c r="A12" s="100" t="s">
        <v>103</v>
      </c>
      <c r="B12" s="89">
        <v>2</v>
      </c>
      <c r="C12" s="89">
        <v>2</v>
      </c>
      <c r="D12" s="89">
        <v>0</v>
      </c>
      <c r="E12" s="89">
        <v>0</v>
      </c>
      <c r="F12" s="90">
        <v>0</v>
      </c>
      <c r="G12" s="90">
        <v>0</v>
      </c>
      <c r="H12" s="90">
        <v>0</v>
      </c>
      <c r="I12" s="194">
        <v>1</v>
      </c>
    </row>
    <row r="13" spans="1:9" ht="30" customHeight="1" thickBot="1">
      <c r="A13" s="99" t="s">
        <v>9</v>
      </c>
      <c r="B13" s="97">
        <v>17</v>
      </c>
      <c r="C13" s="97">
        <v>13</v>
      </c>
      <c r="D13" s="97">
        <v>2</v>
      </c>
      <c r="E13" s="97">
        <v>1</v>
      </c>
      <c r="F13" s="98">
        <v>0</v>
      </c>
      <c r="G13" s="98">
        <v>1</v>
      </c>
      <c r="H13" s="98">
        <v>0</v>
      </c>
      <c r="I13" s="194">
        <v>0.94117647058823528</v>
      </c>
    </row>
    <row r="14" spans="1:9" ht="30" customHeight="1" thickBot="1">
      <c r="A14" s="100" t="s">
        <v>12</v>
      </c>
      <c r="B14" s="89">
        <v>14</v>
      </c>
      <c r="C14" s="89">
        <v>11</v>
      </c>
      <c r="D14" s="89">
        <v>1</v>
      </c>
      <c r="E14" s="89">
        <v>0</v>
      </c>
      <c r="F14" s="90">
        <v>1</v>
      </c>
      <c r="G14" s="90">
        <v>1</v>
      </c>
      <c r="H14" s="90">
        <v>0</v>
      </c>
      <c r="I14" s="194">
        <v>0.8571428571428571</v>
      </c>
    </row>
    <row r="15" spans="1:9" ht="30" customHeight="1" thickBot="1">
      <c r="A15" s="99" t="s">
        <v>122</v>
      </c>
      <c r="B15" s="97">
        <v>2</v>
      </c>
      <c r="C15" s="97">
        <v>2</v>
      </c>
      <c r="D15" s="97">
        <v>0</v>
      </c>
      <c r="E15" s="97">
        <v>0</v>
      </c>
      <c r="F15" s="98">
        <v>0</v>
      </c>
      <c r="G15" s="98">
        <v>0</v>
      </c>
      <c r="H15" s="98">
        <v>0</v>
      </c>
      <c r="I15" s="194">
        <v>1</v>
      </c>
    </row>
    <row r="16" spans="1:9" ht="30" customHeight="1" thickBot="1">
      <c r="A16" s="100" t="s">
        <v>145</v>
      </c>
      <c r="B16" s="89">
        <v>1</v>
      </c>
      <c r="C16" s="89">
        <v>0</v>
      </c>
      <c r="D16" s="89">
        <v>0</v>
      </c>
      <c r="E16" s="89">
        <v>1</v>
      </c>
      <c r="F16" s="90">
        <v>0</v>
      </c>
      <c r="G16" s="90">
        <v>0</v>
      </c>
      <c r="H16" s="90">
        <v>0</v>
      </c>
      <c r="I16" s="194">
        <v>1</v>
      </c>
    </row>
    <row r="17" spans="1:9" ht="30" customHeight="1" thickBot="1">
      <c r="A17" s="99" t="s">
        <v>142</v>
      </c>
      <c r="B17" s="97">
        <v>1</v>
      </c>
      <c r="C17" s="97">
        <v>1</v>
      </c>
      <c r="D17" s="97">
        <v>0</v>
      </c>
      <c r="E17" s="97">
        <v>0</v>
      </c>
      <c r="F17" s="98">
        <v>0</v>
      </c>
      <c r="G17" s="98">
        <v>0</v>
      </c>
      <c r="H17" s="98">
        <v>0</v>
      </c>
      <c r="I17" s="194">
        <v>1</v>
      </c>
    </row>
    <row r="18" spans="1:9" ht="30" customHeight="1" thickBot="1">
      <c r="A18" s="100" t="s">
        <v>144</v>
      </c>
      <c r="B18" s="89">
        <v>2</v>
      </c>
      <c r="C18" s="89">
        <v>2</v>
      </c>
      <c r="D18" s="89">
        <v>0</v>
      </c>
      <c r="E18" s="89">
        <v>0</v>
      </c>
      <c r="F18" s="90">
        <v>0</v>
      </c>
      <c r="G18" s="90">
        <v>0</v>
      </c>
      <c r="H18" s="90">
        <v>0</v>
      </c>
      <c r="I18" s="194">
        <v>1</v>
      </c>
    </row>
    <row r="19" spans="1:9" ht="30" customHeight="1" thickBot="1">
      <c r="A19" s="99" t="s">
        <v>228</v>
      </c>
      <c r="B19" s="97">
        <v>1</v>
      </c>
      <c r="C19" s="97">
        <v>0</v>
      </c>
      <c r="D19" s="97">
        <v>0</v>
      </c>
      <c r="E19" s="97">
        <v>0</v>
      </c>
      <c r="F19" s="98">
        <v>1</v>
      </c>
      <c r="G19" s="98">
        <v>0</v>
      </c>
      <c r="H19" s="98">
        <v>0</v>
      </c>
      <c r="I19" s="133">
        <v>0</v>
      </c>
    </row>
    <row r="20" spans="1:9" ht="30" customHeight="1" thickBot="1">
      <c r="A20" s="100" t="s">
        <v>410</v>
      </c>
      <c r="B20" s="89">
        <v>1</v>
      </c>
      <c r="C20" s="89">
        <v>0</v>
      </c>
      <c r="D20" s="89">
        <v>0</v>
      </c>
      <c r="E20" s="89">
        <v>0</v>
      </c>
      <c r="F20" s="90">
        <v>0</v>
      </c>
      <c r="G20" s="90">
        <v>1</v>
      </c>
      <c r="H20" s="90">
        <v>0</v>
      </c>
      <c r="I20" s="133">
        <v>0</v>
      </c>
    </row>
    <row r="21" spans="1:9" ht="30" customHeight="1" thickBot="1">
      <c r="A21" s="100" t="s">
        <v>99</v>
      </c>
      <c r="B21" s="89">
        <v>1</v>
      </c>
      <c r="C21" s="89">
        <v>0</v>
      </c>
      <c r="D21" s="89">
        <v>0</v>
      </c>
      <c r="E21" s="89">
        <v>1</v>
      </c>
      <c r="F21" s="90">
        <v>0</v>
      </c>
      <c r="G21" s="90">
        <v>0</v>
      </c>
      <c r="H21" s="90">
        <v>0</v>
      </c>
      <c r="I21" s="194">
        <v>1</v>
      </c>
    </row>
    <row r="22" spans="1:9" ht="30" customHeight="1" thickBot="1">
      <c r="A22" s="100" t="s">
        <v>136</v>
      </c>
      <c r="B22" s="89">
        <v>24</v>
      </c>
      <c r="C22" s="89">
        <v>0</v>
      </c>
      <c r="D22" s="89">
        <v>0</v>
      </c>
      <c r="E22" s="89">
        <v>0</v>
      </c>
      <c r="F22" s="90">
        <v>0</v>
      </c>
      <c r="G22" s="90">
        <v>23</v>
      </c>
      <c r="H22" s="90">
        <v>0</v>
      </c>
      <c r="I22" s="133">
        <v>0</v>
      </c>
    </row>
    <row r="23" spans="1:9" ht="30" customHeight="1" thickBot="1">
      <c r="A23" s="91" t="s">
        <v>116</v>
      </c>
      <c r="B23" s="92">
        <v>67</v>
      </c>
      <c r="C23" s="92">
        <v>32</v>
      </c>
      <c r="D23" s="92">
        <v>3</v>
      </c>
      <c r="E23" s="92">
        <v>3</v>
      </c>
      <c r="F23" s="93">
        <v>2</v>
      </c>
      <c r="G23" s="93">
        <v>26</v>
      </c>
      <c r="H23" s="93">
        <v>0</v>
      </c>
      <c r="I23" s="235">
        <v>0.56716417910447758</v>
      </c>
    </row>
    <row r="24" spans="1:9">
      <c r="A24"/>
      <c r="B24"/>
      <c r="C24"/>
      <c r="D24"/>
      <c r="E24"/>
    </row>
    <row r="25" spans="1:9">
      <c r="A25"/>
      <c r="B25"/>
      <c r="C25" s="105"/>
      <c r="D25" s="105"/>
      <c r="E25" s="105"/>
      <c r="F25" s="106"/>
    </row>
    <row r="26" spans="1:9">
      <c r="A26"/>
      <c r="B26"/>
      <c r="C26" s="105"/>
      <c r="D26" s="105"/>
      <c r="E26" s="105"/>
      <c r="F26" s="106"/>
    </row>
    <row r="27" spans="1:9">
      <c r="A27"/>
      <c r="B27"/>
      <c r="C27" s="105"/>
      <c r="D27" s="105"/>
      <c r="E27" s="105"/>
      <c r="F27" s="106"/>
    </row>
    <row r="28" spans="1:9">
      <c r="A28"/>
      <c r="B28"/>
      <c r="C28" s="105"/>
      <c r="D28" s="105"/>
      <c r="E28" s="105"/>
      <c r="F28" s="106"/>
    </row>
    <row r="29" spans="1:9">
      <c r="A29"/>
      <c r="B29"/>
      <c r="C29" s="105"/>
      <c r="D29" s="105"/>
      <c r="E29" s="105"/>
      <c r="F29" s="106"/>
    </row>
    <row r="30" spans="1:9">
      <c r="A30"/>
      <c r="B30"/>
      <c r="C30" s="105"/>
      <c r="D30" s="105"/>
      <c r="E30" s="105"/>
      <c r="F30" s="106"/>
    </row>
    <row r="31" spans="1:9">
      <c r="A31"/>
      <c r="B31"/>
      <c r="C31" s="105"/>
      <c r="D31" s="105"/>
      <c r="E31" s="105"/>
      <c r="F31" s="106"/>
    </row>
    <row r="32" spans="1:9">
      <c r="A32"/>
      <c r="B32"/>
      <c r="C32" s="105"/>
      <c r="D32" s="105"/>
      <c r="E32" s="105"/>
      <c r="F32" s="106"/>
    </row>
    <row r="33" spans="1:6">
      <c r="A33"/>
      <c r="B33"/>
      <c r="C33" s="105"/>
      <c r="D33" s="105"/>
      <c r="E33" s="105"/>
      <c r="F33" s="106"/>
    </row>
    <row r="34" spans="1:6">
      <c r="A34"/>
      <c r="B34"/>
      <c r="C34" s="105"/>
      <c r="D34" s="105"/>
      <c r="E34" s="105"/>
      <c r="F34" s="106"/>
    </row>
    <row r="35" spans="1:6">
      <c r="A35"/>
      <c r="B35"/>
      <c r="C35" s="105"/>
      <c r="D35" s="105"/>
      <c r="E35" s="105"/>
      <c r="F35" s="106"/>
    </row>
    <row r="36" spans="1:6">
      <c r="A36"/>
      <c r="B36"/>
      <c r="C36" s="105"/>
      <c r="D36" s="105"/>
      <c r="E36" s="105"/>
      <c r="F36" s="106"/>
    </row>
    <row r="37" spans="1:6">
      <c r="A37"/>
      <c r="B37"/>
      <c r="C37" s="105"/>
      <c r="D37" s="105"/>
      <c r="E37" s="105"/>
      <c r="F37" s="106"/>
    </row>
    <row r="38" spans="1:6">
      <c r="A38"/>
      <c r="B38"/>
      <c r="C38" s="105"/>
      <c r="D38" s="105"/>
      <c r="E38" s="105"/>
      <c r="F38" s="106"/>
    </row>
    <row r="39" spans="1:6">
      <c r="A39"/>
      <c r="B39"/>
      <c r="C39" s="105"/>
      <c r="D39" s="105"/>
      <c r="E39" s="105"/>
      <c r="F39" s="106"/>
    </row>
    <row r="40" spans="1:6">
      <c r="A40"/>
      <c r="B40"/>
      <c r="C40" s="105"/>
      <c r="D40" s="105"/>
      <c r="E40" s="105"/>
      <c r="F40" s="106"/>
    </row>
    <row r="41" spans="1:6">
      <c r="A41"/>
      <c r="B41"/>
      <c r="C41" s="105"/>
      <c r="D41" s="105"/>
      <c r="E41" s="105"/>
      <c r="F41" s="106"/>
    </row>
    <row r="42" spans="1:6">
      <c r="A42"/>
      <c r="B42"/>
      <c r="C42" s="105"/>
      <c r="D42" s="105"/>
      <c r="E42" s="105"/>
      <c r="F42" s="106"/>
    </row>
    <row r="43" spans="1:6">
      <c r="A43"/>
      <c r="B43"/>
      <c r="C43" s="105"/>
      <c r="D43" s="105"/>
      <c r="E43" s="105"/>
      <c r="F43" s="106"/>
    </row>
    <row r="44" spans="1:6">
      <c r="A44"/>
      <c r="B44"/>
      <c r="C44" s="105"/>
      <c r="D44" s="105"/>
      <c r="E44" s="105"/>
      <c r="F44" s="106"/>
    </row>
    <row r="45" spans="1:6">
      <c r="A45"/>
      <c r="B45"/>
      <c r="C45" s="105"/>
      <c r="D45" s="105"/>
      <c r="E45" s="105"/>
      <c r="F45" s="106"/>
    </row>
    <row r="46" spans="1:6">
      <c r="A46"/>
      <c r="B46"/>
      <c r="C46" s="105"/>
      <c r="D46" s="105"/>
      <c r="E46" s="105"/>
      <c r="F46" s="106"/>
    </row>
    <row r="47" spans="1:6">
      <c r="A47"/>
      <c r="B47"/>
      <c r="C47" s="105"/>
      <c r="D47" s="105"/>
      <c r="E47" s="105"/>
      <c r="F47" s="106"/>
    </row>
    <row r="48" spans="1:6">
      <c r="A48"/>
      <c r="B48"/>
      <c r="C48" s="105"/>
      <c r="D48" s="105"/>
      <c r="E48" s="105"/>
      <c r="F48" s="106"/>
    </row>
    <row r="49" spans="1:6">
      <c r="A49"/>
      <c r="B49"/>
      <c r="C49" s="105"/>
      <c r="D49" s="105"/>
      <c r="E49" s="105"/>
      <c r="F49" s="106"/>
    </row>
    <row r="50" spans="1:6">
      <c r="A50"/>
      <c r="B50"/>
      <c r="C50" s="105"/>
      <c r="D50" s="105"/>
      <c r="E50" s="105"/>
      <c r="F50" s="106"/>
    </row>
    <row r="51" spans="1:6">
      <c r="A51"/>
      <c r="B51"/>
      <c r="C51" s="105"/>
      <c r="D51" s="105"/>
      <c r="E51" s="105"/>
      <c r="F51" s="106"/>
    </row>
    <row r="52" spans="1:6">
      <c r="A52"/>
      <c r="B52"/>
      <c r="C52" s="105"/>
      <c r="D52" s="105"/>
      <c r="E52" s="105"/>
      <c r="F52" s="106"/>
    </row>
    <row r="53" spans="1:6">
      <c r="A53"/>
      <c r="B53"/>
      <c r="C53" s="105"/>
      <c r="D53" s="105"/>
      <c r="E53" s="105"/>
      <c r="F53" s="106"/>
    </row>
    <row r="54" spans="1:6">
      <c r="A54"/>
      <c r="B54"/>
      <c r="C54" s="105"/>
      <c r="D54" s="105"/>
      <c r="E54" s="105"/>
      <c r="F54" s="106"/>
    </row>
    <row r="55" spans="1:6">
      <c r="A55"/>
      <c r="B55"/>
      <c r="C55" s="105"/>
      <c r="D55" s="105"/>
      <c r="E55" s="105"/>
      <c r="F55" s="106"/>
    </row>
    <row r="56" spans="1:6">
      <c r="A56"/>
      <c r="B56"/>
      <c r="C56" s="105"/>
      <c r="D56" s="105"/>
      <c r="E56" s="105"/>
      <c r="F56" s="106"/>
    </row>
    <row r="57" spans="1:6">
      <c r="A57"/>
      <c r="B57"/>
      <c r="C57" s="105"/>
      <c r="D57" s="105"/>
      <c r="E57" s="105"/>
      <c r="F57" s="106"/>
    </row>
    <row r="58" spans="1:6">
      <c r="A58"/>
      <c r="B58"/>
      <c r="C58" s="105"/>
      <c r="D58" s="105"/>
      <c r="E58" s="105"/>
      <c r="F58" s="106"/>
    </row>
    <row r="59" spans="1:6">
      <c r="A59"/>
      <c r="B59"/>
      <c r="C59" s="105"/>
      <c r="D59" s="105"/>
      <c r="E59" s="105"/>
      <c r="F59" s="106"/>
    </row>
    <row r="60" spans="1:6">
      <c r="A60"/>
      <c r="B60"/>
      <c r="C60" s="105"/>
      <c r="D60" s="105"/>
      <c r="E60" s="105"/>
      <c r="F60" s="106"/>
    </row>
    <row r="61" spans="1:6">
      <c r="A61"/>
      <c r="B61"/>
      <c r="C61" s="105"/>
      <c r="D61" s="105"/>
      <c r="E61" s="105"/>
      <c r="F61" s="106"/>
    </row>
    <row r="62" spans="1:6">
      <c r="A62"/>
      <c r="B62"/>
      <c r="C62" s="105"/>
      <c r="D62" s="105"/>
      <c r="E62" s="105"/>
      <c r="F62" s="106"/>
    </row>
    <row r="63" spans="1:6">
      <c r="A63"/>
      <c r="B63"/>
      <c r="C63" s="105"/>
      <c r="D63" s="105"/>
      <c r="E63" s="105"/>
      <c r="F63" s="106"/>
    </row>
    <row r="64" spans="1:6">
      <c r="A64"/>
      <c r="B64"/>
      <c r="C64" s="105"/>
      <c r="D64" s="105"/>
      <c r="E64" s="105"/>
      <c r="F64" s="106"/>
    </row>
    <row r="65" spans="1:6">
      <c r="A65"/>
      <c r="B65"/>
      <c r="C65" s="105"/>
      <c r="D65" s="105"/>
      <c r="E65" s="105"/>
      <c r="F65" s="106"/>
    </row>
    <row r="66" spans="1:6">
      <c r="A66"/>
      <c r="B66"/>
      <c r="C66" s="105"/>
      <c r="D66" s="105"/>
      <c r="E66" s="105"/>
      <c r="F66" s="106"/>
    </row>
    <row r="67" spans="1:6">
      <c r="A67"/>
      <c r="B67"/>
      <c r="C67" s="105"/>
      <c r="D67" s="105"/>
      <c r="E67" s="105"/>
      <c r="F67" s="106"/>
    </row>
    <row r="68" spans="1:6">
      <c r="A68"/>
      <c r="B68"/>
      <c r="C68" s="105"/>
      <c r="D68" s="105"/>
      <c r="E68" s="105"/>
      <c r="F68" s="106"/>
    </row>
    <row r="69" spans="1:6">
      <c r="A69"/>
      <c r="B69"/>
      <c r="C69" s="105"/>
      <c r="D69" s="105"/>
      <c r="E69" s="105"/>
      <c r="F69" s="106"/>
    </row>
    <row r="70" spans="1:6">
      <c r="A70"/>
      <c r="B70"/>
      <c r="C70" s="105"/>
      <c r="D70" s="105"/>
      <c r="E70" s="105"/>
      <c r="F70" s="106"/>
    </row>
    <row r="71" spans="1:6">
      <c r="A71"/>
      <c r="B71"/>
      <c r="C71" s="105"/>
      <c r="D71" s="105"/>
      <c r="E71" s="105"/>
      <c r="F71" s="106"/>
    </row>
    <row r="72" spans="1:6">
      <c r="A72"/>
      <c r="B72"/>
      <c r="C72" s="105"/>
      <c r="D72" s="105"/>
      <c r="E72" s="105"/>
      <c r="F72" s="106"/>
    </row>
    <row r="73" spans="1:6">
      <c r="A73"/>
      <c r="B73"/>
      <c r="C73" s="105"/>
      <c r="D73" s="105"/>
      <c r="E73" s="105"/>
      <c r="F73" s="106"/>
    </row>
    <row r="74" spans="1:6">
      <c r="A74"/>
      <c r="B74"/>
      <c r="C74" s="105"/>
      <c r="D74" s="105"/>
      <c r="E74" s="105"/>
      <c r="F74" s="106"/>
    </row>
    <row r="75" spans="1:6">
      <c r="A75"/>
      <c r="B75"/>
      <c r="C75" s="105"/>
      <c r="D75" s="105"/>
      <c r="E75" s="105"/>
      <c r="F75" s="106"/>
    </row>
    <row r="76" spans="1:6">
      <c r="A76"/>
      <c r="B76"/>
      <c r="C76" s="105"/>
      <c r="D76" s="105"/>
      <c r="E76" s="105"/>
      <c r="F76" s="106"/>
    </row>
    <row r="77" spans="1:6">
      <c r="A77"/>
      <c r="B77"/>
      <c r="C77" s="105"/>
      <c r="D77" s="105"/>
      <c r="E77" s="105"/>
      <c r="F77" s="106"/>
    </row>
    <row r="78" spans="1:6">
      <c r="A78"/>
      <c r="B78"/>
      <c r="C78" s="105"/>
      <c r="D78" s="105"/>
      <c r="E78" s="105"/>
      <c r="F78" s="106"/>
    </row>
    <row r="79" spans="1:6">
      <c r="A79"/>
      <c r="B79"/>
      <c r="C79" s="105"/>
      <c r="D79" s="105"/>
      <c r="E79" s="105"/>
      <c r="F79" s="106"/>
    </row>
    <row r="80" spans="1:6">
      <c r="A80"/>
      <c r="B80"/>
      <c r="C80" s="105"/>
      <c r="D80" s="105"/>
      <c r="E80" s="105"/>
      <c r="F80" s="106"/>
    </row>
    <row r="81" spans="1:6">
      <c r="A81"/>
      <c r="B81"/>
      <c r="C81" s="105"/>
      <c r="D81" s="105"/>
      <c r="E81" s="105"/>
      <c r="F81" s="106"/>
    </row>
    <row r="82" spans="1:6">
      <c r="A82"/>
      <c r="B82"/>
      <c r="C82" s="105"/>
      <c r="D82" s="105"/>
      <c r="E82" s="105"/>
      <c r="F82" s="106"/>
    </row>
    <row r="83" spans="1:6">
      <c r="A83"/>
      <c r="B83"/>
      <c r="C83" s="105"/>
      <c r="D83" s="105"/>
      <c r="E83" s="105"/>
      <c r="F83" s="106"/>
    </row>
    <row r="84" spans="1:6">
      <c r="A84"/>
      <c r="B84"/>
      <c r="C84" s="105"/>
      <c r="D84" s="105"/>
      <c r="E84" s="105"/>
      <c r="F84" s="106"/>
    </row>
    <row r="85" spans="1:6">
      <c r="A85"/>
      <c r="B85"/>
      <c r="C85" s="105"/>
      <c r="D85" s="105"/>
      <c r="E85" s="105"/>
      <c r="F85" s="106"/>
    </row>
    <row r="86" spans="1:6">
      <c r="A86"/>
      <c r="B86"/>
      <c r="C86" s="105"/>
      <c r="D86" s="105"/>
      <c r="E86" s="105"/>
      <c r="F86" s="106"/>
    </row>
    <row r="87" spans="1:6">
      <c r="A87"/>
      <c r="B87"/>
      <c r="C87" s="105"/>
      <c r="D87" s="105"/>
      <c r="E87" s="105"/>
      <c r="F87" s="106"/>
    </row>
    <row r="88" spans="1:6">
      <c r="A88"/>
      <c r="B88"/>
      <c r="C88" s="105"/>
      <c r="D88" s="105"/>
      <c r="E88" s="105"/>
      <c r="F88" s="106"/>
    </row>
    <row r="89" spans="1:6">
      <c r="A89"/>
      <c r="B89"/>
      <c r="C89" s="105"/>
      <c r="D89" s="105"/>
      <c r="E89" s="105"/>
      <c r="F89" s="106"/>
    </row>
    <row r="90" spans="1:6">
      <c r="A90"/>
      <c r="B90"/>
      <c r="C90" s="105"/>
      <c r="D90" s="105"/>
      <c r="E90" s="105"/>
      <c r="F90" s="106"/>
    </row>
    <row r="91" spans="1:6">
      <c r="A91"/>
      <c r="B91"/>
      <c r="C91" s="105"/>
      <c r="D91" s="105"/>
      <c r="E91" s="105"/>
      <c r="F91" s="106"/>
    </row>
    <row r="92" spans="1:6">
      <c r="A92"/>
      <c r="B92"/>
      <c r="C92" s="105"/>
      <c r="D92" s="105"/>
      <c r="E92" s="105"/>
      <c r="F92" s="106"/>
    </row>
    <row r="93" spans="1:6">
      <c r="A93"/>
      <c r="B93"/>
      <c r="C93" s="105"/>
      <c r="D93" s="105"/>
      <c r="E93" s="105"/>
      <c r="F93" s="106"/>
    </row>
    <row r="94" spans="1:6">
      <c r="A94"/>
      <c r="B94"/>
      <c r="C94" s="105"/>
      <c r="D94" s="105"/>
      <c r="E94" s="105"/>
      <c r="F94" s="106"/>
    </row>
    <row r="95" spans="1:6">
      <c r="A95"/>
      <c r="B95"/>
      <c r="C95" s="105"/>
      <c r="D95" s="105"/>
      <c r="E95" s="105"/>
      <c r="F95" s="106"/>
    </row>
    <row r="96" spans="1:6">
      <c r="A96"/>
      <c r="B96"/>
      <c r="C96" s="105"/>
      <c r="D96" s="105"/>
      <c r="E96" s="105"/>
      <c r="F96" s="106"/>
    </row>
    <row r="97" spans="1:6">
      <c r="A97"/>
      <c r="B97"/>
      <c r="C97" s="105"/>
      <c r="D97" s="105"/>
      <c r="E97" s="105"/>
      <c r="F97" s="106"/>
    </row>
    <row r="98" spans="1:6">
      <c r="A98"/>
      <c r="B98"/>
      <c r="C98" s="105"/>
      <c r="D98" s="105"/>
      <c r="E98" s="105"/>
      <c r="F98" s="106"/>
    </row>
    <row r="99" spans="1:6">
      <c r="A99"/>
      <c r="B99"/>
      <c r="C99" s="105"/>
      <c r="D99" s="105"/>
      <c r="E99" s="105"/>
      <c r="F99" s="106"/>
    </row>
    <row r="100" spans="1:6">
      <c r="A100"/>
      <c r="B100"/>
      <c r="C100" s="105"/>
      <c r="D100" s="105"/>
      <c r="E100" s="105"/>
      <c r="F100" s="106"/>
    </row>
    <row r="101" spans="1:6">
      <c r="A101"/>
      <c r="B101"/>
      <c r="C101" s="105"/>
      <c r="D101" s="105"/>
      <c r="E101" s="105"/>
      <c r="F101" s="106"/>
    </row>
    <row r="102" spans="1:6">
      <c r="A102"/>
      <c r="B102"/>
      <c r="C102" s="105"/>
      <c r="D102" s="105"/>
      <c r="E102" s="105"/>
      <c r="F102" s="106"/>
    </row>
    <row r="103" spans="1:6">
      <c r="A103"/>
      <c r="B103"/>
      <c r="C103" s="105"/>
      <c r="D103" s="105"/>
      <c r="E103" s="105"/>
      <c r="F103" s="106"/>
    </row>
    <row r="104" spans="1:6">
      <c r="A104"/>
      <c r="B104"/>
      <c r="C104" s="105"/>
      <c r="D104" s="105"/>
      <c r="E104" s="105"/>
      <c r="F104" s="106"/>
    </row>
    <row r="105" spans="1:6">
      <c r="A105"/>
      <c r="B105"/>
      <c r="C105" s="105"/>
      <c r="D105" s="105"/>
      <c r="E105" s="105"/>
      <c r="F105" s="106"/>
    </row>
    <row r="106" spans="1:6">
      <c r="A106"/>
      <c r="B106"/>
      <c r="C106" s="105"/>
      <c r="D106" s="105"/>
      <c r="E106" s="105"/>
      <c r="F106" s="106"/>
    </row>
    <row r="107" spans="1:6">
      <c r="A107"/>
      <c r="B107"/>
      <c r="C107" s="105"/>
      <c r="D107" s="105"/>
      <c r="E107" s="105"/>
      <c r="F107" s="106"/>
    </row>
    <row r="108" spans="1:6">
      <c r="A108"/>
      <c r="B108"/>
      <c r="C108" s="105"/>
      <c r="D108" s="105"/>
      <c r="E108" s="105"/>
      <c r="F108" s="106"/>
    </row>
    <row r="109" spans="1:6">
      <c r="A109"/>
      <c r="B109"/>
      <c r="C109" s="105"/>
      <c r="D109" s="105"/>
      <c r="E109" s="105"/>
      <c r="F109" s="106"/>
    </row>
    <row r="110" spans="1:6">
      <c r="A110"/>
      <c r="B110"/>
      <c r="C110" s="105"/>
      <c r="D110" s="105"/>
      <c r="E110" s="105"/>
      <c r="F110" s="106"/>
    </row>
    <row r="111" spans="1:6">
      <c r="A111"/>
      <c r="B111"/>
      <c r="C111" s="105"/>
      <c r="D111" s="105"/>
      <c r="E111" s="105"/>
      <c r="F111" s="106"/>
    </row>
    <row r="112" spans="1:6">
      <c r="A112"/>
      <c r="B112"/>
      <c r="C112" s="105"/>
      <c r="D112" s="105"/>
      <c r="E112" s="105"/>
      <c r="F112" s="106"/>
    </row>
    <row r="113" spans="1:6">
      <c r="A113"/>
      <c r="B113"/>
      <c r="C113" s="105"/>
      <c r="D113" s="105"/>
      <c r="E113" s="105"/>
      <c r="F113" s="106"/>
    </row>
    <row r="114" spans="1:6">
      <c r="A114"/>
      <c r="B114"/>
      <c r="C114" s="105"/>
      <c r="D114" s="105"/>
      <c r="E114" s="105"/>
      <c r="F114" s="106"/>
    </row>
    <row r="115" spans="1:6">
      <c r="A115"/>
      <c r="B115"/>
      <c r="C115" s="105"/>
      <c r="D115" s="105"/>
      <c r="E115" s="105"/>
      <c r="F115" s="106"/>
    </row>
    <row r="116" spans="1:6">
      <c r="A116"/>
      <c r="B116"/>
      <c r="C116" s="105"/>
      <c r="D116" s="105"/>
      <c r="E116" s="105"/>
      <c r="F116" s="106"/>
    </row>
    <row r="117" spans="1:6">
      <c r="A117"/>
      <c r="B117"/>
      <c r="C117" s="105"/>
      <c r="D117" s="105"/>
      <c r="E117" s="105"/>
      <c r="F117" s="106"/>
    </row>
    <row r="118" spans="1:6">
      <c r="A118"/>
      <c r="B118"/>
      <c r="C118" s="105"/>
      <c r="D118" s="105"/>
      <c r="E118" s="105"/>
      <c r="F118" s="106"/>
    </row>
    <row r="119" spans="1:6">
      <c r="A119"/>
      <c r="B119"/>
      <c r="C119" s="105"/>
      <c r="D119" s="105"/>
      <c r="E119" s="105"/>
      <c r="F119" s="106"/>
    </row>
    <row r="120" spans="1:6">
      <c r="A120"/>
      <c r="B120"/>
      <c r="C120" s="105"/>
      <c r="D120" s="105"/>
      <c r="E120" s="105"/>
      <c r="F120" s="106"/>
    </row>
    <row r="121" spans="1:6">
      <c r="A121"/>
      <c r="B121"/>
      <c r="C121" s="105"/>
      <c r="D121" s="105"/>
      <c r="E121" s="105"/>
      <c r="F121" s="106"/>
    </row>
    <row r="122" spans="1:6">
      <c r="A122"/>
      <c r="B122"/>
      <c r="C122" s="105"/>
      <c r="D122" s="105"/>
      <c r="E122" s="105"/>
      <c r="F122" s="106"/>
    </row>
    <row r="123" spans="1:6">
      <c r="A123"/>
      <c r="B123"/>
      <c r="C123" s="105"/>
      <c r="D123" s="105"/>
      <c r="E123" s="105"/>
      <c r="F123" s="106"/>
    </row>
    <row r="124" spans="1:6">
      <c r="A124"/>
      <c r="B124"/>
      <c r="C124" s="105"/>
      <c r="D124" s="105"/>
      <c r="E124" s="105"/>
      <c r="F124" s="106"/>
    </row>
    <row r="125" spans="1:6">
      <c r="A125"/>
      <c r="B125"/>
      <c r="C125" s="105"/>
      <c r="D125" s="105"/>
      <c r="E125" s="105"/>
      <c r="F125" s="106"/>
    </row>
    <row r="126" spans="1:6">
      <c r="A126"/>
      <c r="B126"/>
      <c r="C126" s="105"/>
      <c r="D126" s="105"/>
      <c r="E126" s="105"/>
      <c r="F126" s="106"/>
    </row>
    <row r="127" spans="1:6">
      <c r="A127"/>
      <c r="B127"/>
      <c r="C127" s="105"/>
      <c r="D127" s="105"/>
      <c r="E127" s="105"/>
      <c r="F127" s="106"/>
    </row>
    <row r="128" spans="1:6">
      <c r="A128"/>
      <c r="B128"/>
      <c r="C128" s="105"/>
      <c r="D128" s="105"/>
      <c r="E128" s="105"/>
      <c r="F128" s="106"/>
    </row>
    <row r="129" spans="1:6">
      <c r="A129"/>
      <c r="B129"/>
      <c r="C129" s="105"/>
      <c r="D129" s="105"/>
      <c r="E129" s="105"/>
      <c r="F129" s="106"/>
    </row>
    <row r="130" spans="1:6">
      <c r="A130"/>
      <c r="B130"/>
      <c r="C130" s="105"/>
      <c r="D130" s="105"/>
      <c r="E130" s="105"/>
      <c r="F130" s="106"/>
    </row>
    <row r="131" spans="1:6">
      <c r="A131"/>
      <c r="B131"/>
      <c r="C131" s="105"/>
      <c r="D131" s="105"/>
      <c r="E131" s="105"/>
      <c r="F131" s="106"/>
    </row>
    <row r="132" spans="1:6">
      <c r="A132"/>
      <c r="B132"/>
      <c r="C132" s="105"/>
      <c r="D132" s="105"/>
      <c r="E132" s="105"/>
      <c r="F132" s="106"/>
    </row>
    <row r="133" spans="1:6">
      <c r="A133"/>
      <c r="B133"/>
      <c r="C133" s="105"/>
      <c r="D133" s="105"/>
      <c r="E133" s="105"/>
      <c r="F133" s="106"/>
    </row>
    <row r="134" spans="1:6">
      <c r="A134"/>
      <c r="B134"/>
      <c r="C134" s="105"/>
      <c r="D134" s="105"/>
      <c r="E134" s="105"/>
      <c r="F134" s="106"/>
    </row>
    <row r="135" spans="1:6">
      <c r="A135"/>
      <c r="B135"/>
      <c r="C135" s="105"/>
      <c r="D135" s="105"/>
      <c r="E135" s="105"/>
      <c r="F135" s="106"/>
    </row>
    <row r="136" spans="1:6">
      <c r="A136"/>
      <c r="B136"/>
      <c r="C136" s="105"/>
      <c r="D136" s="105"/>
      <c r="E136" s="105"/>
      <c r="F136" s="106"/>
    </row>
    <row r="137" spans="1:6">
      <c r="A137"/>
      <c r="B137"/>
      <c r="C137" s="105"/>
      <c r="D137" s="105"/>
      <c r="E137" s="105"/>
      <c r="F137" s="106"/>
    </row>
    <row r="138" spans="1:6">
      <c r="A138"/>
      <c r="B138"/>
      <c r="C138" s="105"/>
      <c r="D138" s="105"/>
      <c r="E138" s="105"/>
      <c r="F138" s="106"/>
    </row>
    <row r="139" spans="1:6">
      <c r="A139"/>
      <c r="B139"/>
      <c r="C139" s="105"/>
      <c r="D139" s="105"/>
      <c r="E139" s="105"/>
      <c r="F139" s="106"/>
    </row>
    <row r="140" spans="1:6">
      <c r="A140"/>
      <c r="B140"/>
      <c r="C140" s="105"/>
      <c r="D140" s="105"/>
      <c r="E140" s="105"/>
      <c r="F140" s="106"/>
    </row>
    <row r="141" spans="1:6">
      <c r="A141"/>
      <c r="B141"/>
      <c r="C141" s="105"/>
      <c r="D141" s="105"/>
      <c r="E141" s="105"/>
      <c r="F141" s="106"/>
    </row>
    <row r="142" spans="1:6">
      <c r="A142"/>
      <c r="B142"/>
      <c r="C142" s="105"/>
      <c r="D142" s="105"/>
      <c r="E142" s="105"/>
      <c r="F142" s="106"/>
    </row>
    <row r="143" spans="1:6">
      <c r="A143"/>
      <c r="B143"/>
      <c r="C143" s="105"/>
      <c r="D143" s="105"/>
      <c r="E143" s="105"/>
      <c r="F143" s="106"/>
    </row>
    <row r="144" spans="1:6">
      <c r="A144"/>
      <c r="B144"/>
      <c r="C144" s="105"/>
      <c r="D144" s="105"/>
      <c r="E144" s="105"/>
      <c r="F144" s="106"/>
    </row>
    <row r="145" spans="1:6">
      <c r="A145"/>
      <c r="B145"/>
      <c r="C145" s="105"/>
      <c r="D145" s="105"/>
      <c r="E145" s="105"/>
      <c r="F145" s="106"/>
    </row>
    <row r="146" spans="1:6">
      <c r="A146"/>
      <c r="B146"/>
      <c r="C146" s="105"/>
      <c r="D146" s="105"/>
      <c r="E146" s="105"/>
      <c r="F146" s="106"/>
    </row>
    <row r="147" spans="1:6">
      <c r="A147"/>
      <c r="B147"/>
      <c r="C147" s="105"/>
      <c r="D147" s="105"/>
      <c r="E147" s="105"/>
      <c r="F147" s="106"/>
    </row>
    <row r="148" spans="1:6">
      <c r="A148"/>
      <c r="B148"/>
      <c r="C148" s="105"/>
      <c r="D148" s="105"/>
      <c r="E148" s="105"/>
      <c r="F148" s="106"/>
    </row>
    <row r="149" spans="1:6">
      <c r="A149"/>
      <c r="B149"/>
      <c r="C149" s="105"/>
      <c r="D149" s="105"/>
      <c r="E149" s="105"/>
      <c r="F149" s="106"/>
    </row>
    <row r="150" spans="1:6">
      <c r="A150"/>
      <c r="B150"/>
      <c r="C150" s="105"/>
      <c r="D150" s="105"/>
      <c r="E150" s="105"/>
      <c r="F150" s="106"/>
    </row>
    <row r="151" spans="1:6">
      <c r="A151"/>
      <c r="B151"/>
      <c r="C151" s="105"/>
      <c r="D151" s="105"/>
      <c r="E151" s="105"/>
      <c r="F151" s="106"/>
    </row>
    <row r="152" spans="1:6">
      <c r="A152"/>
      <c r="B152"/>
      <c r="C152" s="105"/>
      <c r="D152" s="105"/>
      <c r="E152" s="105"/>
      <c r="F152" s="106"/>
    </row>
    <row r="153" spans="1:6">
      <c r="A153"/>
      <c r="B153"/>
      <c r="C153" s="105"/>
      <c r="D153" s="105"/>
      <c r="E153" s="105"/>
      <c r="F153" s="106"/>
    </row>
    <row r="154" spans="1:6">
      <c r="A154"/>
      <c r="B154"/>
      <c r="C154" s="105"/>
      <c r="D154" s="105"/>
      <c r="E154" s="105"/>
      <c r="F154" s="106"/>
    </row>
    <row r="155" spans="1:6">
      <c r="A155"/>
      <c r="B155"/>
      <c r="C155" s="105"/>
      <c r="D155" s="105"/>
      <c r="E155" s="105"/>
      <c r="F155" s="106"/>
    </row>
    <row r="156" spans="1:6">
      <c r="A156"/>
      <c r="B156"/>
      <c r="C156" s="105"/>
      <c r="D156" s="105"/>
      <c r="E156" s="105"/>
      <c r="F156" s="106"/>
    </row>
    <row r="157" spans="1:6">
      <c r="A157"/>
      <c r="B157"/>
      <c r="C157" s="105"/>
      <c r="D157" s="105"/>
      <c r="E157" s="105"/>
      <c r="F157" s="106"/>
    </row>
    <row r="158" spans="1:6">
      <c r="A158"/>
      <c r="B158"/>
      <c r="C158" s="105"/>
      <c r="D158" s="105"/>
      <c r="E158" s="105"/>
      <c r="F158" s="106"/>
    </row>
    <row r="159" spans="1:6">
      <c r="A159"/>
      <c r="B159"/>
      <c r="C159" s="105"/>
      <c r="D159" s="105"/>
      <c r="E159" s="105"/>
      <c r="F159" s="106"/>
    </row>
    <row r="160" spans="1:6">
      <c r="A160"/>
      <c r="B160"/>
      <c r="C160" s="105"/>
      <c r="D160" s="105"/>
      <c r="E160" s="105"/>
      <c r="F160" s="106"/>
    </row>
    <row r="161" spans="1:6">
      <c r="A161"/>
      <c r="B161"/>
      <c r="C161" s="105"/>
      <c r="D161" s="105"/>
      <c r="E161" s="105"/>
      <c r="F161" s="106"/>
    </row>
    <row r="162" spans="1:6">
      <c r="A162"/>
      <c r="B162"/>
      <c r="C162" s="105"/>
      <c r="D162" s="105"/>
      <c r="E162" s="105"/>
      <c r="F162" s="106"/>
    </row>
    <row r="163" spans="1:6">
      <c r="A163"/>
      <c r="B163"/>
      <c r="C163" s="105"/>
      <c r="D163" s="105"/>
      <c r="E163" s="105"/>
      <c r="F163" s="106"/>
    </row>
    <row r="164" spans="1:6">
      <c r="A164"/>
      <c r="B164"/>
      <c r="C164" s="105"/>
      <c r="D164" s="105"/>
      <c r="E164" s="105"/>
      <c r="F164" s="106"/>
    </row>
    <row r="165" spans="1:6">
      <c r="A165"/>
      <c r="B165"/>
      <c r="C165" s="105"/>
      <c r="D165" s="105"/>
      <c r="E165" s="105"/>
      <c r="F165" s="106"/>
    </row>
    <row r="166" spans="1:6">
      <c r="A166"/>
      <c r="B166"/>
      <c r="C166" s="105"/>
      <c r="D166" s="105"/>
      <c r="E166" s="105"/>
      <c r="F166" s="106"/>
    </row>
    <row r="167" spans="1:6">
      <c r="A167"/>
      <c r="B167"/>
      <c r="C167" s="105"/>
      <c r="D167" s="105"/>
      <c r="E167" s="105"/>
      <c r="F167" s="106"/>
    </row>
    <row r="168" spans="1:6">
      <c r="A168"/>
      <c r="B168"/>
      <c r="C168" s="105"/>
      <c r="D168" s="105"/>
      <c r="E168" s="105"/>
      <c r="F168" s="106"/>
    </row>
    <row r="169" spans="1:6">
      <c r="A169"/>
      <c r="B169"/>
      <c r="C169" s="105"/>
      <c r="D169" s="105"/>
      <c r="E169" s="105"/>
      <c r="F169" s="106"/>
    </row>
    <row r="170" spans="1:6">
      <c r="A170"/>
      <c r="B170"/>
      <c r="C170" s="105"/>
      <c r="D170" s="105"/>
      <c r="E170" s="105"/>
      <c r="F170" s="106"/>
    </row>
    <row r="171" spans="1:6">
      <c r="A171"/>
      <c r="B171"/>
      <c r="C171" s="105"/>
      <c r="D171" s="105"/>
      <c r="E171" s="105"/>
      <c r="F171" s="106"/>
    </row>
    <row r="172" spans="1:6">
      <c r="A172"/>
      <c r="B172"/>
      <c r="C172" s="105"/>
      <c r="D172" s="105"/>
      <c r="E172" s="105"/>
      <c r="F172" s="106"/>
    </row>
    <row r="173" spans="1:6">
      <c r="A173"/>
      <c r="B173"/>
      <c r="C173" s="105"/>
      <c r="D173" s="105"/>
      <c r="E173" s="105"/>
      <c r="F173" s="106"/>
    </row>
    <row r="174" spans="1:6">
      <c r="A174"/>
      <c r="B174"/>
      <c r="C174" s="105"/>
      <c r="D174" s="105"/>
      <c r="E174" s="105"/>
      <c r="F174" s="106"/>
    </row>
    <row r="175" spans="1:6">
      <c r="A175"/>
      <c r="B175"/>
      <c r="C175" s="105"/>
      <c r="D175" s="105"/>
      <c r="E175" s="105"/>
      <c r="F175" s="106"/>
    </row>
    <row r="176" spans="1:6">
      <c r="A176"/>
      <c r="B176"/>
      <c r="C176" s="105"/>
      <c r="D176" s="105"/>
      <c r="E176" s="105"/>
      <c r="F176" s="106"/>
    </row>
    <row r="177" spans="1:6">
      <c r="A177"/>
      <c r="B177"/>
      <c r="C177" s="105"/>
      <c r="D177" s="105"/>
      <c r="E177" s="105"/>
      <c r="F177" s="106"/>
    </row>
    <row r="178" spans="1:6">
      <c r="A178"/>
      <c r="B178"/>
      <c r="C178" s="105"/>
      <c r="D178" s="105"/>
      <c r="E178" s="105"/>
      <c r="F178" s="106"/>
    </row>
    <row r="179" spans="1:6">
      <c r="A179"/>
      <c r="B179"/>
      <c r="C179" s="105"/>
      <c r="D179" s="105"/>
      <c r="E179" s="105"/>
      <c r="F179" s="106"/>
    </row>
    <row r="180" spans="1:6">
      <c r="A180"/>
      <c r="B180"/>
      <c r="C180" s="105"/>
      <c r="D180" s="105"/>
      <c r="E180" s="105"/>
      <c r="F180" s="106"/>
    </row>
    <row r="181" spans="1:6">
      <c r="A181"/>
      <c r="B181"/>
      <c r="C181" s="105"/>
      <c r="D181" s="105"/>
      <c r="E181" s="105"/>
      <c r="F181" s="106"/>
    </row>
    <row r="182" spans="1:6">
      <c r="A182"/>
      <c r="B182"/>
      <c r="C182" s="105"/>
      <c r="D182" s="105"/>
      <c r="E182" s="105"/>
      <c r="F182" s="106"/>
    </row>
    <row r="183" spans="1:6">
      <c r="A183"/>
      <c r="B183"/>
      <c r="C183" s="105"/>
      <c r="D183" s="105"/>
      <c r="E183" s="105"/>
      <c r="F183" s="106"/>
    </row>
    <row r="184" spans="1:6">
      <c r="A184"/>
      <c r="B184"/>
      <c r="C184" s="105"/>
      <c r="D184" s="105"/>
      <c r="E184" s="105"/>
      <c r="F184" s="106"/>
    </row>
    <row r="185" spans="1:6">
      <c r="A185"/>
      <c r="B185"/>
      <c r="C185" s="105"/>
      <c r="D185" s="105"/>
      <c r="E185" s="105"/>
      <c r="F185" s="106"/>
    </row>
    <row r="186" spans="1:6">
      <c r="A186"/>
      <c r="B186"/>
      <c r="C186" s="105"/>
      <c r="D186" s="105"/>
      <c r="E186" s="105"/>
      <c r="F186" s="106"/>
    </row>
    <row r="187" spans="1:6">
      <c r="A187"/>
      <c r="B187"/>
      <c r="C187" s="105"/>
      <c r="D187" s="105"/>
      <c r="E187" s="105"/>
      <c r="F187" s="106"/>
    </row>
    <row r="188" spans="1:6">
      <c r="A188"/>
      <c r="B188"/>
      <c r="C188" s="105"/>
      <c r="D188" s="105"/>
      <c r="E188" s="105"/>
      <c r="F188" s="106"/>
    </row>
    <row r="189" spans="1:6">
      <c r="A189"/>
      <c r="B189"/>
      <c r="C189" s="105"/>
      <c r="D189" s="105"/>
      <c r="E189" s="105"/>
      <c r="F189" s="106"/>
    </row>
    <row r="190" spans="1:6">
      <c r="A190"/>
      <c r="B190"/>
      <c r="C190" s="105"/>
      <c r="D190" s="105"/>
      <c r="E190" s="105"/>
      <c r="F190" s="106"/>
    </row>
    <row r="191" spans="1:6">
      <c r="A191"/>
      <c r="B191"/>
      <c r="C191" s="105"/>
      <c r="D191" s="105"/>
      <c r="E191" s="105"/>
      <c r="F191" s="106"/>
    </row>
    <row r="192" spans="1:6">
      <c r="A192"/>
      <c r="B192"/>
      <c r="C192" s="105"/>
      <c r="D192" s="105"/>
      <c r="E192" s="105"/>
      <c r="F192" s="106"/>
    </row>
    <row r="193" spans="1:6">
      <c r="A193"/>
      <c r="B193"/>
      <c r="C193" s="105"/>
      <c r="D193" s="105"/>
      <c r="E193" s="105"/>
      <c r="F193" s="106"/>
    </row>
    <row r="194" spans="1:6">
      <c r="A194"/>
      <c r="B194"/>
      <c r="C194" s="105"/>
      <c r="D194" s="105"/>
      <c r="E194" s="105"/>
      <c r="F194" s="106"/>
    </row>
    <row r="195" spans="1:6">
      <c r="A195"/>
      <c r="B195"/>
      <c r="C195" s="105"/>
      <c r="D195" s="105"/>
      <c r="E195" s="105"/>
      <c r="F195" s="106"/>
    </row>
    <row r="196" spans="1:6">
      <c r="A196"/>
      <c r="B196"/>
      <c r="C196" s="105"/>
      <c r="D196" s="105"/>
      <c r="E196" s="105"/>
      <c r="F196" s="106"/>
    </row>
    <row r="197" spans="1:6">
      <c r="A197"/>
      <c r="B197"/>
      <c r="C197" s="105"/>
      <c r="D197" s="105"/>
      <c r="E197" s="105"/>
      <c r="F197" s="106"/>
    </row>
    <row r="198" spans="1:6">
      <c r="A198"/>
      <c r="B198"/>
      <c r="C198" s="105"/>
      <c r="D198" s="105"/>
      <c r="E198" s="105"/>
      <c r="F198" s="106"/>
    </row>
    <row r="199" spans="1:6">
      <c r="A199"/>
      <c r="B199"/>
      <c r="C199" s="105"/>
      <c r="D199" s="105"/>
      <c r="E199" s="105"/>
      <c r="F199" s="106"/>
    </row>
    <row r="200" spans="1:6">
      <c r="A200"/>
      <c r="B200"/>
      <c r="C200" s="105"/>
      <c r="D200" s="105"/>
      <c r="E200" s="105"/>
      <c r="F200" s="106"/>
    </row>
    <row r="201" spans="1:6">
      <c r="A201"/>
      <c r="B201"/>
      <c r="C201" s="105"/>
      <c r="D201" s="105"/>
      <c r="E201" s="105"/>
      <c r="F201" s="106"/>
    </row>
    <row r="202" spans="1:6">
      <c r="A202"/>
      <c r="B202"/>
      <c r="C202" s="105"/>
      <c r="D202" s="105"/>
      <c r="E202" s="105"/>
      <c r="F202" s="106"/>
    </row>
    <row r="203" spans="1:6">
      <c r="A203"/>
      <c r="B203"/>
      <c r="C203" s="105"/>
      <c r="D203" s="105"/>
      <c r="E203" s="105"/>
      <c r="F203" s="106"/>
    </row>
    <row r="204" spans="1:6">
      <c r="A204"/>
      <c r="B204"/>
      <c r="C204" s="105"/>
      <c r="D204" s="105"/>
      <c r="E204" s="105"/>
      <c r="F204" s="106"/>
    </row>
    <row r="205" spans="1:6">
      <c r="A205"/>
      <c r="B205"/>
      <c r="C205" s="105"/>
      <c r="D205" s="105"/>
      <c r="E205" s="105"/>
      <c r="F205" s="106"/>
    </row>
    <row r="206" spans="1:6">
      <c r="A206"/>
      <c r="B206"/>
      <c r="C206" s="105"/>
      <c r="D206" s="105"/>
      <c r="E206" s="105"/>
      <c r="F206" s="106"/>
    </row>
    <row r="207" spans="1:6">
      <c r="A207"/>
      <c r="B207"/>
      <c r="C207" s="105"/>
      <c r="D207" s="105"/>
      <c r="E207" s="105"/>
      <c r="F207" s="106"/>
    </row>
    <row r="208" spans="1:6">
      <c r="A208"/>
      <c r="B208"/>
      <c r="C208" s="105"/>
      <c r="D208" s="105"/>
      <c r="E208" s="105"/>
      <c r="F208" s="106"/>
    </row>
    <row r="209" spans="1:6">
      <c r="A209"/>
      <c r="B209"/>
      <c r="C209" s="105"/>
      <c r="D209" s="105"/>
      <c r="E209" s="105"/>
      <c r="F209" s="106"/>
    </row>
    <row r="210" spans="1:6">
      <c r="A210"/>
      <c r="B210"/>
      <c r="C210" s="105"/>
      <c r="D210" s="105"/>
      <c r="E210" s="105"/>
      <c r="F210" s="106"/>
    </row>
    <row r="211" spans="1:6">
      <c r="A211"/>
      <c r="B211"/>
      <c r="C211" s="105"/>
      <c r="D211" s="105"/>
      <c r="E211" s="105"/>
      <c r="F211" s="106"/>
    </row>
    <row r="212" spans="1:6">
      <c r="A212"/>
      <c r="B212"/>
      <c r="C212" s="105"/>
      <c r="D212" s="105"/>
      <c r="E212" s="105"/>
      <c r="F212" s="106"/>
    </row>
    <row r="213" spans="1:6">
      <c r="A213"/>
      <c r="B213"/>
      <c r="C213" s="105"/>
      <c r="D213" s="105"/>
      <c r="E213" s="105"/>
      <c r="F213" s="106"/>
    </row>
    <row r="214" spans="1:6">
      <c r="A214"/>
      <c r="B214"/>
      <c r="C214" s="105"/>
      <c r="D214" s="105"/>
      <c r="E214" s="105"/>
      <c r="F214" s="106"/>
    </row>
    <row r="215" spans="1:6">
      <c r="A215"/>
      <c r="B215"/>
      <c r="C215" s="105"/>
      <c r="D215" s="105"/>
      <c r="E215" s="105"/>
      <c r="F215" s="106"/>
    </row>
    <row r="216" spans="1:6">
      <c r="A216"/>
      <c r="B216"/>
      <c r="C216" s="105"/>
      <c r="D216" s="105"/>
      <c r="E216" s="105"/>
      <c r="F216" s="106"/>
    </row>
    <row r="217" spans="1:6">
      <c r="A217"/>
      <c r="B217"/>
      <c r="C217" s="105"/>
      <c r="D217" s="105"/>
      <c r="E217" s="105"/>
      <c r="F217" s="106"/>
    </row>
    <row r="218" spans="1:6">
      <c r="A218"/>
      <c r="B218"/>
      <c r="C218" s="105"/>
      <c r="D218" s="105"/>
      <c r="E218" s="105"/>
      <c r="F218" s="106"/>
    </row>
    <row r="219" spans="1:6">
      <c r="A219"/>
      <c r="B219"/>
      <c r="C219" s="105"/>
      <c r="D219" s="105"/>
      <c r="E219" s="105"/>
      <c r="F219" s="106"/>
    </row>
    <row r="220" spans="1:6">
      <c r="A220"/>
      <c r="B220"/>
      <c r="C220" s="105"/>
      <c r="D220" s="105"/>
      <c r="E220" s="105"/>
      <c r="F220" s="106"/>
    </row>
    <row r="221" spans="1:6">
      <c r="A221"/>
      <c r="B221"/>
      <c r="C221" s="105"/>
      <c r="D221" s="105"/>
      <c r="E221" s="105"/>
      <c r="F221" s="106"/>
    </row>
    <row r="222" spans="1:6">
      <c r="A222"/>
      <c r="B222"/>
      <c r="C222" s="105"/>
      <c r="D222" s="105"/>
      <c r="E222" s="105"/>
      <c r="F222" s="106"/>
    </row>
    <row r="223" spans="1:6">
      <c r="A223"/>
      <c r="B223"/>
      <c r="C223" s="105"/>
      <c r="D223" s="105"/>
      <c r="E223" s="105"/>
      <c r="F223" s="106"/>
    </row>
    <row r="224" spans="1:6">
      <c r="A224"/>
      <c r="B224"/>
      <c r="C224" s="105"/>
      <c r="D224" s="105"/>
      <c r="E224" s="105"/>
      <c r="F224" s="106"/>
    </row>
    <row r="225" spans="1:6">
      <c r="A225"/>
      <c r="B225"/>
      <c r="C225" s="105"/>
      <c r="D225" s="105"/>
      <c r="E225" s="105"/>
      <c r="F225" s="106"/>
    </row>
    <row r="226" spans="1:6">
      <c r="A226"/>
      <c r="B226"/>
      <c r="C226" s="105"/>
      <c r="D226" s="105"/>
      <c r="E226" s="105"/>
      <c r="F226" s="106"/>
    </row>
    <row r="227" spans="1:6">
      <c r="A227"/>
      <c r="B227"/>
      <c r="C227" s="105"/>
      <c r="D227" s="105"/>
      <c r="E227" s="105"/>
      <c r="F227" s="106"/>
    </row>
    <row r="228" spans="1:6">
      <c r="A228"/>
      <c r="B228"/>
      <c r="C228" s="105"/>
      <c r="D228" s="105"/>
      <c r="E228" s="105"/>
      <c r="F228" s="106"/>
    </row>
    <row r="229" spans="1:6">
      <c r="A229"/>
      <c r="B229"/>
      <c r="C229" s="105"/>
      <c r="D229" s="105"/>
      <c r="E229" s="105"/>
      <c r="F229" s="106"/>
    </row>
    <row r="230" spans="1:6">
      <c r="A230"/>
      <c r="B230"/>
      <c r="C230" s="105"/>
      <c r="D230" s="105"/>
      <c r="E230" s="105"/>
      <c r="F230" s="106"/>
    </row>
    <row r="231" spans="1:6">
      <c r="A231"/>
      <c r="B231"/>
      <c r="C231" s="105"/>
      <c r="D231" s="105"/>
      <c r="E231" s="105"/>
      <c r="F231" s="106"/>
    </row>
    <row r="232" spans="1:6">
      <c r="A232"/>
      <c r="B232"/>
      <c r="C232" s="105"/>
      <c r="D232" s="105"/>
      <c r="E232" s="105"/>
      <c r="F232" s="106"/>
    </row>
    <row r="233" spans="1:6">
      <c r="A233"/>
      <c r="B233"/>
      <c r="C233" s="105"/>
      <c r="D233" s="105"/>
      <c r="E233" s="105"/>
      <c r="F233" s="106"/>
    </row>
    <row r="234" spans="1:6">
      <c r="A234"/>
      <c r="B234"/>
      <c r="C234" s="105"/>
      <c r="D234" s="105"/>
      <c r="E234" s="105"/>
      <c r="F234" s="106"/>
    </row>
    <row r="235" spans="1:6">
      <c r="A235"/>
      <c r="B235"/>
      <c r="C235" s="105"/>
      <c r="D235" s="105"/>
      <c r="E235" s="105"/>
      <c r="F235" s="106"/>
    </row>
    <row r="236" spans="1:6">
      <c r="A236"/>
      <c r="B236"/>
      <c r="C236" s="105"/>
      <c r="D236" s="105"/>
      <c r="E236" s="105"/>
      <c r="F236" s="106"/>
    </row>
    <row r="237" spans="1:6">
      <c r="A237"/>
      <c r="B237"/>
      <c r="C237" s="105"/>
      <c r="D237" s="105"/>
      <c r="E237" s="105"/>
      <c r="F237" s="106"/>
    </row>
    <row r="238" spans="1:6">
      <c r="A238"/>
      <c r="B238"/>
      <c r="C238" s="105"/>
      <c r="D238" s="105"/>
      <c r="E238" s="105"/>
      <c r="F238" s="106"/>
    </row>
    <row r="239" spans="1:6">
      <c r="A239"/>
      <c r="B239"/>
      <c r="C239" s="105"/>
      <c r="D239" s="105"/>
      <c r="E239" s="105"/>
      <c r="F239" s="106"/>
    </row>
    <row r="240" spans="1:6">
      <c r="A240"/>
      <c r="B240"/>
      <c r="C240" s="105"/>
      <c r="D240" s="105"/>
      <c r="E240" s="105"/>
      <c r="F240" s="106"/>
    </row>
    <row r="241" spans="1:6">
      <c r="A241"/>
      <c r="B241"/>
      <c r="C241" s="105"/>
      <c r="D241" s="105"/>
      <c r="E241" s="105"/>
      <c r="F241" s="106"/>
    </row>
    <row r="242" spans="1:6">
      <c r="A242"/>
      <c r="B242"/>
      <c r="C242" s="105"/>
      <c r="D242" s="105"/>
      <c r="E242" s="105"/>
      <c r="F242" s="106"/>
    </row>
    <row r="243" spans="1:6">
      <c r="A243"/>
      <c r="B243"/>
      <c r="C243" s="105"/>
      <c r="D243" s="105"/>
      <c r="E243" s="105"/>
      <c r="F243" s="106"/>
    </row>
    <row r="244" spans="1:6">
      <c r="A244"/>
      <c r="B244"/>
      <c r="C244" s="105"/>
      <c r="D244" s="105"/>
      <c r="E244" s="105"/>
      <c r="F244" s="106"/>
    </row>
    <row r="245" spans="1:6">
      <c r="A245"/>
      <c r="B245"/>
      <c r="C245" s="105"/>
      <c r="D245" s="105"/>
      <c r="E245" s="105"/>
      <c r="F245" s="106"/>
    </row>
    <row r="246" spans="1:6">
      <c r="A246"/>
      <c r="B246"/>
      <c r="C246" s="105"/>
      <c r="D246" s="105"/>
      <c r="E246" s="105"/>
      <c r="F246" s="106"/>
    </row>
    <row r="247" spans="1:6">
      <c r="A247"/>
      <c r="B247"/>
      <c r="C247" s="105"/>
      <c r="D247" s="105"/>
      <c r="E247" s="105"/>
      <c r="F247" s="106"/>
    </row>
    <row r="248" spans="1:6">
      <c r="A248"/>
      <c r="B248"/>
      <c r="C248" s="105"/>
      <c r="D248" s="105"/>
      <c r="E248" s="105"/>
      <c r="F248" s="106"/>
    </row>
    <row r="249" spans="1:6">
      <c r="A249"/>
      <c r="B249"/>
      <c r="C249" s="105"/>
      <c r="D249" s="105"/>
      <c r="E249" s="105"/>
      <c r="F249" s="106"/>
    </row>
    <row r="250" spans="1:6">
      <c r="A250"/>
      <c r="B250"/>
      <c r="C250" s="105"/>
      <c r="D250" s="105"/>
      <c r="E250" s="105"/>
      <c r="F250" s="106"/>
    </row>
    <row r="251" spans="1:6">
      <c r="A251"/>
      <c r="B251"/>
      <c r="C251" s="105"/>
      <c r="D251" s="105"/>
      <c r="E251" s="105"/>
      <c r="F251" s="106"/>
    </row>
    <row r="252" spans="1:6">
      <c r="A252"/>
      <c r="B252"/>
      <c r="C252" s="105"/>
      <c r="D252" s="105"/>
      <c r="E252" s="105"/>
      <c r="F252" s="106"/>
    </row>
    <row r="253" spans="1:6">
      <c r="A253"/>
      <c r="B253"/>
      <c r="C253" s="105"/>
      <c r="D253" s="105"/>
      <c r="E253" s="105"/>
      <c r="F253" s="106"/>
    </row>
    <row r="254" spans="1:6">
      <c r="A254"/>
      <c r="B254"/>
      <c r="C254" s="105"/>
      <c r="D254" s="105"/>
      <c r="E254" s="105"/>
      <c r="F254" s="106"/>
    </row>
    <row r="255" spans="1:6">
      <c r="A255"/>
      <c r="B255"/>
      <c r="C255" s="105"/>
      <c r="D255" s="105"/>
      <c r="E255" s="105"/>
      <c r="F255" s="106"/>
    </row>
    <row r="256" spans="1:6">
      <c r="A256"/>
      <c r="B256"/>
      <c r="C256" s="105"/>
      <c r="D256" s="105"/>
      <c r="E256" s="105"/>
      <c r="F256" s="106"/>
    </row>
    <row r="257" spans="1:6">
      <c r="A257"/>
      <c r="B257"/>
      <c r="C257" s="105"/>
      <c r="D257" s="105"/>
      <c r="E257" s="105"/>
      <c r="F257" s="106"/>
    </row>
    <row r="258" spans="1:6">
      <c r="A258"/>
      <c r="B258"/>
      <c r="C258" s="105"/>
      <c r="D258" s="105"/>
      <c r="E258" s="105"/>
      <c r="F258" s="106"/>
    </row>
    <row r="259" spans="1:6">
      <c r="A259"/>
      <c r="B259"/>
      <c r="C259" s="105"/>
      <c r="D259" s="105"/>
      <c r="E259" s="105"/>
      <c r="F259" s="106"/>
    </row>
    <row r="260" spans="1:6">
      <c r="A260"/>
      <c r="B260"/>
      <c r="C260" s="105"/>
      <c r="D260" s="105"/>
      <c r="E260" s="105"/>
      <c r="F260" s="106"/>
    </row>
    <row r="261" spans="1:6">
      <c r="A261"/>
      <c r="B261"/>
      <c r="C261" s="105"/>
      <c r="D261" s="105"/>
      <c r="E261" s="105"/>
      <c r="F261" s="106"/>
    </row>
    <row r="262" spans="1:6">
      <c r="A262"/>
      <c r="B262"/>
      <c r="C262" s="105"/>
      <c r="D262" s="105"/>
      <c r="E262" s="105"/>
      <c r="F262" s="106"/>
    </row>
    <row r="263" spans="1:6">
      <c r="A263"/>
      <c r="B263"/>
      <c r="C263" s="105"/>
      <c r="D263" s="105"/>
      <c r="E263" s="105"/>
      <c r="F263" s="106"/>
    </row>
    <row r="264" spans="1:6">
      <c r="A264"/>
      <c r="B264"/>
      <c r="C264" s="105"/>
      <c r="D264" s="105"/>
      <c r="E264" s="105"/>
      <c r="F264" s="106"/>
    </row>
    <row r="265" spans="1:6">
      <c r="A265"/>
      <c r="B265"/>
      <c r="C265" s="105"/>
      <c r="D265" s="105"/>
      <c r="E265" s="105"/>
      <c r="F265" s="106"/>
    </row>
    <row r="266" spans="1:6">
      <c r="A266"/>
      <c r="B266"/>
      <c r="C266" s="105"/>
      <c r="D266" s="105"/>
      <c r="E266" s="105"/>
      <c r="F266" s="106"/>
    </row>
    <row r="267" spans="1:6">
      <c r="A267"/>
      <c r="B267"/>
      <c r="C267" s="105"/>
      <c r="D267" s="105"/>
      <c r="E267" s="105"/>
      <c r="F267" s="106"/>
    </row>
    <row r="268" spans="1:6">
      <c r="A268"/>
      <c r="B268"/>
      <c r="C268" s="105"/>
      <c r="D268" s="105"/>
      <c r="E268" s="105"/>
      <c r="F268" s="106"/>
    </row>
    <row r="269" spans="1:6">
      <c r="A269"/>
      <c r="B269"/>
      <c r="C269" s="105"/>
      <c r="D269" s="105"/>
      <c r="E269" s="105"/>
      <c r="F269" s="106"/>
    </row>
    <row r="270" spans="1:6">
      <c r="A270"/>
      <c r="B270"/>
      <c r="C270" s="105"/>
      <c r="D270" s="105"/>
      <c r="E270" s="105"/>
      <c r="F270" s="106"/>
    </row>
    <row r="271" spans="1:6">
      <c r="A271"/>
      <c r="B271"/>
      <c r="C271" s="105"/>
      <c r="D271" s="105"/>
      <c r="E271" s="105"/>
      <c r="F271" s="106"/>
    </row>
    <row r="272" spans="1:6">
      <c r="A272"/>
      <c r="B272"/>
      <c r="C272" s="105"/>
      <c r="D272" s="105"/>
      <c r="E272" s="105"/>
      <c r="F272" s="106"/>
    </row>
    <row r="273" spans="1:6">
      <c r="A273"/>
      <c r="B273"/>
      <c r="C273" s="105"/>
      <c r="D273" s="105"/>
      <c r="E273" s="105"/>
      <c r="F273" s="106"/>
    </row>
    <row r="274" spans="1:6">
      <c r="A274"/>
      <c r="B274"/>
      <c r="C274" s="105"/>
      <c r="D274" s="105"/>
      <c r="E274" s="105"/>
      <c r="F274" s="106"/>
    </row>
    <row r="275" spans="1:6">
      <c r="A275"/>
      <c r="B275"/>
      <c r="C275" s="105"/>
      <c r="D275" s="105"/>
      <c r="E275" s="105"/>
      <c r="F275" s="106"/>
    </row>
    <row r="276" spans="1:6">
      <c r="A276"/>
      <c r="B276"/>
      <c r="C276" s="105"/>
      <c r="D276" s="105"/>
      <c r="E276" s="105"/>
      <c r="F276" s="106"/>
    </row>
    <row r="277" spans="1:6">
      <c r="A277"/>
      <c r="B277"/>
      <c r="C277" s="105"/>
      <c r="D277" s="105"/>
      <c r="E277" s="105"/>
      <c r="F277" s="106"/>
    </row>
    <row r="278" spans="1:6">
      <c r="A278"/>
      <c r="B278"/>
      <c r="C278" s="105"/>
      <c r="D278" s="105"/>
      <c r="E278" s="105"/>
      <c r="F278" s="106"/>
    </row>
    <row r="279" spans="1:6">
      <c r="A279"/>
      <c r="B279"/>
      <c r="C279" s="105"/>
      <c r="D279" s="105"/>
      <c r="E279" s="105"/>
      <c r="F279" s="106"/>
    </row>
    <row r="280" spans="1:6">
      <c r="A280"/>
      <c r="B280"/>
      <c r="C280" s="105"/>
      <c r="D280" s="105"/>
      <c r="E280" s="105"/>
      <c r="F280" s="106"/>
    </row>
    <row r="281" spans="1:6">
      <c r="A281"/>
      <c r="B281"/>
      <c r="C281" s="105"/>
      <c r="D281" s="105"/>
      <c r="E281" s="105"/>
      <c r="F281" s="106"/>
    </row>
    <row r="282" spans="1:6">
      <c r="A282"/>
      <c r="B282"/>
      <c r="C282" s="105"/>
      <c r="D282" s="105"/>
      <c r="E282" s="105"/>
      <c r="F282" s="106"/>
    </row>
    <row r="283" spans="1:6">
      <c r="A283"/>
      <c r="B283"/>
      <c r="C283" s="105"/>
      <c r="D283" s="105"/>
      <c r="E283" s="105"/>
      <c r="F283" s="106"/>
    </row>
    <row r="284" spans="1:6">
      <c r="A284"/>
      <c r="B284"/>
      <c r="C284" s="105"/>
      <c r="D284" s="105"/>
      <c r="E284" s="105"/>
      <c r="F284" s="106"/>
    </row>
    <row r="285" spans="1:6">
      <c r="A285"/>
      <c r="B285"/>
      <c r="C285" s="105"/>
      <c r="D285" s="105"/>
      <c r="E285" s="105"/>
      <c r="F285" s="106"/>
    </row>
    <row r="286" spans="1:6">
      <c r="A286"/>
      <c r="B286"/>
      <c r="C286" s="105"/>
      <c r="D286" s="105"/>
      <c r="E286" s="105"/>
      <c r="F286" s="106"/>
    </row>
    <row r="287" spans="1:6">
      <c r="A287"/>
      <c r="B287"/>
      <c r="C287" s="105"/>
      <c r="D287" s="105"/>
      <c r="E287" s="105"/>
      <c r="F287" s="106"/>
    </row>
    <row r="288" spans="1:6">
      <c r="A288"/>
      <c r="B288"/>
      <c r="C288" s="105"/>
      <c r="D288" s="105"/>
      <c r="E288" s="105"/>
      <c r="F288" s="106"/>
    </row>
    <row r="289" spans="1:6">
      <c r="A289"/>
      <c r="B289"/>
      <c r="C289" s="105"/>
      <c r="D289" s="105"/>
      <c r="E289" s="105"/>
      <c r="F289" s="106"/>
    </row>
    <row r="290" spans="1:6">
      <c r="A290"/>
      <c r="B290"/>
      <c r="C290" s="105"/>
      <c r="D290" s="105"/>
      <c r="E290" s="105"/>
      <c r="F290" s="106"/>
    </row>
    <row r="291" spans="1:6">
      <c r="A291"/>
      <c r="B291"/>
      <c r="C291" s="105"/>
      <c r="D291" s="105"/>
      <c r="E291" s="105"/>
      <c r="F291" s="106"/>
    </row>
    <row r="292" spans="1:6">
      <c r="A292"/>
      <c r="B292"/>
      <c r="C292" s="105"/>
      <c r="D292" s="105"/>
      <c r="E292" s="105"/>
      <c r="F292" s="106"/>
    </row>
    <row r="293" spans="1:6">
      <c r="A293"/>
      <c r="B293"/>
      <c r="C293" s="105"/>
      <c r="D293" s="105"/>
      <c r="E293" s="105"/>
      <c r="F293" s="106"/>
    </row>
    <row r="294" spans="1:6">
      <c r="A294"/>
      <c r="B294"/>
      <c r="C294" s="105"/>
      <c r="D294" s="105"/>
      <c r="E294" s="105"/>
      <c r="F294" s="106"/>
    </row>
    <row r="295" spans="1:6">
      <c r="A295"/>
      <c r="B295"/>
      <c r="C295" s="105"/>
      <c r="D295" s="105"/>
      <c r="E295" s="105"/>
      <c r="F295" s="106"/>
    </row>
    <row r="296" spans="1:6">
      <c r="A296"/>
      <c r="B296"/>
      <c r="C296" s="105"/>
      <c r="D296" s="105"/>
      <c r="E296" s="105"/>
      <c r="F296" s="106"/>
    </row>
    <row r="297" spans="1:6">
      <c r="A297"/>
      <c r="B297"/>
      <c r="C297" s="105"/>
      <c r="D297" s="105"/>
      <c r="E297" s="105"/>
      <c r="F297" s="106"/>
    </row>
    <row r="298" spans="1:6">
      <c r="A298"/>
      <c r="B298"/>
      <c r="C298" s="105"/>
      <c r="D298" s="105"/>
      <c r="E298" s="105"/>
      <c r="F298" s="106"/>
    </row>
    <row r="299" spans="1:6">
      <c r="A299"/>
      <c r="B299"/>
      <c r="C299" s="105"/>
      <c r="D299" s="105"/>
      <c r="E299" s="105"/>
      <c r="F299" s="106"/>
    </row>
    <row r="300" spans="1:6">
      <c r="A300"/>
      <c r="B300"/>
      <c r="C300" s="105"/>
      <c r="D300" s="105"/>
      <c r="E300" s="105"/>
      <c r="F300" s="106"/>
    </row>
    <row r="301" spans="1:6">
      <c r="A301"/>
      <c r="B301"/>
      <c r="C301" s="105"/>
      <c r="D301" s="105"/>
      <c r="E301" s="105"/>
      <c r="F301" s="106"/>
    </row>
    <row r="302" spans="1:6">
      <c r="A302"/>
      <c r="B302"/>
      <c r="C302" s="105"/>
      <c r="D302" s="105"/>
      <c r="E302" s="105"/>
      <c r="F302" s="106"/>
    </row>
    <row r="303" spans="1:6">
      <c r="A303"/>
      <c r="B303"/>
      <c r="C303" s="105"/>
      <c r="D303" s="105"/>
      <c r="E303" s="105"/>
      <c r="F303" s="106"/>
    </row>
    <row r="304" spans="1:6">
      <c r="A304"/>
      <c r="B304"/>
      <c r="C304" s="105"/>
      <c r="D304" s="105"/>
      <c r="E304" s="105"/>
      <c r="F304" s="106"/>
    </row>
    <row r="305" spans="1:6">
      <c r="A305"/>
      <c r="B305"/>
      <c r="C305" s="105"/>
      <c r="D305" s="105"/>
      <c r="E305" s="105"/>
      <c r="F305" s="106"/>
    </row>
    <row r="306" spans="1:6">
      <c r="A306"/>
      <c r="B306"/>
      <c r="C306" s="105"/>
      <c r="D306" s="105"/>
      <c r="E306" s="105"/>
      <c r="F306" s="106"/>
    </row>
    <row r="307" spans="1:6">
      <c r="A307"/>
      <c r="B307"/>
      <c r="C307" s="105"/>
      <c r="D307" s="105"/>
      <c r="E307" s="105"/>
      <c r="F307" s="106"/>
    </row>
    <row r="308" spans="1:6">
      <c r="A308"/>
      <c r="B308"/>
      <c r="C308" s="105"/>
      <c r="D308" s="105"/>
      <c r="E308" s="105"/>
      <c r="F308" s="106"/>
    </row>
    <row r="309" spans="1:6">
      <c r="A309"/>
      <c r="B309"/>
      <c r="C309" s="105"/>
      <c r="D309" s="105"/>
      <c r="E309" s="105"/>
      <c r="F309" s="106"/>
    </row>
    <row r="310" spans="1:6">
      <c r="A310"/>
      <c r="B310"/>
      <c r="C310" s="105"/>
      <c r="D310" s="105"/>
      <c r="E310" s="105"/>
      <c r="F310" s="106"/>
    </row>
    <row r="311" spans="1:6">
      <c r="A311"/>
      <c r="B311"/>
      <c r="C311" s="105"/>
      <c r="D311" s="105"/>
      <c r="E311" s="105"/>
      <c r="F311" s="106"/>
    </row>
    <row r="312" spans="1:6">
      <c r="A312"/>
      <c r="B312"/>
      <c r="C312" s="105"/>
      <c r="D312" s="105"/>
      <c r="E312" s="105"/>
      <c r="F312" s="106"/>
    </row>
    <row r="313" spans="1:6">
      <c r="A313"/>
      <c r="B313"/>
      <c r="C313" s="105"/>
      <c r="D313" s="105"/>
      <c r="E313" s="105"/>
      <c r="F313" s="106"/>
    </row>
    <row r="314" spans="1:6">
      <c r="A314"/>
      <c r="B314"/>
      <c r="C314" s="105"/>
      <c r="D314" s="105"/>
      <c r="E314" s="105"/>
      <c r="F314" s="106"/>
    </row>
    <row r="315" spans="1:6">
      <c r="A315"/>
      <c r="B315"/>
      <c r="C315" s="105"/>
      <c r="D315" s="105"/>
      <c r="E315" s="105"/>
      <c r="F315" s="106"/>
    </row>
    <row r="316" spans="1:6">
      <c r="A316"/>
      <c r="B316"/>
      <c r="C316" s="105"/>
      <c r="D316" s="105"/>
      <c r="E316" s="105"/>
      <c r="F316" s="106"/>
    </row>
    <row r="317" spans="1:6">
      <c r="A317"/>
      <c r="B317"/>
      <c r="C317" s="105"/>
      <c r="D317" s="105"/>
      <c r="E317" s="105"/>
      <c r="F317" s="106"/>
    </row>
    <row r="318" spans="1:6">
      <c r="A318"/>
      <c r="B318"/>
      <c r="C318" s="105"/>
      <c r="D318" s="105"/>
      <c r="E318" s="105"/>
      <c r="F318" s="106"/>
    </row>
    <row r="319" spans="1:6">
      <c r="C319" s="106"/>
      <c r="D319" s="106"/>
      <c r="E319" s="106"/>
      <c r="F319" s="106"/>
    </row>
    <row r="320" spans="1:6">
      <c r="C320" s="106"/>
      <c r="D320" s="106"/>
      <c r="E320" s="106"/>
      <c r="F320" s="106"/>
    </row>
    <row r="321" spans="3:6">
      <c r="C321" s="106"/>
      <c r="D321" s="106"/>
      <c r="E321" s="106"/>
      <c r="F321" s="106"/>
    </row>
    <row r="322" spans="3:6">
      <c r="C322" s="106"/>
      <c r="D322" s="106"/>
      <c r="E322" s="106"/>
      <c r="F322" s="106"/>
    </row>
    <row r="323" spans="3:6">
      <c r="C323" s="106"/>
      <c r="D323" s="106"/>
      <c r="E323" s="106"/>
      <c r="F323" s="106"/>
    </row>
    <row r="324" spans="3:6">
      <c r="C324" s="106"/>
      <c r="D324" s="106"/>
      <c r="E324" s="106"/>
      <c r="F324" s="106"/>
    </row>
    <row r="325" spans="3:6">
      <c r="C325" s="106"/>
      <c r="D325" s="106"/>
      <c r="E325" s="106"/>
      <c r="F325" s="106"/>
    </row>
    <row r="326" spans="3:6">
      <c r="C326" s="106"/>
      <c r="D326" s="106"/>
      <c r="E326" s="106"/>
      <c r="F326" s="106"/>
    </row>
    <row r="327" spans="3:6">
      <c r="C327" s="106"/>
      <c r="D327" s="106"/>
      <c r="E327" s="106"/>
      <c r="F327" s="106"/>
    </row>
    <row r="328" spans="3:6">
      <c r="C328" s="106"/>
      <c r="D328" s="106"/>
      <c r="E328" s="106"/>
      <c r="F328" s="106"/>
    </row>
    <row r="329" spans="3:6">
      <c r="C329" s="106"/>
      <c r="D329" s="106"/>
      <c r="E329" s="106"/>
      <c r="F329" s="106"/>
    </row>
    <row r="330" spans="3:6">
      <c r="C330" s="106"/>
      <c r="D330" s="106"/>
      <c r="E330" s="106"/>
      <c r="F330" s="106"/>
    </row>
    <row r="331" spans="3:6">
      <c r="C331" s="106"/>
      <c r="D331" s="106"/>
      <c r="E331" s="106"/>
      <c r="F331" s="106"/>
    </row>
    <row r="332" spans="3:6">
      <c r="C332" s="106"/>
      <c r="D332" s="106"/>
      <c r="E332" s="106"/>
      <c r="F332" s="106"/>
    </row>
    <row r="333" spans="3:6">
      <c r="C333" s="106"/>
      <c r="D333" s="106"/>
      <c r="E333" s="106"/>
      <c r="F333" s="106"/>
    </row>
    <row r="334" spans="3:6">
      <c r="C334" s="106"/>
      <c r="D334" s="106"/>
      <c r="E334" s="106"/>
      <c r="F334" s="106"/>
    </row>
    <row r="335" spans="3:6">
      <c r="C335" s="106"/>
      <c r="D335" s="106"/>
      <c r="E335" s="106"/>
      <c r="F335" s="106"/>
    </row>
    <row r="336" spans="3:6">
      <c r="C336" s="106"/>
      <c r="D336" s="106"/>
      <c r="E336" s="106"/>
      <c r="F336" s="106"/>
    </row>
    <row r="337" spans="3:6">
      <c r="C337" s="106"/>
      <c r="D337" s="106"/>
      <c r="E337" s="106"/>
      <c r="F337" s="106"/>
    </row>
    <row r="338" spans="3:6">
      <c r="C338" s="106"/>
      <c r="D338" s="106"/>
      <c r="E338" s="106"/>
      <c r="F338" s="106"/>
    </row>
    <row r="339" spans="3:6">
      <c r="C339" s="106"/>
      <c r="D339" s="106"/>
      <c r="E339" s="106"/>
      <c r="F339" s="106"/>
    </row>
    <row r="340" spans="3:6">
      <c r="C340" s="106"/>
      <c r="D340" s="106"/>
      <c r="E340" s="106"/>
      <c r="F340" s="106"/>
    </row>
    <row r="341" spans="3:6">
      <c r="C341" s="106"/>
      <c r="D341" s="106"/>
      <c r="E341" s="106"/>
      <c r="F341" s="106"/>
    </row>
    <row r="342" spans="3:6">
      <c r="C342" s="106"/>
      <c r="D342" s="106"/>
      <c r="E342" s="106"/>
      <c r="F342" s="106"/>
    </row>
    <row r="343" spans="3:6">
      <c r="C343" s="106"/>
      <c r="D343" s="106"/>
      <c r="E343" s="106"/>
      <c r="F343" s="106"/>
    </row>
    <row r="344" spans="3:6">
      <c r="C344" s="106"/>
      <c r="D344" s="106"/>
      <c r="E344" s="106"/>
      <c r="F344" s="106"/>
    </row>
    <row r="345" spans="3:6">
      <c r="C345" s="106"/>
      <c r="D345" s="106"/>
      <c r="E345" s="106"/>
      <c r="F345" s="106"/>
    </row>
    <row r="346" spans="3:6">
      <c r="C346" s="106"/>
      <c r="D346" s="106"/>
      <c r="E346" s="106"/>
      <c r="F346" s="106"/>
    </row>
    <row r="347" spans="3:6">
      <c r="C347" s="106"/>
      <c r="D347" s="106"/>
      <c r="E347" s="106"/>
      <c r="F347" s="106"/>
    </row>
    <row r="348" spans="3:6">
      <c r="C348" s="106"/>
      <c r="D348" s="106"/>
      <c r="E348" s="106"/>
      <c r="F348" s="106"/>
    </row>
    <row r="349" spans="3:6">
      <c r="C349" s="106"/>
      <c r="D349" s="106"/>
      <c r="E349" s="106"/>
      <c r="F349" s="106"/>
    </row>
    <row r="350" spans="3:6">
      <c r="C350" s="106"/>
      <c r="D350" s="106"/>
      <c r="E350" s="106"/>
      <c r="F350" s="106"/>
    </row>
    <row r="351" spans="3:6">
      <c r="C351" s="106"/>
      <c r="D351" s="106"/>
      <c r="E351" s="106"/>
      <c r="F351" s="106"/>
    </row>
    <row r="352" spans="3:6">
      <c r="C352" s="106"/>
      <c r="D352" s="106"/>
      <c r="E352" s="106"/>
      <c r="F352" s="106"/>
    </row>
    <row r="353" spans="3:6">
      <c r="C353" s="106"/>
      <c r="D353" s="106"/>
      <c r="E353" s="106"/>
      <c r="F353" s="106"/>
    </row>
    <row r="354" spans="3:6">
      <c r="C354" s="106"/>
      <c r="D354" s="106"/>
      <c r="E354" s="106"/>
      <c r="F354" s="106"/>
    </row>
    <row r="355" spans="3:6">
      <c r="C355" s="106"/>
      <c r="D355" s="106"/>
      <c r="E355" s="106"/>
      <c r="F355" s="106"/>
    </row>
    <row r="356" spans="3:6">
      <c r="C356" s="106"/>
      <c r="D356" s="106"/>
      <c r="E356" s="106"/>
      <c r="F356" s="106"/>
    </row>
    <row r="357" spans="3:6">
      <c r="C357" s="106"/>
      <c r="D357" s="106"/>
      <c r="E357" s="106"/>
      <c r="F357" s="106"/>
    </row>
    <row r="358" spans="3:6">
      <c r="C358" s="106"/>
      <c r="D358" s="106"/>
      <c r="E358" s="106"/>
      <c r="F358" s="106"/>
    </row>
    <row r="359" spans="3:6">
      <c r="C359" s="106"/>
      <c r="D359" s="106"/>
      <c r="E359" s="106"/>
      <c r="F359" s="106"/>
    </row>
    <row r="360" spans="3:6">
      <c r="C360" s="106"/>
      <c r="D360" s="106"/>
      <c r="E360" s="106"/>
      <c r="F360" s="106"/>
    </row>
    <row r="361" spans="3:6">
      <c r="C361" s="106"/>
      <c r="D361" s="106"/>
      <c r="E361" s="106"/>
      <c r="F361" s="106"/>
    </row>
    <row r="362" spans="3:6">
      <c r="C362" s="106"/>
      <c r="D362" s="106"/>
      <c r="E362" s="106"/>
      <c r="F362" s="106"/>
    </row>
    <row r="363" spans="3:6">
      <c r="C363" s="106"/>
      <c r="D363" s="106"/>
      <c r="E363" s="106"/>
      <c r="F363" s="106"/>
    </row>
    <row r="364" spans="3:6">
      <c r="C364" s="106"/>
      <c r="D364" s="106"/>
      <c r="E364" s="106"/>
      <c r="F364" s="106"/>
    </row>
    <row r="365" spans="3:6">
      <c r="C365" s="106"/>
      <c r="D365" s="106"/>
      <c r="E365" s="106"/>
      <c r="F365" s="106"/>
    </row>
    <row r="366" spans="3:6">
      <c r="C366" s="106"/>
      <c r="D366" s="106"/>
      <c r="E366" s="106"/>
      <c r="F366" s="106"/>
    </row>
    <row r="367" spans="3:6">
      <c r="C367" s="106"/>
      <c r="D367" s="106"/>
      <c r="E367" s="106"/>
      <c r="F367" s="106"/>
    </row>
    <row r="368" spans="3:6">
      <c r="C368" s="106"/>
      <c r="D368" s="106"/>
      <c r="E368" s="106"/>
      <c r="F368" s="106"/>
    </row>
    <row r="369" spans="3:6">
      <c r="C369" s="106"/>
      <c r="D369" s="106"/>
      <c r="E369" s="106"/>
      <c r="F369" s="106"/>
    </row>
    <row r="370" spans="3:6">
      <c r="C370" s="106"/>
      <c r="D370" s="106"/>
      <c r="E370" s="106"/>
      <c r="F370" s="106"/>
    </row>
    <row r="371" spans="3:6">
      <c r="C371" s="106"/>
      <c r="D371" s="106"/>
      <c r="E371" s="106"/>
      <c r="F371" s="106"/>
    </row>
    <row r="372" spans="3:6">
      <c r="C372" s="106"/>
      <c r="D372" s="106"/>
      <c r="E372" s="106"/>
      <c r="F372" s="106"/>
    </row>
    <row r="373" spans="3:6">
      <c r="C373" s="106"/>
      <c r="D373" s="106"/>
      <c r="E373" s="106"/>
      <c r="F373" s="106"/>
    </row>
    <row r="374" spans="3:6">
      <c r="C374" s="106"/>
      <c r="D374" s="106"/>
      <c r="E374" s="106"/>
      <c r="F374" s="106"/>
    </row>
    <row r="375" spans="3:6">
      <c r="C375" s="106"/>
      <c r="D375" s="106"/>
      <c r="E375" s="106"/>
      <c r="F375" s="106"/>
    </row>
    <row r="376" spans="3:6">
      <c r="C376" s="106"/>
      <c r="D376" s="106"/>
      <c r="E376" s="106"/>
      <c r="F376" s="106"/>
    </row>
    <row r="377" spans="3:6">
      <c r="C377" s="106"/>
      <c r="D377" s="106"/>
      <c r="E377" s="106"/>
      <c r="F377" s="106"/>
    </row>
    <row r="378" spans="3:6">
      <c r="C378" s="106"/>
      <c r="D378" s="106"/>
      <c r="E378" s="106"/>
      <c r="F378" s="106"/>
    </row>
    <row r="379" spans="3:6">
      <c r="C379" s="106"/>
      <c r="D379" s="106"/>
      <c r="E379" s="106"/>
      <c r="F379" s="106"/>
    </row>
    <row r="380" spans="3:6">
      <c r="C380" s="106"/>
      <c r="D380" s="106"/>
      <c r="E380" s="106"/>
      <c r="F380" s="106"/>
    </row>
    <row r="381" spans="3:6">
      <c r="C381" s="106"/>
      <c r="D381" s="106"/>
      <c r="E381" s="106"/>
      <c r="F381" s="106"/>
    </row>
    <row r="382" spans="3:6">
      <c r="C382" s="106"/>
      <c r="D382" s="106"/>
      <c r="E382" s="106"/>
      <c r="F382" s="106"/>
    </row>
    <row r="383" spans="3:6">
      <c r="C383" s="106"/>
      <c r="D383" s="106"/>
      <c r="E383" s="106"/>
      <c r="F383" s="106"/>
    </row>
    <row r="384" spans="3:6">
      <c r="C384" s="106"/>
      <c r="D384" s="106"/>
      <c r="E384" s="106"/>
      <c r="F384" s="106"/>
    </row>
    <row r="385" spans="3:6">
      <c r="C385" s="106"/>
      <c r="D385" s="106"/>
      <c r="E385" s="106"/>
      <c r="F385" s="106"/>
    </row>
    <row r="386" spans="3:6">
      <c r="C386" s="106"/>
      <c r="D386" s="106"/>
      <c r="E386" s="106"/>
      <c r="F386" s="106"/>
    </row>
    <row r="387" spans="3:6">
      <c r="C387" s="106"/>
      <c r="D387" s="106"/>
      <c r="E387" s="106"/>
      <c r="F387" s="106"/>
    </row>
    <row r="388" spans="3:6">
      <c r="C388" s="106"/>
      <c r="D388" s="106"/>
      <c r="E388" s="106"/>
      <c r="F388" s="106"/>
    </row>
    <row r="389" spans="3:6">
      <c r="C389" s="106"/>
      <c r="D389" s="106"/>
      <c r="E389" s="106"/>
      <c r="F389" s="106"/>
    </row>
    <row r="390" spans="3:6">
      <c r="C390" s="106"/>
      <c r="D390" s="106"/>
      <c r="E390" s="106"/>
      <c r="F390" s="106"/>
    </row>
    <row r="391" spans="3:6">
      <c r="C391" s="106"/>
      <c r="D391" s="106"/>
      <c r="E391" s="106"/>
      <c r="F391" s="106"/>
    </row>
    <row r="392" spans="3:6">
      <c r="C392" s="106"/>
      <c r="D392" s="106"/>
      <c r="E392" s="106"/>
      <c r="F392" s="106"/>
    </row>
    <row r="393" spans="3:6">
      <c r="C393" s="106"/>
      <c r="D393" s="106"/>
      <c r="E393" s="106"/>
      <c r="F393" s="106"/>
    </row>
    <row r="394" spans="3:6">
      <c r="C394" s="106"/>
      <c r="D394" s="106"/>
      <c r="E394" s="106"/>
      <c r="F394" s="106"/>
    </row>
    <row r="395" spans="3:6">
      <c r="C395" s="106"/>
      <c r="D395" s="106"/>
      <c r="E395" s="106"/>
      <c r="F395" s="106"/>
    </row>
    <row r="396" spans="3:6">
      <c r="C396" s="106"/>
      <c r="D396" s="106"/>
      <c r="E396" s="106"/>
      <c r="F396" s="106"/>
    </row>
    <row r="397" spans="3:6">
      <c r="C397" s="106"/>
      <c r="D397" s="106"/>
      <c r="E397" s="106"/>
      <c r="F397" s="106"/>
    </row>
    <row r="398" spans="3:6">
      <c r="C398" s="106"/>
      <c r="D398" s="106"/>
      <c r="E398" s="106"/>
      <c r="F398" s="106"/>
    </row>
    <row r="399" spans="3:6">
      <c r="C399" s="106"/>
      <c r="D399" s="106"/>
      <c r="E399" s="106"/>
      <c r="F399" s="106"/>
    </row>
    <row r="400" spans="3:6">
      <c r="C400" s="106"/>
      <c r="D400" s="106"/>
      <c r="E400" s="106"/>
      <c r="F400" s="106"/>
    </row>
    <row r="401" spans="3:6">
      <c r="C401" s="106"/>
      <c r="D401" s="106"/>
      <c r="E401" s="106"/>
      <c r="F401" s="106"/>
    </row>
    <row r="402" spans="3:6">
      <c r="C402" s="106"/>
      <c r="D402" s="106"/>
      <c r="E402" s="106"/>
      <c r="F402" s="106"/>
    </row>
    <row r="403" spans="3:6">
      <c r="C403" s="106"/>
      <c r="D403" s="106"/>
      <c r="E403" s="106"/>
      <c r="F403" s="106"/>
    </row>
    <row r="404" spans="3:6">
      <c r="C404" s="106"/>
      <c r="D404" s="106"/>
      <c r="E404" s="106"/>
      <c r="F404" s="106"/>
    </row>
    <row r="405" spans="3:6">
      <c r="C405" s="106"/>
      <c r="D405" s="106"/>
      <c r="E405" s="106"/>
      <c r="F405" s="106"/>
    </row>
    <row r="406" spans="3:6">
      <c r="C406" s="106"/>
      <c r="D406" s="106"/>
      <c r="E406" s="106"/>
      <c r="F406" s="106"/>
    </row>
    <row r="407" spans="3:6">
      <c r="C407" s="106"/>
      <c r="D407" s="106"/>
      <c r="E407" s="106"/>
      <c r="F407" s="106"/>
    </row>
    <row r="408" spans="3:6">
      <c r="C408" s="106"/>
      <c r="D408" s="106"/>
      <c r="E408" s="106"/>
      <c r="F408" s="106"/>
    </row>
    <row r="409" spans="3:6">
      <c r="C409" s="106"/>
      <c r="D409" s="106"/>
      <c r="E409" s="106"/>
      <c r="F409" s="106"/>
    </row>
    <row r="410" spans="3:6">
      <c r="C410" s="106"/>
      <c r="D410" s="106"/>
      <c r="E410" s="106"/>
      <c r="F410" s="106"/>
    </row>
    <row r="411" spans="3:6">
      <c r="C411" s="106"/>
      <c r="D411" s="106"/>
      <c r="E411" s="106"/>
      <c r="F411" s="106"/>
    </row>
    <row r="412" spans="3:6">
      <c r="C412" s="106"/>
      <c r="D412" s="106"/>
      <c r="E412" s="106"/>
      <c r="F412" s="106"/>
    </row>
    <row r="413" spans="3:6">
      <c r="C413" s="106"/>
      <c r="D413" s="106"/>
      <c r="E413" s="106"/>
      <c r="F413" s="106"/>
    </row>
    <row r="414" spans="3:6">
      <c r="C414" s="106"/>
      <c r="D414" s="106"/>
      <c r="E414" s="106"/>
      <c r="F414" s="106"/>
    </row>
    <row r="415" spans="3:6">
      <c r="C415" s="106"/>
      <c r="D415" s="106"/>
      <c r="E415" s="106"/>
      <c r="F415" s="106"/>
    </row>
    <row r="416" spans="3:6">
      <c r="C416" s="106"/>
      <c r="D416" s="106"/>
      <c r="E416" s="106"/>
      <c r="F416" s="106"/>
    </row>
    <row r="417" spans="3:6">
      <c r="C417" s="106"/>
      <c r="D417" s="106"/>
      <c r="E417" s="106"/>
      <c r="F417" s="106"/>
    </row>
    <row r="418" spans="3:6">
      <c r="C418" s="106"/>
      <c r="D418" s="106"/>
      <c r="E418" s="106"/>
      <c r="F418" s="106"/>
    </row>
    <row r="419" spans="3:6">
      <c r="C419" s="106"/>
      <c r="D419" s="106"/>
      <c r="E419" s="106"/>
      <c r="F419" s="106"/>
    </row>
    <row r="420" spans="3:6">
      <c r="C420" s="106"/>
      <c r="D420" s="106"/>
      <c r="E420" s="106"/>
      <c r="F420" s="106"/>
    </row>
    <row r="421" spans="3:6">
      <c r="C421" s="106"/>
      <c r="D421" s="106"/>
      <c r="E421" s="106"/>
      <c r="F421" s="106"/>
    </row>
    <row r="422" spans="3:6">
      <c r="C422" s="106"/>
      <c r="D422" s="106"/>
      <c r="E422" s="106"/>
      <c r="F422" s="106"/>
    </row>
    <row r="423" spans="3:6">
      <c r="C423" s="106"/>
      <c r="D423" s="106"/>
      <c r="E423" s="106"/>
      <c r="F423" s="106"/>
    </row>
    <row r="424" spans="3:6">
      <c r="C424" s="106"/>
      <c r="D424" s="106"/>
      <c r="E424" s="106"/>
      <c r="F424" s="106"/>
    </row>
    <row r="425" spans="3:6">
      <c r="C425" s="106"/>
      <c r="D425" s="106"/>
      <c r="E425" s="106"/>
      <c r="F425" s="106"/>
    </row>
    <row r="426" spans="3:6">
      <c r="C426" s="106"/>
      <c r="D426" s="106"/>
      <c r="E426" s="106"/>
      <c r="F426" s="106"/>
    </row>
    <row r="427" spans="3:6">
      <c r="C427" s="106"/>
      <c r="D427" s="106"/>
      <c r="E427" s="106"/>
      <c r="F427" s="106"/>
    </row>
    <row r="428" spans="3:6">
      <c r="C428" s="106"/>
      <c r="D428" s="106"/>
      <c r="E428" s="106"/>
      <c r="F428" s="106"/>
    </row>
    <row r="429" spans="3:6">
      <c r="C429" s="106"/>
      <c r="D429" s="106"/>
      <c r="E429" s="106"/>
      <c r="F429" s="106"/>
    </row>
    <row r="430" spans="3:6">
      <c r="C430" s="106"/>
      <c r="D430" s="106"/>
      <c r="E430" s="106"/>
      <c r="F430" s="106"/>
    </row>
    <row r="431" spans="3:6">
      <c r="C431" s="106"/>
      <c r="D431" s="106"/>
      <c r="E431" s="106"/>
      <c r="F431" s="106"/>
    </row>
    <row r="432" spans="3:6">
      <c r="C432" s="106"/>
      <c r="D432" s="106"/>
      <c r="E432" s="106"/>
      <c r="F432" s="106"/>
    </row>
    <row r="433" spans="3:6">
      <c r="C433" s="106"/>
      <c r="D433" s="106"/>
      <c r="E433" s="106"/>
      <c r="F433" s="106"/>
    </row>
    <row r="434" spans="3:6">
      <c r="C434" s="106"/>
      <c r="D434" s="106"/>
      <c r="E434" s="106"/>
      <c r="F434" s="106"/>
    </row>
    <row r="435" spans="3:6">
      <c r="C435" s="106"/>
      <c r="D435" s="106"/>
      <c r="E435" s="106"/>
      <c r="F435" s="106"/>
    </row>
    <row r="436" spans="3:6">
      <c r="C436" s="106"/>
      <c r="D436" s="106"/>
      <c r="E436" s="106"/>
      <c r="F436" s="106"/>
    </row>
    <row r="437" spans="3:6">
      <c r="C437" s="106"/>
      <c r="D437" s="106"/>
      <c r="E437" s="106"/>
      <c r="F437" s="106"/>
    </row>
    <row r="438" spans="3:6">
      <c r="C438" s="106"/>
      <c r="D438" s="106"/>
      <c r="E438" s="106"/>
      <c r="F438" s="106"/>
    </row>
    <row r="439" spans="3:6">
      <c r="C439" s="106"/>
      <c r="D439" s="106"/>
      <c r="E439" s="106"/>
      <c r="F439" s="106"/>
    </row>
    <row r="440" spans="3:6">
      <c r="C440" s="106"/>
      <c r="D440" s="106"/>
      <c r="E440" s="106"/>
      <c r="F440" s="106"/>
    </row>
    <row r="441" spans="3:6">
      <c r="C441" s="106"/>
      <c r="D441" s="106"/>
      <c r="E441" s="106"/>
      <c r="F441" s="106"/>
    </row>
    <row r="442" spans="3:6">
      <c r="C442" s="106"/>
      <c r="D442" s="106"/>
      <c r="E442" s="106"/>
      <c r="F442" s="106"/>
    </row>
    <row r="443" spans="3:6">
      <c r="C443" s="106"/>
      <c r="D443" s="106"/>
      <c r="E443" s="106"/>
      <c r="F443" s="106"/>
    </row>
    <row r="444" spans="3:6">
      <c r="C444" s="106"/>
      <c r="D444" s="106"/>
      <c r="E444" s="106"/>
      <c r="F444" s="106"/>
    </row>
    <row r="445" spans="3:6">
      <c r="C445" s="106"/>
      <c r="D445" s="106"/>
      <c r="E445" s="106"/>
      <c r="F445" s="106"/>
    </row>
    <row r="446" spans="3:6">
      <c r="C446" s="106"/>
      <c r="D446" s="106"/>
      <c r="E446" s="106"/>
      <c r="F446" s="106"/>
    </row>
    <row r="447" spans="3:6">
      <c r="C447" s="106"/>
      <c r="D447" s="106"/>
      <c r="E447" s="106"/>
      <c r="F447" s="106"/>
    </row>
    <row r="448" spans="3:6">
      <c r="C448" s="106"/>
      <c r="D448" s="106"/>
      <c r="E448" s="106"/>
      <c r="F448" s="106"/>
    </row>
    <row r="449" spans="3:6">
      <c r="C449" s="106"/>
      <c r="D449" s="106"/>
      <c r="E449" s="106"/>
      <c r="F449" s="106"/>
    </row>
    <row r="450" spans="3:6">
      <c r="C450" s="106"/>
      <c r="D450" s="106"/>
      <c r="E450" s="106"/>
      <c r="F450" s="106"/>
    </row>
    <row r="451" spans="3:6">
      <c r="C451" s="106"/>
      <c r="D451" s="106"/>
      <c r="E451" s="106"/>
      <c r="F451" s="106"/>
    </row>
    <row r="452" spans="3:6">
      <c r="C452" s="106"/>
      <c r="D452" s="106"/>
      <c r="E452" s="106"/>
      <c r="F452" s="106"/>
    </row>
    <row r="453" spans="3:6">
      <c r="C453" s="106"/>
      <c r="D453" s="106"/>
      <c r="E453" s="106"/>
      <c r="F453" s="106"/>
    </row>
    <row r="454" spans="3:6">
      <c r="C454" s="106"/>
      <c r="D454" s="106"/>
      <c r="E454" s="106"/>
      <c r="F454" s="106"/>
    </row>
    <row r="455" spans="3:6">
      <c r="C455" s="106"/>
      <c r="D455" s="106"/>
      <c r="E455" s="106"/>
      <c r="F455" s="106"/>
    </row>
    <row r="456" spans="3:6">
      <c r="C456" s="106"/>
      <c r="D456" s="106"/>
      <c r="E456" s="106"/>
      <c r="F456" s="106"/>
    </row>
    <row r="457" spans="3:6">
      <c r="C457" s="106"/>
      <c r="D457" s="106"/>
      <c r="E457" s="106"/>
      <c r="F457" s="106"/>
    </row>
    <row r="458" spans="3:6">
      <c r="C458" s="106"/>
      <c r="D458" s="106"/>
      <c r="E458" s="106"/>
      <c r="F458" s="106"/>
    </row>
    <row r="459" spans="3:6">
      <c r="C459" s="106"/>
      <c r="D459" s="106"/>
      <c r="E459" s="106"/>
      <c r="F459" s="106"/>
    </row>
    <row r="460" spans="3:6">
      <c r="C460" s="106"/>
      <c r="D460" s="106"/>
      <c r="E460" s="106"/>
      <c r="F460" s="106"/>
    </row>
    <row r="461" spans="3:6">
      <c r="C461" s="106"/>
      <c r="D461" s="106"/>
      <c r="E461" s="106"/>
      <c r="F461" s="106"/>
    </row>
    <row r="462" spans="3:6">
      <c r="C462" s="106"/>
      <c r="D462" s="106"/>
      <c r="E462" s="106"/>
      <c r="F462" s="106"/>
    </row>
    <row r="463" spans="3:6">
      <c r="C463" s="106"/>
      <c r="D463" s="106"/>
      <c r="E463" s="106"/>
      <c r="F463" s="106"/>
    </row>
    <row r="464" spans="3:6">
      <c r="C464" s="106"/>
      <c r="D464" s="106"/>
      <c r="E464" s="106"/>
      <c r="F464" s="106"/>
    </row>
    <row r="465" spans="3:6">
      <c r="C465" s="106"/>
      <c r="D465" s="106"/>
      <c r="E465" s="106"/>
      <c r="F465" s="106"/>
    </row>
    <row r="466" spans="3:6">
      <c r="C466" s="106"/>
      <c r="D466" s="106"/>
      <c r="E466" s="106"/>
      <c r="F466" s="106"/>
    </row>
    <row r="467" spans="3:6">
      <c r="C467" s="106"/>
      <c r="D467" s="106"/>
      <c r="E467" s="106"/>
      <c r="F467" s="106"/>
    </row>
    <row r="468" spans="3:6">
      <c r="C468" s="106"/>
      <c r="D468" s="106"/>
      <c r="E468" s="106"/>
      <c r="F468" s="106"/>
    </row>
    <row r="469" spans="3:6">
      <c r="C469" s="106"/>
      <c r="D469" s="106"/>
      <c r="E469" s="106"/>
      <c r="F469" s="106"/>
    </row>
    <row r="470" spans="3:6">
      <c r="C470" s="106"/>
      <c r="D470" s="106"/>
      <c r="E470" s="106"/>
      <c r="F470" s="106"/>
    </row>
    <row r="471" spans="3:6">
      <c r="C471" s="106"/>
      <c r="D471" s="106"/>
      <c r="E471" s="106"/>
      <c r="F471" s="106"/>
    </row>
    <row r="472" spans="3:6">
      <c r="C472" s="106"/>
      <c r="D472" s="106"/>
      <c r="E472" s="106"/>
      <c r="F472" s="106"/>
    </row>
    <row r="473" spans="3:6">
      <c r="C473" s="106"/>
      <c r="D473" s="106"/>
      <c r="E473" s="106"/>
      <c r="F473" s="106"/>
    </row>
    <row r="474" spans="3:6">
      <c r="C474" s="106"/>
      <c r="D474" s="106"/>
      <c r="E474" s="106"/>
      <c r="F474" s="106"/>
    </row>
    <row r="475" spans="3:6">
      <c r="C475" s="106"/>
      <c r="D475" s="106"/>
      <c r="E475" s="106"/>
      <c r="F475" s="106"/>
    </row>
    <row r="476" spans="3:6">
      <c r="C476" s="106"/>
      <c r="D476" s="106"/>
      <c r="E476" s="106"/>
      <c r="F476" s="106"/>
    </row>
    <row r="477" spans="3:6">
      <c r="C477" s="106"/>
      <c r="D477" s="106"/>
      <c r="E477" s="106"/>
      <c r="F477" s="106"/>
    </row>
    <row r="478" spans="3:6">
      <c r="C478" s="106"/>
      <c r="D478" s="106"/>
      <c r="E478" s="106"/>
      <c r="F478" s="106"/>
    </row>
    <row r="479" spans="3:6">
      <c r="C479" s="106"/>
      <c r="D479" s="106"/>
      <c r="E479" s="106"/>
      <c r="F479" s="106"/>
    </row>
    <row r="480" spans="3:6">
      <c r="C480" s="106"/>
      <c r="D480" s="106"/>
      <c r="E480" s="106"/>
      <c r="F480" s="106"/>
    </row>
    <row r="481" spans="3:6">
      <c r="C481" s="106"/>
      <c r="D481" s="106"/>
      <c r="E481" s="106"/>
      <c r="F481" s="106"/>
    </row>
    <row r="482" spans="3:6">
      <c r="C482" s="106"/>
      <c r="D482" s="106"/>
      <c r="E482" s="106"/>
      <c r="F482" s="106"/>
    </row>
    <row r="483" spans="3:6">
      <c r="C483" s="106"/>
      <c r="D483" s="106"/>
      <c r="E483" s="106"/>
      <c r="F483" s="106"/>
    </row>
    <row r="484" spans="3:6">
      <c r="C484" s="106"/>
      <c r="D484" s="106"/>
      <c r="E484" s="106"/>
      <c r="F484" s="106"/>
    </row>
    <row r="485" spans="3:6">
      <c r="C485" s="106"/>
      <c r="D485" s="106"/>
      <c r="E485" s="106"/>
      <c r="F485" s="106"/>
    </row>
    <row r="486" spans="3:6">
      <c r="C486" s="106"/>
      <c r="D486" s="106"/>
      <c r="E486" s="106"/>
      <c r="F486" s="106"/>
    </row>
    <row r="487" spans="3:6">
      <c r="C487" s="106"/>
      <c r="D487" s="106"/>
      <c r="E487" s="106"/>
      <c r="F487" s="106"/>
    </row>
    <row r="488" spans="3:6">
      <c r="C488" s="106"/>
      <c r="D488" s="106"/>
      <c r="E488" s="106"/>
      <c r="F488" s="106"/>
    </row>
    <row r="489" spans="3:6">
      <c r="C489" s="106"/>
      <c r="D489" s="106"/>
      <c r="E489" s="106"/>
      <c r="F489" s="106"/>
    </row>
    <row r="490" spans="3:6">
      <c r="C490" s="106"/>
      <c r="D490" s="106"/>
      <c r="E490" s="106"/>
      <c r="F490" s="106"/>
    </row>
    <row r="491" spans="3:6">
      <c r="C491" s="106"/>
      <c r="D491" s="106"/>
      <c r="E491" s="106"/>
      <c r="F491" s="106"/>
    </row>
    <row r="492" spans="3:6">
      <c r="C492" s="106"/>
      <c r="D492" s="106"/>
      <c r="E492" s="106"/>
      <c r="F492" s="106"/>
    </row>
    <row r="493" spans="3:6">
      <c r="C493" s="106"/>
      <c r="D493" s="106"/>
      <c r="E493" s="106"/>
      <c r="F493" s="106"/>
    </row>
    <row r="494" spans="3:6">
      <c r="C494" s="106"/>
      <c r="D494" s="106"/>
      <c r="E494" s="106"/>
      <c r="F494" s="106"/>
    </row>
    <row r="495" spans="3:6">
      <c r="C495" s="106"/>
      <c r="D495" s="106"/>
      <c r="E495" s="106"/>
      <c r="F495" s="106"/>
    </row>
    <row r="496" spans="3:6">
      <c r="C496" s="106"/>
      <c r="D496" s="106"/>
      <c r="E496" s="106"/>
      <c r="F496" s="106"/>
    </row>
    <row r="497" spans="3:6">
      <c r="C497" s="106"/>
      <c r="D497" s="106"/>
      <c r="E497" s="106"/>
      <c r="F497" s="106"/>
    </row>
    <row r="498" spans="3:6">
      <c r="C498" s="106"/>
      <c r="D498" s="106"/>
      <c r="E498" s="106"/>
      <c r="F498" s="106"/>
    </row>
    <row r="499" spans="3:6">
      <c r="C499" s="106"/>
      <c r="D499" s="106"/>
      <c r="E499" s="106"/>
      <c r="F499" s="106"/>
    </row>
    <row r="500" spans="3:6">
      <c r="C500" s="106"/>
      <c r="D500" s="106"/>
      <c r="E500" s="106"/>
      <c r="F500" s="106"/>
    </row>
    <row r="501" spans="3:6">
      <c r="C501" s="106"/>
      <c r="D501" s="106"/>
      <c r="E501" s="106"/>
      <c r="F501" s="106"/>
    </row>
    <row r="502" spans="3:6">
      <c r="C502" s="106"/>
      <c r="D502" s="106"/>
      <c r="E502" s="106"/>
      <c r="F502" s="106"/>
    </row>
    <row r="503" spans="3:6">
      <c r="C503" s="106"/>
      <c r="D503" s="106"/>
      <c r="E503" s="106"/>
      <c r="F503" s="106"/>
    </row>
    <row r="504" spans="3:6">
      <c r="C504" s="106"/>
      <c r="D504" s="106"/>
      <c r="E504" s="106"/>
      <c r="F504" s="106"/>
    </row>
    <row r="505" spans="3:6">
      <c r="C505" s="106"/>
      <c r="D505" s="106"/>
      <c r="E505" s="106"/>
      <c r="F505" s="106"/>
    </row>
    <row r="506" spans="3:6">
      <c r="C506" s="106"/>
      <c r="D506" s="106"/>
      <c r="E506" s="106"/>
      <c r="F506" s="106"/>
    </row>
    <row r="507" spans="3:6">
      <c r="C507" s="106"/>
      <c r="D507" s="106"/>
      <c r="E507" s="106"/>
      <c r="F507" s="106"/>
    </row>
    <row r="508" spans="3:6">
      <c r="C508" s="106"/>
      <c r="D508" s="106"/>
      <c r="E508" s="106"/>
      <c r="F508" s="106"/>
    </row>
    <row r="509" spans="3:6">
      <c r="C509" s="106"/>
      <c r="D509" s="106"/>
      <c r="E509" s="106"/>
      <c r="F509" s="106"/>
    </row>
    <row r="510" spans="3:6">
      <c r="C510" s="106"/>
      <c r="D510" s="106"/>
      <c r="E510" s="106"/>
      <c r="F510" s="106"/>
    </row>
    <row r="511" spans="3:6">
      <c r="C511" s="106"/>
      <c r="D511" s="106"/>
      <c r="E511" s="106"/>
      <c r="F511" s="106"/>
    </row>
    <row r="512" spans="3:6">
      <c r="C512" s="106"/>
      <c r="D512" s="106"/>
      <c r="E512" s="106"/>
      <c r="F512" s="106"/>
    </row>
    <row r="513" spans="3:6">
      <c r="C513" s="106"/>
      <c r="D513" s="106"/>
      <c r="E513" s="106"/>
      <c r="F513" s="106"/>
    </row>
    <row r="514" spans="3:6">
      <c r="C514" s="106"/>
      <c r="D514" s="106"/>
      <c r="E514" s="106"/>
      <c r="F514" s="106"/>
    </row>
    <row r="515" spans="3:6">
      <c r="C515" s="106"/>
      <c r="D515" s="106"/>
      <c r="E515" s="106"/>
      <c r="F515" s="106"/>
    </row>
    <row r="516" spans="3:6">
      <c r="C516" s="106"/>
      <c r="D516" s="106"/>
      <c r="E516" s="106"/>
      <c r="F516" s="106"/>
    </row>
    <row r="517" spans="3:6">
      <c r="C517" s="106"/>
      <c r="D517" s="106"/>
      <c r="E517" s="106"/>
      <c r="F517" s="106"/>
    </row>
    <row r="518" spans="3:6">
      <c r="C518" s="106"/>
      <c r="D518" s="106"/>
      <c r="E518" s="106"/>
      <c r="F518" s="106"/>
    </row>
    <row r="519" spans="3:6">
      <c r="C519" s="106"/>
      <c r="D519" s="106"/>
      <c r="E519" s="106"/>
      <c r="F519" s="106"/>
    </row>
    <row r="520" spans="3:6">
      <c r="C520" s="106"/>
      <c r="D520" s="106"/>
      <c r="E520" s="106"/>
      <c r="F520" s="106"/>
    </row>
    <row r="521" spans="3:6">
      <c r="C521" s="106"/>
      <c r="D521" s="106"/>
      <c r="E521" s="106"/>
      <c r="F521" s="106"/>
    </row>
    <row r="522" spans="3:6">
      <c r="C522" s="106"/>
      <c r="D522" s="106"/>
      <c r="E522" s="106"/>
      <c r="F522" s="106"/>
    </row>
    <row r="523" spans="3:6">
      <c r="C523" s="106"/>
      <c r="D523" s="106"/>
      <c r="E523" s="106"/>
      <c r="F523" s="106"/>
    </row>
    <row r="524" spans="3:6">
      <c r="C524" s="106"/>
      <c r="D524" s="106"/>
      <c r="E524" s="106"/>
      <c r="F524" s="106"/>
    </row>
    <row r="525" spans="3:6">
      <c r="C525" s="106"/>
      <c r="D525" s="106"/>
      <c r="E525" s="106"/>
      <c r="F525" s="106"/>
    </row>
    <row r="526" spans="3:6">
      <c r="C526" s="106"/>
      <c r="D526" s="106"/>
      <c r="E526" s="106"/>
      <c r="F526" s="106"/>
    </row>
    <row r="527" spans="3:6">
      <c r="C527" s="106"/>
      <c r="D527" s="106"/>
      <c r="E527" s="106"/>
      <c r="F527" s="106"/>
    </row>
    <row r="528" spans="3:6">
      <c r="C528" s="106"/>
      <c r="D528" s="106"/>
      <c r="E528" s="106"/>
      <c r="F528" s="106"/>
    </row>
    <row r="529" spans="3:6">
      <c r="C529" s="106"/>
      <c r="D529" s="106"/>
      <c r="E529" s="106"/>
      <c r="F529" s="106"/>
    </row>
    <row r="530" spans="3:6">
      <c r="C530" s="106"/>
      <c r="D530" s="106"/>
      <c r="E530" s="106"/>
      <c r="F530" s="106"/>
    </row>
    <row r="531" spans="3:6">
      <c r="C531" s="106"/>
      <c r="D531" s="106"/>
      <c r="E531" s="106"/>
      <c r="F531" s="106"/>
    </row>
    <row r="532" spans="3:6">
      <c r="C532" s="106"/>
      <c r="D532" s="106"/>
      <c r="E532" s="106"/>
      <c r="F532" s="106"/>
    </row>
    <row r="533" spans="3:6">
      <c r="C533" s="106"/>
      <c r="D533" s="106"/>
      <c r="E533" s="106"/>
      <c r="F533" s="106"/>
    </row>
    <row r="534" spans="3:6">
      <c r="C534" s="106"/>
      <c r="D534" s="106"/>
      <c r="E534" s="106"/>
      <c r="F534" s="106"/>
    </row>
    <row r="535" spans="3:6">
      <c r="C535" s="106"/>
      <c r="D535" s="106"/>
      <c r="E535" s="106"/>
      <c r="F535" s="106"/>
    </row>
    <row r="536" spans="3:6">
      <c r="C536" s="106"/>
      <c r="D536" s="106"/>
      <c r="E536" s="106"/>
      <c r="F536" s="106"/>
    </row>
    <row r="537" spans="3:6">
      <c r="C537" s="106"/>
      <c r="D537" s="106"/>
      <c r="E537" s="106"/>
      <c r="F537" s="106"/>
    </row>
    <row r="538" spans="3:6">
      <c r="C538" s="106"/>
      <c r="D538" s="106"/>
      <c r="E538" s="106"/>
      <c r="F538" s="106"/>
    </row>
    <row r="539" spans="3:6">
      <c r="C539" s="106"/>
      <c r="D539" s="106"/>
      <c r="E539" s="106"/>
      <c r="F539" s="106"/>
    </row>
    <row r="540" spans="3:6">
      <c r="C540" s="106"/>
      <c r="D540" s="106"/>
      <c r="E540" s="106"/>
      <c r="F540" s="106"/>
    </row>
    <row r="541" spans="3:6">
      <c r="C541" s="106"/>
      <c r="D541" s="106"/>
      <c r="E541" s="106"/>
      <c r="F541" s="106"/>
    </row>
    <row r="542" spans="3:6">
      <c r="C542" s="106"/>
      <c r="D542" s="106"/>
      <c r="E542" s="106"/>
      <c r="F542" s="106"/>
    </row>
    <row r="543" spans="3:6">
      <c r="C543" s="106"/>
      <c r="D543" s="106"/>
      <c r="E543" s="106"/>
      <c r="F543" s="106"/>
    </row>
    <row r="544" spans="3:6">
      <c r="C544" s="106"/>
      <c r="D544" s="106"/>
      <c r="E544" s="106"/>
      <c r="F544" s="106"/>
    </row>
    <row r="545" spans="3:6">
      <c r="C545" s="106"/>
      <c r="D545" s="106"/>
      <c r="E545" s="106"/>
      <c r="F545" s="106"/>
    </row>
    <row r="546" spans="3:6">
      <c r="C546" s="106"/>
      <c r="D546" s="106"/>
      <c r="E546" s="106"/>
      <c r="F546" s="106"/>
    </row>
    <row r="547" spans="3:6">
      <c r="C547" s="106"/>
      <c r="D547" s="106"/>
      <c r="E547" s="106"/>
      <c r="F547" s="106"/>
    </row>
    <row r="548" spans="3:6">
      <c r="C548" s="106"/>
      <c r="D548" s="106"/>
      <c r="E548" s="106"/>
      <c r="F548" s="106"/>
    </row>
    <row r="549" spans="3:6">
      <c r="C549" s="106"/>
      <c r="D549" s="106"/>
      <c r="E549" s="106"/>
      <c r="F549" s="106"/>
    </row>
    <row r="550" spans="3:6">
      <c r="C550" s="106"/>
      <c r="D550" s="106"/>
      <c r="E550" s="106"/>
      <c r="F550" s="106"/>
    </row>
    <row r="551" spans="3:6">
      <c r="C551" s="106"/>
      <c r="D551" s="106"/>
      <c r="E551" s="106"/>
      <c r="F551" s="106"/>
    </row>
    <row r="552" spans="3:6">
      <c r="C552" s="106"/>
      <c r="D552" s="106"/>
      <c r="E552" s="106"/>
      <c r="F552" s="106"/>
    </row>
    <row r="553" spans="3:6">
      <c r="C553" s="106"/>
      <c r="D553" s="106"/>
      <c r="E553" s="106"/>
      <c r="F553" s="106"/>
    </row>
    <row r="554" spans="3:6">
      <c r="C554" s="106"/>
      <c r="D554" s="106"/>
      <c r="E554" s="106"/>
      <c r="F554" s="106"/>
    </row>
    <row r="555" spans="3:6">
      <c r="C555" s="106"/>
      <c r="D555" s="106"/>
      <c r="E555" s="106"/>
      <c r="F555" s="106"/>
    </row>
    <row r="556" spans="3:6">
      <c r="C556" s="106"/>
      <c r="D556" s="106"/>
      <c r="E556" s="106"/>
      <c r="F556" s="106"/>
    </row>
    <row r="557" spans="3:6">
      <c r="C557" s="106"/>
      <c r="D557" s="106"/>
      <c r="E557" s="106"/>
      <c r="F557" s="106"/>
    </row>
    <row r="558" spans="3:6">
      <c r="C558" s="106"/>
      <c r="D558" s="106"/>
      <c r="E558" s="106"/>
      <c r="F558" s="106"/>
    </row>
    <row r="559" spans="3:6">
      <c r="C559" s="106"/>
      <c r="D559" s="106"/>
      <c r="E559" s="106"/>
      <c r="F559" s="106"/>
    </row>
    <row r="560" spans="3:6">
      <c r="C560" s="106"/>
      <c r="D560" s="106"/>
      <c r="E560" s="106"/>
      <c r="F560" s="106"/>
    </row>
    <row r="561" spans="3:6">
      <c r="C561" s="106"/>
      <c r="D561" s="106"/>
      <c r="E561" s="106"/>
      <c r="F561" s="106"/>
    </row>
    <row r="562" spans="3:6">
      <c r="C562" s="106"/>
      <c r="D562" s="106"/>
      <c r="E562" s="106"/>
      <c r="F562" s="106"/>
    </row>
    <row r="563" spans="3:6">
      <c r="C563" s="106"/>
      <c r="D563" s="106"/>
      <c r="E563" s="106"/>
      <c r="F563" s="106"/>
    </row>
    <row r="564" spans="3:6">
      <c r="C564" s="106"/>
      <c r="D564" s="106"/>
      <c r="E564" s="106"/>
      <c r="F564" s="106"/>
    </row>
    <row r="565" spans="3:6">
      <c r="C565" s="106"/>
      <c r="D565" s="106"/>
      <c r="E565" s="106"/>
      <c r="F565" s="106"/>
    </row>
    <row r="566" spans="3:6">
      <c r="C566" s="106"/>
      <c r="D566" s="106"/>
      <c r="E566" s="106"/>
      <c r="F566" s="106"/>
    </row>
    <row r="567" spans="3:6">
      <c r="C567" s="106"/>
      <c r="D567" s="106"/>
      <c r="E567" s="106"/>
      <c r="F567" s="106"/>
    </row>
    <row r="568" spans="3:6">
      <c r="C568" s="106"/>
      <c r="D568" s="106"/>
      <c r="E568" s="106"/>
      <c r="F568" s="106"/>
    </row>
  </sheetData>
  <mergeCells count="3">
    <mergeCell ref="A9:I9"/>
    <mergeCell ref="A2:I2"/>
    <mergeCell ref="A4:I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89955-B654-4648-A6E4-FD67CBA54DDA}">
  <sheetPr codeName="Sheet2">
    <tabColor rgb="FFFF3399"/>
  </sheetPr>
  <dimension ref="A1:AX240"/>
  <sheetViews>
    <sheetView tabSelected="1" zoomScale="70" zoomScaleNormal="70" workbookViewId="0">
      <pane xSplit="10" ySplit="2" topLeftCell="AL15" activePane="bottomRight" state="frozen"/>
      <selection pane="topRight" activeCell="I1" sqref="I1"/>
      <selection pane="bottomLeft" activeCell="A3" sqref="A3"/>
      <selection pane="bottomRight" activeCell="G28" sqref="G28"/>
    </sheetView>
  </sheetViews>
  <sheetFormatPr defaultColWidth="9" defaultRowHeight="14.4"/>
  <cols>
    <col min="1" max="1" width="10.77734375" style="16" customWidth="1"/>
    <col min="2" max="2" width="33.109375" style="16" bestFit="1" customWidth="1"/>
    <col min="3" max="3" width="35.5546875" style="2" bestFit="1" customWidth="1"/>
    <col min="4" max="6" width="10.77734375" style="1" customWidth="1"/>
    <col min="7" max="7" width="10.77734375" style="137" customWidth="1"/>
    <col min="8" max="8" width="15.77734375" style="1" customWidth="1"/>
    <col min="9" max="9" width="10.77734375" style="1" customWidth="1"/>
    <col min="10" max="10" width="20.77734375" style="1" customWidth="1"/>
    <col min="11" max="11" width="39.21875" style="16" customWidth="1"/>
    <col min="12" max="12" width="32.77734375" style="2" customWidth="1"/>
    <col min="13" max="13" width="25.77734375" style="2" customWidth="1"/>
    <col min="14" max="14" width="25.5546875" style="3" bestFit="1" customWidth="1"/>
    <col min="15" max="15" width="20.77734375" style="1" customWidth="1"/>
    <col min="16" max="19" width="15.77734375" style="1" customWidth="1"/>
    <col min="20" max="20" width="20.77734375" customWidth="1"/>
    <col min="21" max="21" width="16" style="1" bestFit="1" customWidth="1"/>
    <col min="22" max="23" width="16" style="1" customWidth="1"/>
    <col min="24" max="24" width="41.5546875" style="1" bestFit="1" customWidth="1"/>
    <col min="25" max="30" width="15.77734375" customWidth="1"/>
    <col min="31" max="32" width="15.77734375" style="1" customWidth="1"/>
    <col min="33" max="33" width="23.77734375" style="1" bestFit="1" customWidth="1"/>
    <col min="34" max="34" width="23.77734375" style="1" customWidth="1"/>
    <col min="35" max="37" width="15.77734375" style="1" customWidth="1"/>
    <col min="38" max="38" width="21.21875" bestFit="1" customWidth="1"/>
    <col min="39" max="46" width="15.77734375" customWidth="1"/>
    <col min="47" max="47" width="35" bestFit="1" customWidth="1"/>
  </cols>
  <sheetData>
    <row r="1" spans="1:50" s="4" customFormat="1" ht="49.95" customHeight="1">
      <c r="A1" s="7" t="s">
        <v>0</v>
      </c>
      <c r="B1" s="7" t="s">
        <v>1</v>
      </c>
      <c r="C1" s="7" t="s">
        <v>118</v>
      </c>
      <c r="D1" s="7" t="s">
        <v>2</v>
      </c>
      <c r="E1" s="7" t="s">
        <v>3</v>
      </c>
      <c r="F1" s="7" t="s">
        <v>84</v>
      </c>
      <c r="G1" s="7" t="s">
        <v>74</v>
      </c>
      <c r="H1" s="7" t="s">
        <v>4</v>
      </c>
      <c r="I1" s="7" t="s">
        <v>100</v>
      </c>
      <c r="J1" s="25" t="s">
        <v>15</v>
      </c>
      <c r="K1" s="25" t="s">
        <v>140</v>
      </c>
      <c r="L1" s="25" t="s">
        <v>143</v>
      </c>
      <c r="M1" s="25" t="s">
        <v>139</v>
      </c>
      <c r="N1" s="25" t="s">
        <v>70</v>
      </c>
      <c r="O1" s="25" t="s">
        <v>95</v>
      </c>
      <c r="P1" s="25" t="s">
        <v>98</v>
      </c>
      <c r="Q1" s="25" t="s">
        <v>96</v>
      </c>
      <c r="R1" s="25" t="s">
        <v>97</v>
      </c>
      <c r="S1" s="25" t="s">
        <v>101</v>
      </c>
      <c r="T1" s="25" t="s">
        <v>78</v>
      </c>
      <c r="U1" s="25" t="s">
        <v>106</v>
      </c>
      <c r="V1" s="25" t="s">
        <v>409</v>
      </c>
      <c r="W1" s="25" t="s">
        <v>424</v>
      </c>
      <c r="X1" s="25" t="s">
        <v>291</v>
      </c>
      <c r="Y1" s="18" t="s">
        <v>80</v>
      </c>
      <c r="Z1" s="18" t="s">
        <v>82</v>
      </c>
      <c r="AA1" s="18" t="s">
        <v>81</v>
      </c>
      <c r="AB1" s="18" t="s">
        <v>102</v>
      </c>
      <c r="AC1" s="18" t="s">
        <v>104</v>
      </c>
      <c r="AD1" s="18" t="s">
        <v>423</v>
      </c>
      <c r="AE1" s="18" t="s">
        <v>83</v>
      </c>
      <c r="AF1" s="18" t="s">
        <v>68</v>
      </c>
      <c r="AG1" s="18" t="s">
        <v>109</v>
      </c>
      <c r="AH1" s="18" t="s">
        <v>148</v>
      </c>
      <c r="AI1" s="18" t="s">
        <v>150</v>
      </c>
      <c r="AJ1" s="18" t="s">
        <v>151</v>
      </c>
      <c r="AK1" s="18" t="s">
        <v>64</v>
      </c>
      <c r="AL1" s="18" t="s">
        <v>5</v>
      </c>
      <c r="AM1" s="18" t="s">
        <v>156</v>
      </c>
      <c r="AN1" s="44" t="s">
        <v>157</v>
      </c>
      <c r="AO1" s="44" t="s">
        <v>123</v>
      </c>
      <c r="AP1" s="44" t="s">
        <v>69</v>
      </c>
      <c r="AQ1" s="44" t="s">
        <v>65</v>
      </c>
      <c r="AR1" s="44" t="s">
        <v>66</v>
      </c>
      <c r="AS1" s="44" t="s">
        <v>67</v>
      </c>
      <c r="AT1" s="216" t="s">
        <v>141</v>
      </c>
      <c r="AU1" s="217"/>
      <c r="AX1"/>
    </row>
    <row r="2" spans="1:50" s="3" customFormat="1" ht="19.95" customHeight="1">
      <c r="A2" s="17">
        <f>SUBTOTAL(103, A3:A85)</f>
        <v>67</v>
      </c>
      <c r="B2" s="17">
        <f>SUBTOTAL(103, B3:B85)</f>
        <v>66</v>
      </c>
      <c r="C2" s="17">
        <f>SUBTOTAL(103, C3:C85)</f>
        <v>66</v>
      </c>
      <c r="D2" s="17">
        <f>SUBTOTAL(103, D3:D85)</f>
        <v>66</v>
      </c>
      <c r="E2" s="39">
        <f>SUBTOTAL(103, E3:E85)</f>
        <v>43</v>
      </c>
      <c r="F2" s="39">
        <f>SUBTOTAL(103, F3:F85)</f>
        <v>66</v>
      </c>
      <c r="G2" s="39">
        <f>SUBTOTAL(103, G3:G85)</f>
        <v>66</v>
      </c>
      <c r="H2" s="39">
        <f>SUBTOTAL(103, H3:H85)</f>
        <v>66</v>
      </c>
      <c r="I2" s="39">
        <f>SUBTOTAL(103, I3:I85)</f>
        <v>66</v>
      </c>
      <c r="J2" s="26">
        <f>SUBTOTAL(103, J3:J85)</f>
        <v>66</v>
      </c>
      <c r="K2" s="26">
        <f>SUBTOTAL(103, K3:K85)</f>
        <v>25</v>
      </c>
      <c r="L2" s="26">
        <f>SUBTOTAL(103, L3:L85)</f>
        <v>38</v>
      </c>
      <c r="M2" s="26">
        <f>SUBTOTAL(103, M3:M85)</f>
        <v>38</v>
      </c>
      <c r="N2" s="26">
        <f>SUBTOTAL(103, N3:N85)</f>
        <v>66</v>
      </c>
      <c r="O2" s="26">
        <f>SUBTOTAL(103, O3:O85)</f>
        <v>66</v>
      </c>
      <c r="P2" s="26">
        <f>SUBTOTAL(103, P3:P85)</f>
        <v>66</v>
      </c>
      <c r="Q2" s="26">
        <f>SUBTOTAL(103, Q3:Q85)</f>
        <v>66</v>
      </c>
      <c r="R2" s="26">
        <f>SUBTOTAL(103, R3:R85)</f>
        <v>63</v>
      </c>
      <c r="S2" s="26">
        <f>SUBTOTAL(103, S3:S85)</f>
        <v>66</v>
      </c>
      <c r="T2" s="26">
        <f>SUBTOTAL(103, T3:T85)</f>
        <v>30</v>
      </c>
      <c r="U2" s="26">
        <f>SUBTOTAL(103, U3:U85)</f>
        <v>66</v>
      </c>
      <c r="V2" s="26">
        <f>SUBTOTAL(103, V3:V85)</f>
        <v>21</v>
      </c>
      <c r="W2" s="26">
        <f>SUBTOTAL(103, W3:W85)</f>
        <v>3</v>
      </c>
      <c r="X2" s="26">
        <f>SUBTOTAL(103, X3:X85)</f>
        <v>17</v>
      </c>
      <c r="Y2" s="19">
        <f>SUBTOTAL(103, Y3:Y85)</f>
        <v>39</v>
      </c>
      <c r="Z2" s="19">
        <f>SUBTOTAL(103, Z3:Z85)</f>
        <v>39</v>
      </c>
      <c r="AA2" s="19">
        <f>SUBTOTAL(103, AA3:AA85)</f>
        <v>38</v>
      </c>
      <c r="AB2" s="19">
        <f>SUBTOTAL(103, AB3:AB85)</f>
        <v>51</v>
      </c>
      <c r="AC2" s="19">
        <f>SUBTOTAL(103, AC3:AC85)</f>
        <v>39</v>
      </c>
      <c r="AD2" s="19">
        <f>SUBTOTAL(103, AD3:AD85)</f>
        <v>3</v>
      </c>
      <c r="AE2" s="19">
        <f>SUBTOTAL(103, AE3:AE85)</f>
        <v>37</v>
      </c>
      <c r="AF2" s="19">
        <f>SUBTOTAL(103, AF3:AF85)</f>
        <v>34</v>
      </c>
      <c r="AG2" s="19">
        <f>SUBTOTAL(103, AG3:AG85)</f>
        <v>34</v>
      </c>
      <c r="AH2" s="19">
        <f>SUBTOTAL(103, AH3:AH85)</f>
        <v>0</v>
      </c>
      <c r="AI2" s="19">
        <f>SUBTOTAL(103, AI3:AI85)</f>
        <v>33</v>
      </c>
      <c r="AJ2" s="19">
        <f>SUBTOTAL(103, AJ3:AJ85)</f>
        <v>28</v>
      </c>
      <c r="AK2" s="19">
        <f>SUBTOTAL(103, AK3:AK85)</f>
        <v>39</v>
      </c>
      <c r="AL2" s="19">
        <f>SUBTOTAL(103, AL3:AL85)</f>
        <v>37</v>
      </c>
      <c r="AM2" s="19">
        <f>SUBTOTAL(103, AM3:AM85)</f>
        <v>37</v>
      </c>
      <c r="AN2" s="45">
        <f>SUBTOTAL(103, AN3:AN85)</f>
        <v>66</v>
      </c>
      <c r="AO2" s="45">
        <f>SUBTOTAL(103, AO3:AO85)</f>
        <v>66</v>
      </c>
      <c r="AP2" s="45">
        <f>SUBTOTAL(103, AP3:AP85)</f>
        <v>66</v>
      </c>
      <c r="AQ2" s="45">
        <f>SUBTOTAL(103, AQ3:AQ85)</f>
        <v>66</v>
      </c>
      <c r="AR2" s="45">
        <f>SUBTOTAL(103, AR3:AR85)</f>
        <v>66</v>
      </c>
      <c r="AS2" s="45">
        <f>SUBTOTAL(103, AS3:AS85)</f>
        <v>66</v>
      </c>
      <c r="AT2" s="45">
        <f>SUBTOTAL(103, AT3:AT85)</f>
        <v>66</v>
      </c>
      <c r="AU2" s="45">
        <f>SUBTOTAL(103, AU3:AU85)</f>
        <v>9</v>
      </c>
      <c r="AX2"/>
    </row>
    <row r="3" spans="1:50" ht="19.95" customHeight="1">
      <c r="A3" s="9" t="s">
        <v>501</v>
      </c>
      <c r="B3" s="9" t="s">
        <v>502</v>
      </c>
      <c r="C3" s="9" t="s">
        <v>503</v>
      </c>
      <c r="D3" s="8" t="s">
        <v>6</v>
      </c>
      <c r="E3" s="10" t="s">
        <v>86</v>
      </c>
      <c r="F3" s="8">
        <v>20</v>
      </c>
      <c r="G3" s="10" t="s">
        <v>61</v>
      </c>
      <c r="H3" s="10" t="s">
        <v>8</v>
      </c>
      <c r="I3" s="10" t="s">
        <v>61</v>
      </c>
      <c r="J3" s="8" t="s">
        <v>117</v>
      </c>
      <c r="K3" s="9"/>
      <c r="L3" s="9" t="s">
        <v>504</v>
      </c>
      <c r="M3" s="9"/>
      <c r="N3" s="32" t="s">
        <v>505</v>
      </c>
      <c r="O3" s="32" t="s">
        <v>94</v>
      </c>
      <c r="P3" s="32" t="s">
        <v>94</v>
      </c>
      <c r="Q3" s="32" t="s">
        <v>94</v>
      </c>
      <c r="R3" s="32" t="s">
        <v>94</v>
      </c>
      <c r="S3" s="32" t="s">
        <v>506</v>
      </c>
      <c r="T3" s="8"/>
      <c r="U3" s="8" t="s">
        <v>107</v>
      </c>
      <c r="V3" s="8"/>
      <c r="W3" s="8"/>
      <c r="X3" s="12"/>
      <c r="Y3" s="41">
        <v>46075</v>
      </c>
      <c r="Z3" s="41">
        <v>46134</v>
      </c>
      <c r="AA3" s="41">
        <v>46138</v>
      </c>
      <c r="AB3" s="41">
        <v>46132</v>
      </c>
      <c r="AC3" s="41">
        <v>46135</v>
      </c>
      <c r="AD3" s="41"/>
      <c r="AE3" s="41">
        <v>46139</v>
      </c>
      <c r="AF3" s="41">
        <v>46139</v>
      </c>
      <c r="AG3" s="41" t="s">
        <v>507</v>
      </c>
      <c r="AH3" s="41"/>
      <c r="AI3" s="41">
        <v>46144</v>
      </c>
      <c r="AJ3" s="41">
        <v>46144</v>
      </c>
      <c r="AK3" s="42" t="s">
        <v>508</v>
      </c>
      <c r="AL3" s="42" t="s">
        <v>509</v>
      </c>
      <c r="AM3" s="41">
        <v>46134</v>
      </c>
      <c r="AN3" s="27" t="s">
        <v>77</v>
      </c>
      <c r="AO3" s="220">
        <v>46142</v>
      </c>
      <c r="AP3" s="220">
        <v>46142</v>
      </c>
      <c r="AQ3" s="220" t="s">
        <v>510</v>
      </c>
      <c r="AR3" s="27" t="s">
        <v>77</v>
      </c>
      <c r="AS3" s="220">
        <v>46147</v>
      </c>
      <c r="AT3" s="220">
        <v>46169</v>
      </c>
      <c r="AU3" s="220" t="s">
        <v>511</v>
      </c>
    </row>
    <row r="4" spans="1:50" ht="19.95" customHeight="1">
      <c r="A4" s="9" t="s">
        <v>512</v>
      </c>
      <c r="B4" s="9" t="s">
        <v>513</v>
      </c>
      <c r="C4" s="9" t="s">
        <v>503</v>
      </c>
      <c r="D4" s="8" t="s">
        <v>121</v>
      </c>
      <c r="E4" s="10" t="s">
        <v>122</v>
      </c>
      <c r="F4" s="8">
        <v>20</v>
      </c>
      <c r="G4" s="10" t="s">
        <v>61</v>
      </c>
      <c r="H4" s="10" t="s">
        <v>10</v>
      </c>
      <c r="I4" s="10" t="s">
        <v>91</v>
      </c>
      <c r="J4" s="221" t="s">
        <v>117</v>
      </c>
      <c r="K4" s="9"/>
      <c r="L4" s="9"/>
      <c r="M4" s="9" t="s">
        <v>514</v>
      </c>
      <c r="N4" s="32" t="s">
        <v>505</v>
      </c>
      <c r="O4" s="32" t="s">
        <v>94</v>
      </c>
      <c r="P4" s="32" t="s">
        <v>94</v>
      </c>
      <c r="Q4" s="32" t="s">
        <v>94</v>
      </c>
      <c r="R4" s="32" t="s">
        <v>94</v>
      </c>
      <c r="S4" s="32" t="s">
        <v>506</v>
      </c>
      <c r="T4" s="8"/>
      <c r="U4" s="8" t="s">
        <v>107</v>
      </c>
      <c r="V4" s="8"/>
      <c r="W4" s="8"/>
      <c r="X4" s="12"/>
      <c r="Y4" s="41">
        <v>46134</v>
      </c>
      <c r="Z4" s="41">
        <v>46134</v>
      </c>
      <c r="AA4" s="41">
        <v>46138</v>
      </c>
      <c r="AB4" s="41">
        <v>46132</v>
      </c>
      <c r="AC4" s="42" t="s">
        <v>515</v>
      </c>
      <c r="AD4" s="41"/>
      <c r="AE4" s="43">
        <v>46140</v>
      </c>
      <c r="AF4" s="43">
        <v>46152</v>
      </c>
      <c r="AG4" s="43" t="s">
        <v>516</v>
      </c>
      <c r="AH4" s="43"/>
      <c r="AI4" s="41">
        <v>46140</v>
      </c>
      <c r="AJ4" s="41">
        <v>46152</v>
      </c>
      <c r="AK4" s="42" t="s">
        <v>517</v>
      </c>
      <c r="AL4" s="42" t="s">
        <v>518</v>
      </c>
      <c r="AM4" s="41">
        <v>46134</v>
      </c>
      <c r="AN4" s="27">
        <v>46167</v>
      </c>
      <c r="AO4" s="27">
        <v>46154</v>
      </c>
      <c r="AP4" s="27">
        <v>46154</v>
      </c>
      <c r="AQ4" s="220" t="s">
        <v>510</v>
      </c>
      <c r="AR4" s="27" t="s">
        <v>77</v>
      </c>
      <c r="AS4" s="27">
        <v>46154</v>
      </c>
      <c r="AT4" s="222">
        <v>46154</v>
      </c>
      <c r="AU4" s="223" t="s">
        <v>511</v>
      </c>
    </row>
    <row r="5" spans="1:50" ht="19.95" customHeight="1">
      <c r="A5" s="9" t="s">
        <v>519</v>
      </c>
      <c r="B5" s="9" t="s">
        <v>520</v>
      </c>
      <c r="C5" s="9" t="s">
        <v>503</v>
      </c>
      <c r="D5" s="8" t="s">
        <v>6</v>
      </c>
      <c r="E5" s="10" t="s">
        <v>12</v>
      </c>
      <c r="F5" s="8">
        <v>20</v>
      </c>
      <c r="G5" s="10" t="s">
        <v>61</v>
      </c>
      <c r="H5" s="10" t="s">
        <v>8</v>
      </c>
      <c r="I5" s="10" t="s">
        <v>61</v>
      </c>
      <c r="J5" s="8" t="s">
        <v>117</v>
      </c>
      <c r="K5" s="9"/>
      <c r="L5" s="9"/>
      <c r="M5" s="9" t="s">
        <v>521</v>
      </c>
      <c r="N5" s="32" t="s">
        <v>505</v>
      </c>
      <c r="O5" s="32" t="s">
        <v>94</v>
      </c>
      <c r="P5" s="32" t="s">
        <v>94</v>
      </c>
      <c r="Q5" s="32" t="s">
        <v>94</v>
      </c>
      <c r="R5" s="32" t="s">
        <v>94</v>
      </c>
      <c r="S5" s="32" t="s">
        <v>506</v>
      </c>
      <c r="T5" s="8"/>
      <c r="U5" s="8" t="s">
        <v>107</v>
      </c>
      <c r="V5" s="8"/>
      <c r="W5" s="8"/>
      <c r="X5" s="12"/>
      <c r="Y5" s="41">
        <v>46134</v>
      </c>
      <c r="Z5" s="41">
        <v>46134</v>
      </c>
      <c r="AA5" s="41">
        <v>46135</v>
      </c>
      <c r="AB5" s="41">
        <v>46132</v>
      </c>
      <c r="AC5" s="42" t="s">
        <v>515</v>
      </c>
      <c r="AD5" s="41"/>
      <c r="AE5" s="41">
        <v>46136</v>
      </c>
      <c r="AF5" s="41">
        <v>46136</v>
      </c>
      <c r="AG5" s="41" t="s">
        <v>487</v>
      </c>
      <c r="AH5" s="41"/>
      <c r="AI5" s="41">
        <v>46139</v>
      </c>
      <c r="AJ5" s="41">
        <v>46139</v>
      </c>
      <c r="AK5" s="42" t="s">
        <v>487</v>
      </c>
      <c r="AL5" s="42" t="s">
        <v>488</v>
      </c>
      <c r="AM5" s="41">
        <v>46134</v>
      </c>
      <c r="AN5" s="220">
        <v>46141</v>
      </c>
      <c r="AO5" s="220">
        <v>46138</v>
      </c>
      <c r="AP5" s="220">
        <v>46138</v>
      </c>
      <c r="AQ5" s="220" t="s">
        <v>510</v>
      </c>
      <c r="AR5" s="27" t="s">
        <v>77</v>
      </c>
      <c r="AS5" s="220">
        <v>46147</v>
      </c>
      <c r="AT5" s="220">
        <v>46141</v>
      </c>
      <c r="AU5" s="8" t="s">
        <v>522</v>
      </c>
    </row>
    <row r="6" spans="1:50" ht="19.95" customHeight="1">
      <c r="A6" s="9" t="s">
        <v>523</v>
      </c>
      <c r="B6" s="9" t="s">
        <v>524</v>
      </c>
      <c r="C6" s="9" t="s">
        <v>503</v>
      </c>
      <c r="D6" s="8" t="s">
        <v>6</v>
      </c>
      <c r="E6" s="10" t="s">
        <v>9</v>
      </c>
      <c r="F6" s="8">
        <v>20</v>
      </c>
      <c r="G6" s="10" t="s">
        <v>61</v>
      </c>
      <c r="H6" s="10" t="s">
        <v>8</v>
      </c>
      <c r="I6" s="10" t="s">
        <v>61</v>
      </c>
      <c r="J6" s="8" t="s">
        <v>117</v>
      </c>
      <c r="K6" s="9"/>
      <c r="L6" s="9" t="s">
        <v>504</v>
      </c>
      <c r="M6" s="9" t="s">
        <v>514</v>
      </c>
      <c r="N6" s="32" t="s">
        <v>505</v>
      </c>
      <c r="O6" s="32" t="s">
        <v>94</v>
      </c>
      <c r="P6" s="32" t="s">
        <v>94</v>
      </c>
      <c r="Q6" s="32" t="s">
        <v>94</v>
      </c>
      <c r="R6" s="32" t="s">
        <v>94</v>
      </c>
      <c r="S6" s="32" t="s">
        <v>506</v>
      </c>
      <c r="T6" s="8"/>
      <c r="U6" s="8" t="s">
        <v>107</v>
      </c>
      <c r="V6" s="8"/>
      <c r="W6" s="8"/>
      <c r="X6" s="12"/>
      <c r="Y6" s="41">
        <v>46133</v>
      </c>
      <c r="Z6" s="41">
        <v>46133</v>
      </c>
      <c r="AA6" s="41">
        <v>46136</v>
      </c>
      <c r="AB6" s="41">
        <v>46132</v>
      </c>
      <c r="AC6" s="42" t="s">
        <v>515</v>
      </c>
      <c r="AD6" s="41"/>
      <c r="AE6" s="41">
        <v>46135</v>
      </c>
      <c r="AF6" s="41">
        <v>46136</v>
      </c>
      <c r="AG6" s="41" t="s">
        <v>525</v>
      </c>
      <c r="AH6" s="41"/>
      <c r="AI6" s="41">
        <v>46136</v>
      </c>
      <c r="AJ6" s="41">
        <v>46136</v>
      </c>
      <c r="AK6" s="42" t="s">
        <v>526</v>
      </c>
      <c r="AL6" s="42" t="s">
        <v>488</v>
      </c>
      <c r="AM6" s="41">
        <v>46134</v>
      </c>
      <c r="AN6" s="220">
        <v>46154</v>
      </c>
      <c r="AO6" s="220">
        <v>46135</v>
      </c>
      <c r="AP6" s="220">
        <v>46136</v>
      </c>
      <c r="AQ6" s="220" t="s">
        <v>510</v>
      </c>
      <c r="AR6" s="27" t="s">
        <v>77</v>
      </c>
      <c r="AS6" s="8" t="s">
        <v>527</v>
      </c>
      <c r="AT6" s="220">
        <v>46142</v>
      </c>
      <c r="AU6" s="8" t="s">
        <v>522</v>
      </c>
    </row>
    <row r="7" spans="1:50" ht="19.95" customHeight="1">
      <c r="A7" s="9" t="s">
        <v>528</v>
      </c>
      <c r="B7" s="9" t="s">
        <v>529</v>
      </c>
      <c r="C7" s="9" t="s">
        <v>503</v>
      </c>
      <c r="D7" s="8" t="s">
        <v>11</v>
      </c>
      <c r="E7" s="10" t="s">
        <v>12</v>
      </c>
      <c r="F7" s="8">
        <v>20</v>
      </c>
      <c r="G7" s="10" t="s">
        <v>61</v>
      </c>
      <c r="H7" s="10" t="s">
        <v>10</v>
      </c>
      <c r="I7" s="10" t="s">
        <v>91</v>
      </c>
      <c r="J7" s="8" t="s">
        <v>117</v>
      </c>
      <c r="K7" s="9"/>
      <c r="L7" s="9"/>
      <c r="M7" s="9" t="s">
        <v>514</v>
      </c>
      <c r="N7" s="32" t="s">
        <v>505</v>
      </c>
      <c r="O7" s="32" t="s">
        <v>94</v>
      </c>
      <c r="P7" s="32" t="s">
        <v>94</v>
      </c>
      <c r="Q7" s="32" t="s">
        <v>94</v>
      </c>
      <c r="R7" s="32" t="s">
        <v>94</v>
      </c>
      <c r="S7" s="32" t="s">
        <v>506</v>
      </c>
      <c r="T7" s="8"/>
      <c r="U7" s="8" t="s">
        <v>107</v>
      </c>
      <c r="V7" s="8"/>
      <c r="W7" s="8"/>
      <c r="X7" s="12"/>
      <c r="Y7" s="41">
        <v>46143</v>
      </c>
      <c r="Z7" s="41">
        <v>46143</v>
      </c>
      <c r="AA7" s="41">
        <v>46145</v>
      </c>
      <c r="AB7" s="41">
        <v>46132</v>
      </c>
      <c r="AC7" s="42" t="s">
        <v>515</v>
      </c>
      <c r="AD7" s="41"/>
      <c r="AE7" s="41">
        <v>46145</v>
      </c>
      <c r="AF7" s="41">
        <v>46148</v>
      </c>
      <c r="AG7" s="41" t="s">
        <v>530</v>
      </c>
      <c r="AH7" s="41"/>
      <c r="AI7" s="41">
        <v>46146</v>
      </c>
      <c r="AJ7" s="41">
        <v>46179</v>
      </c>
      <c r="AK7" s="42" t="s">
        <v>531</v>
      </c>
      <c r="AL7" s="42" t="s">
        <v>488</v>
      </c>
      <c r="AM7" s="41">
        <v>46142</v>
      </c>
      <c r="AN7" s="220">
        <v>46155</v>
      </c>
      <c r="AO7" s="220">
        <v>46146</v>
      </c>
      <c r="AP7" s="220">
        <v>46146</v>
      </c>
      <c r="AQ7" s="8" t="s">
        <v>510</v>
      </c>
      <c r="AR7" s="27" t="s">
        <v>77</v>
      </c>
      <c r="AS7" s="220">
        <v>46160</v>
      </c>
      <c r="AT7" s="220">
        <v>46154</v>
      </c>
      <c r="AU7" s="8" t="s">
        <v>522</v>
      </c>
    </row>
    <row r="8" spans="1:50" ht="19.95" customHeight="1">
      <c r="A8" s="9" t="s">
        <v>532</v>
      </c>
      <c r="B8" s="9" t="s">
        <v>533</v>
      </c>
      <c r="C8" s="9" t="s">
        <v>503</v>
      </c>
      <c r="D8" s="8" t="s">
        <v>121</v>
      </c>
      <c r="E8" s="10" t="s">
        <v>9</v>
      </c>
      <c r="F8" s="8">
        <v>20</v>
      </c>
      <c r="G8" s="10" t="s">
        <v>61</v>
      </c>
      <c r="H8" s="10" t="s">
        <v>8</v>
      </c>
      <c r="I8" s="10" t="s">
        <v>61</v>
      </c>
      <c r="J8" s="8" t="s">
        <v>117</v>
      </c>
      <c r="K8" s="9"/>
      <c r="L8" s="9" t="s">
        <v>534</v>
      </c>
      <c r="M8" s="9" t="s">
        <v>535</v>
      </c>
      <c r="N8" s="32" t="s">
        <v>505</v>
      </c>
      <c r="O8" s="32" t="s">
        <v>94</v>
      </c>
      <c r="P8" s="32" t="s">
        <v>94</v>
      </c>
      <c r="Q8" s="32" t="s">
        <v>94</v>
      </c>
      <c r="R8" s="32" t="s">
        <v>94</v>
      </c>
      <c r="S8" s="32" t="s">
        <v>506</v>
      </c>
      <c r="T8" s="8"/>
      <c r="U8" s="8" t="s">
        <v>107</v>
      </c>
      <c r="V8" s="8"/>
      <c r="W8" s="8"/>
      <c r="X8" s="12"/>
      <c r="Y8" s="41">
        <v>46137</v>
      </c>
      <c r="Z8" s="41">
        <v>46137</v>
      </c>
      <c r="AA8" s="41">
        <v>46139</v>
      </c>
      <c r="AB8" s="41">
        <v>46132</v>
      </c>
      <c r="AC8" s="41">
        <v>46146</v>
      </c>
      <c r="AD8" s="41"/>
      <c r="AE8" s="43">
        <v>46141</v>
      </c>
      <c r="AF8" s="43">
        <v>46145</v>
      </c>
      <c r="AG8" s="43" t="s">
        <v>536</v>
      </c>
      <c r="AH8" s="43"/>
      <c r="AI8" s="41">
        <v>46139</v>
      </c>
      <c r="AJ8" s="41">
        <v>46148</v>
      </c>
      <c r="AK8" s="42" t="s">
        <v>1260</v>
      </c>
      <c r="AL8" s="43" t="s">
        <v>537</v>
      </c>
      <c r="AM8" s="41">
        <v>46137</v>
      </c>
      <c r="AN8" s="27">
        <v>46154</v>
      </c>
      <c r="AO8" s="27">
        <v>46143</v>
      </c>
      <c r="AP8" s="27">
        <v>46146</v>
      </c>
      <c r="AQ8" s="220" t="s">
        <v>510</v>
      </c>
      <c r="AR8" s="27" t="s">
        <v>77</v>
      </c>
      <c r="AS8" s="27">
        <v>46149</v>
      </c>
      <c r="AT8" s="27">
        <v>46154</v>
      </c>
      <c r="AU8" s="27" t="s">
        <v>522</v>
      </c>
    </row>
    <row r="9" spans="1:50" ht="19.95" customHeight="1">
      <c r="A9" s="9" t="s">
        <v>538</v>
      </c>
      <c r="B9" s="9" t="s">
        <v>539</v>
      </c>
      <c r="C9" s="9" t="s">
        <v>503</v>
      </c>
      <c r="D9" s="8" t="s">
        <v>121</v>
      </c>
      <c r="E9" s="10" t="s">
        <v>9</v>
      </c>
      <c r="F9" s="8">
        <v>20</v>
      </c>
      <c r="G9" s="10" t="s">
        <v>61</v>
      </c>
      <c r="H9" s="10" t="s">
        <v>10</v>
      </c>
      <c r="I9" s="10" t="s">
        <v>91</v>
      </c>
      <c r="J9" s="8" t="s">
        <v>117</v>
      </c>
      <c r="K9" s="9" t="s">
        <v>540</v>
      </c>
      <c r="L9" s="12" t="s">
        <v>541</v>
      </c>
      <c r="M9" s="9" t="s">
        <v>542</v>
      </c>
      <c r="N9" s="32" t="s">
        <v>505</v>
      </c>
      <c r="O9" s="32" t="s">
        <v>94</v>
      </c>
      <c r="P9" s="32" t="s">
        <v>94</v>
      </c>
      <c r="Q9" s="32" t="s">
        <v>94</v>
      </c>
      <c r="R9" s="32" t="s">
        <v>94</v>
      </c>
      <c r="S9" s="32" t="s">
        <v>506</v>
      </c>
      <c r="T9" s="8"/>
      <c r="U9" s="8" t="s">
        <v>107</v>
      </c>
      <c r="V9" s="8"/>
      <c r="W9" s="8"/>
      <c r="X9" s="12"/>
      <c r="Y9" s="41">
        <v>46139</v>
      </c>
      <c r="Z9" s="41">
        <v>46140</v>
      </c>
      <c r="AA9" s="41">
        <v>46142</v>
      </c>
      <c r="AB9" s="41">
        <v>46132</v>
      </c>
      <c r="AC9" s="42" t="s">
        <v>515</v>
      </c>
      <c r="AD9" s="41"/>
      <c r="AE9" s="43">
        <v>46155</v>
      </c>
      <c r="AF9" s="43">
        <v>46156</v>
      </c>
      <c r="AG9" s="43" t="s">
        <v>487</v>
      </c>
      <c r="AH9" s="43"/>
      <c r="AI9" s="43">
        <v>46142</v>
      </c>
      <c r="AJ9" s="41">
        <v>46156</v>
      </c>
      <c r="AK9" s="42" t="s">
        <v>517</v>
      </c>
      <c r="AL9" s="43" t="s">
        <v>509</v>
      </c>
      <c r="AM9" s="41">
        <v>46139</v>
      </c>
      <c r="AN9" s="27">
        <v>46160</v>
      </c>
      <c r="AO9" s="27">
        <v>46156</v>
      </c>
      <c r="AP9" s="27">
        <v>46156</v>
      </c>
      <c r="AQ9" s="27" t="s">
        <v>510</v>
      </c>
      <c r="AR9" s="27" t="s">
        <v>77</v>
      </c>
      <c r="AS9" s="220">
        <v>46169</v>
      </c>
      <c r="AT9" s="27">
        <v>46156</v>
      </c>
      <c r="AU9" s="27" t="s">
        <v>543</v>
      </c>
    </row>
    <row r="10" spans="1:50" ht="19.95" customHeight="1">
      <c r="A10" s="9" t="s">
        <v>544</v>
      </c>
      <c r="B10" s="9" t="s">
        <v>545</v>
      </c>
      <c r="C10" s="9" t="s">
        <v>503</v>
      </c>
      <c r="D10" s="8" t="s">
        <v>121</v>
      </c>
      <c r="E10" s="10" t="s">
        <v>122</v>
      </c>
      <c r="F10" s="8">
        <v>25</v>
      </c>
      <c r="G10" s="10" t="s">
        <v>61</v>
      </c>
      <c r="H10" s="10" t="s">
        <v>7</v>
      </c>
      <c r="I10" s="10" t="s">
        <v>7</v>
      </c>
      <c r="J10" s="224" t="s">
        <v>117</v>
      </c>
      <c r="K10" s="9"/>
      <c r="L10" s="9" t="s">
        <v>546</v>
      </c>
      <c r="M10" s="9" t="s">
        <v>514</v>
      </c>
      <c r="N10" s="32" t="s">
        <v>505</v>
      </c>
      <c r="O10" s="32" t="s">
        <v>90</v>
      </c>
      <c r="P10" s="32" t="s">
        <v>94</v>
      </c>
      <c r="Q10" s="32" t="s">
        <v>94</v>
      </c>
      <c r="R10" s="32" t="s">
        <v>76</v>
      </c>
      <c r="S10" s="32" t="s">
        <v>506</v>
      </c>
      <c r="T10" s="8"/>
      <c r="U10" s="8" t="s">
        <v>547</v>
      </c>
      <c r="V10" s="8"/>
      <c r="W10" s="8"/>
      <c r="X10" s="12"/>
      <c r="Y10" s="41">
        <v>46137</v>
      </c>
      <c r="Z10" s="41">
        <v>46137</v>
      </c>
      <c r="AA10" s="41">
        <v>46139</v>
      </c>
      <c r="AB10" s="41">
        <v>46132</v>
      </c>
      <c r="AC10" s="42" t="s">
        <v>515</v>
      </c>
      <c r="AD10" s="41"/>
      <c r="AE10" s="41">
        <v>46166</v>
      </c>
      <c r="AF10" s="41">
        <v>46167</v>
      </c>
      <c r="AG10" s="41" t="s">
        <v>487</v>
      </c>
      <c r="AH10" s="41"/>
      <c r="AI10" s="41">
        <v>46140</v>
      </c>
      <c r="AJ10" s="41">
        <v>46152</v>
      </c>
      <c r="AK10" s="42" t="s">
        <v>517</v>
      </c>
      <c r="AL10" s="42" t="s">
        <v>518</v>
      </c>
      <c r="AM10" s="41">
        <v>46137</v>
      </c>
      <c r="AN10" s="220">
        <v>46167</v>
      </c>
      <c r="AO10" s="8" t="s">
        <v>76</v>
      </c>
      <c r="AP10" s="8" t="s">
        <v>76</v>
      </c>
      <c r="AQ10" s="220" t="s">
        <v>510</v>
      </c>
      <c r="AR10" s="27" t="s">
        <v>77</v>
      </c>
      <c r="AS10" s="220">
        <v>46169</v>
      </c>
      <c r="AT10" s="220">
        <v>46168</v>
      </c>
      <c r="AU10" s="8" t="s">
        <v>511</v>
      </c>
    </row>
    <row r="11" spans="1:50" ht="19.95" customHeight="1">
      <c r="A11" s="9" t="s">
        <v>548</v>
      </c>
      <c r="B11" s="9" t="s">
        <v>549</v>
      </c>
      <c r="C11" s="9" t="s">
        <v>503</v>
      </c>
      <c r="D11" s="8" t="s">
        <v>11</v>
      </c>
      <c r="E11" s="10" t="s">
        <v>12</v>
      </c>
      <c r="F11" s="8">
        <v>20</v>
      </c>
      <c r="G11" s="10" t="s">
        <v>61</v>
      </c>
      <c r="H11" s="10" t="s">
        <v>8</v>
      </c>
      <c r="I11" s="10" t="s">
        <v>61</v>
      </c>
      <c r="J11" s="8" t="s">
        <v>117</v>
      </c>
      <c r="K11" s="9"/>
      <c r="L11" s="9" t="s">
        <v>550</v>
      </c>
      <c r="M11" s="9" t="s">
        <v>514</v>
      </c>
      <c r="N11" s="32" t="s">
        <v>505</v>
      </c>
      <c r="O11" s="32" t="s">
        <v>94</v>
      </c>
      <c r="P11" s="32" t="s">
        <v>94</v>
      </c>
      <c r="Q11" s="32" t="s">
        <v>94</v>
      </c>
      <c r="R11" s="32" t="s">
        <v>94</v>
      </c>
      <c r="S11" s="32" t="s">
        <v>506</v>
      </c>
      <c r="T11" s="8"/>
      <c r="U11" s="8" t="s">
        <v>107</v>
      </c>
      <c r="V11" s="8"/>
      <c r="W11" s="8"/>
      <c r="X11" s="12"/>
      <c r="Y11" s="41">
        <v>46137</v>
      </c>
      <c r="Z11" s="41">
        <v>46137</v>
      </c>
      <c r="AA11" s="41">
        <v>46141</v>
      </c>
      <c r="AB11" s="41">
        <v>46132</v>
      </c>
      <c r="AC11" s="41">
        <v>46141</v>
      </c>
      <c r="AD11" s="41"/>
      <c r="AE11" s="41">
        <v>46140</v>
      </c>
      <c r="AF11" s="41">
        <v>46141</v>
      </c>
      <c r="AG11" s="41" t="s">
        <v>487</v>
      </c>
      <c r="AH11" s="41"/>
      <c r="AI11" s="41">
        <v>46141</v>
      </c>
      <c r="AJ11" s="41">
        <v>46141</v>
      </c>
      <c r="AK11" s="42" t="s">
        <v>551</v>
      </c>
      <c r="AL11" s="42" t="s">
        <v>488</v>
      </c>
      <c r="AM11" s="41">
        <v>46137</v>
      </c>
      <c r="AN11" s="220">
        <v>46155</v>
      </c>
      <c r="AO11" s="220">
        <v>46142</v>
      </c>
      <c r="AP11" s="220">
        <v>46142</v>
      </c>
      <c r="AQ11" s="220" t="s">
        <v>510</v>
      </c>
      <c r="AR11" s="27" t="s">
        <v>77</v>
      </c>
      <c r="AS11" s="220">
        <v>46160</v>
      </c>
      <c r="AT11" s="220">
        <v>46142</v>
      </c>
      <c r="AU11" s="8" t="s">
        <v>522</v>
      </c>
    </row>
    <row r="12" spans="1:50" ht="19.95" customHeight="1">
      <c r="A12" s="9" t="s">
        <v>552</v>
      </c>
      <c r="B12" s="9" t="s">
        <v>553</v>
      </c>
      <c r="C12" s="37" t="s">
        <v>554</v>
      </c>
      <c r="D12" s="8" t="s">
        <v>6</v>
      </c>
      <c r="E12" s="10" t="s">
        <v>103</v>
      </c>
      <c r="F12" s="8">
        <v>20</v>
      </c>
      <c r="G12" s="10" t="s">
        <v>61</v>
      </c>
      <c r="H12" s="225" t="s">
        <v>7</v>
      </c>
      <c r="I12" s="10" t="s">
        <v>7</v>
      </c>
      <c r="J12" s="8" t="s">
        <v>117</v>
      </c>
      <c r="K12" s="9"/>
      <c r="L12" s="12" t="s">
        <v>555</v>
      </c>
      <c r="M12" s="9" t="s">
        <v>556</v>
      </c>
      <c r="N12" s="32" t="s">
        <v>505</v>
      </c>
      <c r="O12" s="32" t="s">
        <v>94</v>
      </c>
      <c r="P12" s="32" t="s">
        <v>94</v>
      </c>
      <c r="Q12" s="32" t="s">
        <v>94</v>
      </c>
      <c r="R12" s="32" t="s">
        <v>76</v>
      </c>
      <c r="S12" s="32" t="s">
        <v>506</v>
      </c>
      <c r="T12" s="8"/>
      <c r="U12" s="8" t="s">
        <v>547</v>
      </c>
      <c r="V12" s="8"/>
      <c r="W12" s="8"/>
      <c r="X12" s="12"/>
      <c r="Y12" s="41">
        <v>46174</v>
      </c>
      <c r="Z12" s="41">
        <v>46174</v>
      </c>
      <c r="AA12" s="41">
        <v>46178</v>
      </c>
      <c r="AB12" s="41">
        <v>46161</v>
      </c>
      <c r="AC12" s="41">
        <v>46193</v>
      </c>
      <c r="AD12" s="41"/>
      <c r="AE12" s="41">
        <v>46193</v>
      </c>
      <c r="AF12" s="41">
        <v>46193</v>
      </c>
      <c r="AG12" s="42" t="s">
        <v>516</v>
      </c>
      <c r="AH12" s="41"/>
      <c r="AI12" s="41">
        <v>46179</v>
      </c>
      <c r="AJ12" s="41">
        <v>46178</v>
      </c>
      <c r="AK12" s="43" t="s">
        <v>557</v>
      </c>
      <c r="AL12" s="42" t="s">
        <v>488</v>
      </c>
      <c r="AM12" s="41">
        <v>46174</v>
      </c>
      <c r="AN12" s="27">
        <v>46209</v>
      </c>
      <c r="AO12" s="8" t="s">
        <v>76</v>
      </c>
      <c r="AP12" s="8" t="s">
        <v>76</v>
      </c>
      <c r="AQ12" s="27" t="s">
        <v>510</v>
      </c>
      <c r="AR12" s="27" t="s">
        <v>77</v>
      </c>
      <c r="AS12" s="27">
        <v>46195</v>
      </c>
      <c r="AT12" s="27" t="s">
        <v>77</v>
      </c>
      <c r="AU12" s="8"/>
    </row>
    <row r="13" spans="1:50" ht="19.95" customHeight="1">
      <c r="A13" s="37" t="s">
        <v>558</v>
      </c>
      <c r="B13" s="37" t="s">
        <v>559</v>
      </c>
      <c r="C13" s="37" t="s">
        <v>554</v>
      </c>
      <c r="D13" s="8" t="s">
        <v>6</v>
      </c>
      <c r="E13" s="10" t="s">
        <v>9</v>
      </c>
      <c r="F13" s="8">
        <v>30</v>
      </c>
      <c r="G13" s="10" t="s">
        <v>61</v>
      </c>
      <c r="H13" s="40" t="s">
        <v>560</v>
      </c>
      <c r="I13" s="11" t="s">
        <v>61</v>
      </c>
      <c r="J13" s="8" t="s">
        <v>117</v>
      </c>
      <c r="K13" s="9"/>
      <c r="L13" s="12" t="s">
        <v>561</v>
      </c>
      <c r="M13" s="9" t="s">
        <v>562</v>
      </c>
      <c r="N13" s="32" t="s">
        <v>505</v>
      </c>
      <c r="O13" s="32" t="s">
        <v>90</v>
      </c>
      <c r="P13" s="32" t="s">
        <v>94</v>
      </c>
      <c r="Q13" s="32" t="s">
        <v>94</v>
      </c>
      <c r="R13" s="32" t="s">
        <v>94</v>
      </c>
      <c r="S13" s="32" t="s">
        <v>506</v>
      </c>
      <c r="T13" s="8"/>
      <c r="U13" s="8" t="s">
        <v>107</v>
      </c>
      <c r="V13" s="8"/>
      <c r="W13" s="8"/>
      <c r="X13" s="12"/>
      <c r="Y13" s="41">
        <v>46162</v>
      </c>
      <c r="Z13" s="41">
        <v>46162</v>
      </c>
      <c r="AA13" s="41">
        <v>46164</v>
      </c>
      <c r="AB13" s="41">
        <v>46158</v>
      </c>
      <c r="AC13" s="41" t="s">
        <v>515</v>
      </c>
      <c r="AD13" s="41"/>
      <c r="AE13" s="41">
        <v>46165</v>
      </c>
      <c r="AF13" s="41">
        <v>46165</v>
      </c>
      <c r="AG13" s="41" t="s">
        <v>536</v>
      </c>
      <c r="AH13" s="41"/>
      <c r="AI13" s="41">
        <v>46170</v>
      </c>
      <c r="AJ13" s="41">
        <v>46170</v>
      </c>
      <c r="AK13" s="41" t="s">
        <v>563</v>
      </c>
      <c r="AL13" s="42" t="s">
        <v>509</v>
      </c>
      <c r="AM13" s="41">
        <v>46161</v>
      </c>
      <c r="AN13" s="27">
        <v>46210</v>
      </c>
      <c r="AO13" s="220">
        <v>46164</v>
      </c>
      <c r="AP13" s="220">
        <v>46165</v>
      </c>
      <c r="AQ13" s="220" t="s">
        <v>510</v>
      </c>
      <c r="AR13" s="8" t="s">
        <v>77</v>
      </c>
      <c r="AS13" s="220">
        <v>46170</v>
      </c>
      <c r="AT13" s="8" t="s">
        <v>77</v>
      </c>
      <c r="AU13" s="8"/>
    </row>
    <row r="14" spans="1:50" ht="19.95" customHeight="1">
      <c r="A14" s="37" t="s">
        <v>564</v>
      </c>
      <c r="B14" s="37" t="s">
        <v>565</v>
      </c>
      <c r="C14" s="37" t="s">
        <v>554</v>
      </c>
      <c r="D14" s="8" t="s">
        <v>11</v>
      </c>
      <c r="E14" s="10" t="s">
        <v>12</v>
      </c>
      <c r="F14" s="8">
        <v>20</v>
      </c>
      <c r="G14" s="10" t="s">
        <v>61</v>
      </c>
      <c r="H14" s="40" t="s">
        <v>560</v>
      </c>
      <c r="I14" s="11" t="s">
        <v>61</v>
      </c>
      <c r="J14" s="8" t="s">
        <v>117</v>
      </c>
      <c r="K14" s="9"/>
      <c r="L14" s="9" t="s">
        <v>566</v>
      </c>
      <c r="M14" s="9" t="s">
        <v>567</v>
      </c>
      <c r="N14" s="32" t="s">
        <v>505</v>
      </c>
      <c r="O14" s="32" t="s">
        <v>94</v>
      </c>
      <c r="P14" s="32" t="s">
        <v>94</v>
      </c>
      <c r="Q14" s="32" t="s">
        <v>94</v>
      </c>
      <c r="R14" s="32" t="s">
        <v>94</v>
      </c>
      <c r="S14" s="32" t="s">
        <v>506</v>
      </c>
      <c r="T14" s="8"/>
      <c r="U14" s="8" t="s">
        <v>107</v>
      </c>
      <c r="V14" s="8"/>
      <c r="W14" s="8"/>
      <c r="X14" s="12"/>
      <c r="Y14" s="41">
        <v>46158</v>
      </c>
      <c r="Z14" s="41">
        <v>46158</v>
      </c>
      <c r="AA14" s="41">
        <v>46160</v>
      </c>
      <c r="AB14" s="41">
        <v>46158</v>
      </c>
      <c r="AC14" s="41">
        <v>46160</v>
      </c>
      <c r="AD14" s="41"/>
      <c r="AE14" s="41">
        <v>46160</v>
      </c>
      <c r="AF14" s="41">
        <v>46160</v>
      </c>
      <c r="AG14" s="41" t="s">
        <v>536</v>
      </c>
      <c r="AH14" s="41"/>
      <c r="AI14" s="43">
        <v>46160</v>
      </c>
      <c r="AJ14" s="43">
        <v>46160</v>
      </c>
      <c r="AK14" s="43" t="s">
        <v>568</v>
      </c>
      <c r="AL14" s="43" t="s">
        <v>488</v>
      </c>
      <c r="AM14" s="43">
        <v>46158</v>
      </c>
      <c r="AN14" s="27">
        <v>46160</v>
      </c>
      <c r="AO14" s="27">
        <v>46160</v>
      </c>
      <c r="AP14" s="27">
        <v>46160</v>
      </c>
      <c r="AQ14" s="8" t="s">
        <v>510</v>
      </c>
      <c r="AR14" s="8" t="s">
        <v>77</v>
      </c>
      <c r="AS14" s="27">
        <v>46178</v>
      </c>
      <c r="AT14" s="8" t="s">
        <v>77</v>
      </c>
      <c r="AU14" s="27"/>
    </row>
    <row r="15" spans="1:50" ht="19.95" customHeight="1">
      <c r="A15" s="37" t="s">
        <v>569</v>
      </c>
      <c r="B15" s="37" t="s">
        <v>570</v>
      </c>
      <c r="C15" s="37" t="s">
        <v>554</v>
      </c>
      <c r="D15" s="8" t="s">
        <v>6</v>
      </c>
      <c r="E15" s="10" t="s">
        <v>12</v>
      </c>
      <c r="F15" s="8">
        <v>30</v>
      </c>
      <c r="G15" s="10" t="s">
        <v>61</v>
      </c>
      <c r="H15" s="40" t="s">
        <v>560</v>
      </c>
      <c r="I15" s="11" t="s">
        <v>87</v>
      </c>
      <c r="J15" s="8" t="s">
        <v>117</v>
      </c>
      <c r="K15" s="9"/>
      <c r="L15" s="9" t="s">
        <v>571</v>
      </c>
      <c r="M15" s="9" t="s">
        <v>572</v>
      </c>
      <c r="N15" s="32" t="s">
        <v>505</v>
      </c>
      <c r="O15" s="32" t="s">
        <v>90</v>
      </c>
      <c r="P15" s="32" t="s">
        <v>94</v>
      </c>
      <c r="Q15" s="32" t="s">
        <v>94</v>
      </c>
      <c r="R15" s="32" t="s">
        <v>94</v>
      </c>
      <c r="S15" s="32" t="s">
        <v>506</v>
      </c>
      <c r="T15" s="8"/>
      <c r="U15" s="8" t="s">
        <v>107</v>
      </c>
      <c r="V15" s="8"/>
      <c r="W15" s="8"/>
      <c r="X15" s="12"/>
      <c r="Y15" s="41">
        <v>46161</v>
      </c>
      <c r="Z15" s="41">
        <v>46161</v>
      </c>
      <c r="AA15" s="41">
        <v>46179</v>
      </c>
      <c r="AB15" s="41">
        <v>46151</v>
      </c>
      <c r="AC15" s="41" t="s">
        <v>515</v>
      </c>
      <c r="AD15" s="41"/>
      <c r="AE15" s="41">
        <v>46179</v>
      </c>
      <c r="AF15" s="41">
        <v>46179</v>
      </c>
      <c r="AG15" s="42" t="s">
        <v>573</v>
      </c>
      <c r="AH15" s="41"/>
      <c r="AI15" s="41">
        <v>46176</v>
      </c>
      <c r="AJ15" s="41">
        <v>46176</v>
      </c>
      <c r="AK15" s="41" t="s">
        <v>574</v>
      </c>
      <c r="AL15" s="42" t="s">
        <v>488</v>
      </c>
      <c r="AM15" s="41">
        <v>46161</v>
      </c>
      <c r="AN15" s="27" t="s">
        <v>476</v>
      </c>
      <c r="AO15" s="27">
        <v>46175</v>
      </c>
      <c r="AP15" s="27">
        <v>46181</v>
      </c>
      <c r="AQ15" s="8" t="s">
        <v>510</v>
      </c>
      <c r="AR15" s="8" t="s">
        <v>77</v>
      </c>
      <c r="AS15" s="220">
        <v>46184</v>
      </c>
      <c r="AT15" s="8" t="s">
        <v>77</v>
      </c>
      <c r="AU15" s="8"/>
    </row>
    <row r="16" spans="1:50" ht="19.95" customHeight="1">
      <c r="A16" s="37" t="s">
        <v>575</v>
      </c>
      <c r="B16" s="37" t="s">
        <v>576</v>
      </c>
      <c r="C16" s="37" t="s">
        <v>554</v>
      </c>
      <c r="D16" s="8" t="s">
        <v>6</v>
      </c>
      <c r="E16" s="10" t="s">
        <v>103</v>
      </c>
      <c r="F16" s="8">
        <v>30</v>
      </c>
      <c r="G16" s="10" t="s">
        <v>61</v>
      </c>
      <c r="H16" s="40" t="s">
        <v>560</v>
      </c>
      <c r="I16" s="11" t="s">
        <v>61</v>
      </c>
      <c r="J16" s="8" t="s">
        <v>117</v>
      </c>
      <c r="K16" s="9"/>
      <c r="L16" s="9" t="s">
        <v>577</v>
      </c>
      <c r="M16" s="9" t="s">
        <v>562</v>
      </c>
      <c r="N16" s="32" t="s">
        <v>505</v>
      </c>
      <c r="O16" s="32" t="s">
        <v>90</v>
      </c>
      <c r="P16" s="32" t="s">
        <v>94</v>
      </c>
      <c r="Q16" s="32" t="s">
        <v>94</v>
      </c>
      <c r="R16" s="32" t="s">
        <v>94</v>
      </c>
      <c r="S16" s="32" t="s">
        <v>506</v>
      </c>
      <c r="T16" s="8"/>
      <c r="U16" s="8" t="s">
        <v>107</v>
      </c>
      <c r="V16" s="8"/>
      <c r="W16" s="8"/>
      <c r="X16" s="12"/>
      <c r="Y16" s="41">
        <v>46158</v>
      </c>
      <c r="Z16" s="41">
        <v>46158</v>
      </c>
      <c r="AA16" s="41">
        <v>46170</v>
      </c>
      <c r="AB16" s="41">
        <v>46158</v>
      </c>
      <c r="AC16" s="41">
        <v>46163</v>
      </c>
      <c r="AD16" s="41"/>
      <c r="AE16" s="41">
        <v>46170</v>
      </c>
      <c r="AF16" s="41">
        <v>46170</v>
      </c>
      <c r="AG16" s="42" t="s">
        <v>573</v>
      </c>
      <c r="AH16" s="42"/>
      <c r="AI16" s="41">
        <v>46170</v>
      </c>
      <c r="AJ16" s="41">
        <v>46170</v>
      </c>
      <c r="AK16" s="42" t="s">
        <v>578</v>
      </c>
      <c r="AL16" s="42" t="s">
        <v>488</v>
      </c>
      <c r="AM16" s="41">
        <v>46158</v>
      </c>
      <c r="AN16" s="27" t="s">
        <v>476</v>
      </c>
      <c r="AO16" s="220">
        <v>46161</v>
      </c>
      <c r="AP16" s="220">
        <v>46170</v>
      </c>
      <c r="AQ16" s="27" t="s">
        <v>579</v>
      </c>
      <c r="AR16" s="8" t="s">
        <v>77</v>
      </c>
      <c r="AS16" s="220">
        <v>46189</v>
      </c>
      <c r="AT16" s="8" t="s">
        <v>77</v>
      </c>
      <c r="AU16" s="8"/>
    </row>
    <row r="17" spans="1:47" ht="19.95" customHeight="1">
      <c r="A17" s="37" t="s">
        <v>580</v>
      </c>
      <c r="B17" s="37" t="s">
        <v>581</v>
      </c>
      <c r="C17" s="37" t="s">
        <v>554</v>
      </c>
      <c r="D17" s="8" t="s">
        <v>6</v>
      </c>
      <c r="E17" s="10" t="s">
        <v>12</v>
      </c>
      <c r="F17" s="8">
        <v>30</v>
      </c>
      <c r="G17" s="10" t="s">
        <v>61</v>
      </c>
      <c r="H17" s="40" t="s">
        <v>560</v>
      </c>
      <c r="I17" s="11" t="s">
        <v>61</v>
      </c>
      <c r="J17" s="8" t="s">
        <v>117</v>
      </c>
      <c r="K17" s="9"/>
      <c r="L17" s="12" t="s">
        <v>582</v>
      </c>
      <c r="M17" s="9" t="s">
        <v>583</v>
      </c>
      <c r="N17" s="32" t="s">
        <v>505</v>
      </c>
      <c r="O17" s="32" t="s">
        <v>90</v>
      </c>
      <c r="P17" s="32" t="s">
        <v>94</v>
      </c>
      <c r="Q17" s="32" t="s">
        <v>94</v>
      </c>
      <c r="R17" s="32" t="s">
        <v>94</v>
      </c>
      <c r="S17" s="32" t="s">
        <v>506</v>
      </c>
      <c r="T17" s="8"/>
      <c r="U17" s="8" t="s">
        <v>107</v>
      </c>
      <c r="V17" s="8"/>
      <c r="W17" s="8"/>
      <c r="X17" s="12"/>
      <c r="Y17" s="41">
        <v>46184</v>
      </c>
      <c r="Z17" s="41">
        <v>46184</v>
      </c>
      <c r="AA17" s="41">
        <v>46187</v>
      </c>
      <c r="AB17" s="41">
        <v>46158</v>
      </c>
      <c r="AC17" s="41">
        <v>46193</v>
      </c>
      <c r="AD17" s="41"/>
      <c r="AE17" s="41">
        <v>46193</v>
      </c>
      <c r="AF17" s="41">
        <v>46193</v>
      </c>
      <c r="AG17" s="41" t="s">
        <v>516</v>
      </c>
      <c r="AH17" s="43"/>
      <c r="AI17" s="41">
        <v>46186</v>
      </c>
      <c r="AJ17" s="41">
        <v>46190</v>
      </c>
      <c r="AK17" s="41" t="s">
        <v>578</v>
      </c>
      <c r="AL17" s="42" t="s">
        <v>488</v>
      </c>
      <c r="AM17" s="226" t="s">
        <v>476</v>
      </c>
      <c r="AN17" s="27" t="s">
        <v>77</v>
      </c>
      <c r="AO17" s="27">
        <v>46187</v>
      </c>
      <c r="AP17" s="27">
        <v>46188</v>
      </c>
      <c r="AQ17" s="27" t="s">
        <v>579</v>
      </c>
      <c r="AR17" s="27" t="s">
        <v>77</v>
      </c>
      <c r="AS17" s="27">
        <v>46198</v>
      </c>
      <c r="AT17" s="27" t="s">
        <v>77</v>
      </c>
      <c r="AU17" s="8"/>
    </row>
    <row r="18" spans="1:47" ht="19.95" customHeight="1">
      <c r="A18" s="37" t="s">
        <v>584</v>
      </c>
      <c r="B18" s="37" t="s">
        <v>585</v>
      </c>
      <c r="C18" s="37" t="s">
        <v>554</v>
      </c>
      <c r="D18" s="8" t="s">
        <v>6</v>
      </c>
      <c r="E18" s="10" t="s">
        <v>144</v>
      </c>
      <c r="F18" s="8">
        <v>30</v>
      </c>
      <c r="G18" s="10" t="s">
        <v>61</v>
      </c>
      <c r="H18" s="40" t="s">
        <v>560</v>
      </c>
      <c r="I18" s="11" t="s">
        <v>61</v>
      </c>
      <c r="J18" s="8" t="s">
        <v>117</v>
      </c>
      <c r="K18" s="9"/>
      <c r="L18" s="9" t="s">
        <v>586</v>
      </c>
      <c r="M18" s="9" t="s">
        <v>587</v>
      </c>
      <c r="N18" s="32" t="s">
        <v>505</v>
      </c>
      <c r="O18" s="32" t="s">
        <v>90</v>
      </c>
      <c r="P18" s="32" t="s">
        <v>94</v>
      </c>
      <c r="Q18" s="32" t="s">
        <v>94</v>
      </c>
      <c r="R18" s="32" t="s">
        <v>94</v>
      </c>
      <c r="S18" s="32" t="s">
        <v>506</v>
      </c>
      <c r="T18" s="8"/>
      <c r="U18" s="8" t="s">
        <v>107</v>
      </c>
      <c r="V18" s="8"/>
      <c r="W18" s="8"/>
      <c r="X18" s="12"/>
      <c r="Y18" s="41">
        <v>46176</v>
      </c>
      <c r="Z18" s="41">
        <v>46176</v>
      </c>
      <c r="AA18" s="41">
        <v>46190</v>
      </c>
      <c r="AB18" s="41">
        <v>46158</v>
      </c>
      <c r="AC18" s="41" t="s">
        <v>515</v>
      </c>
      <c r="AD18" s="41"/>
      <c r="AE18" s="43">
        <v>46190</v>
      </c>
      <c r="AF18" s="41">
        <v>46191</v>
      </c>
      <c r="AG18" s="43" t="s">
        <v>487</v>
      </c>
      <c r="AH18" s="43"/>
      <c r="AI18" s="43">
        <v>46180</v>
      </c>
      <c r="AJ18" s="43">
        <v>46180</v>
      </c>
      <c r="AK18" s="43" t="s">
        <v>557</v>
      </c>
      <c r="AL18" s="227" t="s">
        <v>144</v>
      </c>
      <c r="AM18" s="43">
        <v>46176</v>
      </c>
      <c r="AN18" s="27">
        <v>46209</v>
      </c>
      <c r="AO18" s="27">
        <v>46190</v>
      </c>
      <c r="AP18" s="27">
        <v>46190</v>
      </c>
      <c r="AQ18" s="27" t="s">
        <v>510</v>
      </c>
      <c r="AR18" s="27" t="s">
        <v>77</v>
      </c>
      <c r="AS18" s="27" t="s">
        <v>476</v>
      </c>
      <c r="AT18" s="27" t="s">
        <v>77</v>
      </c>
      <c r="AU18" s="223"/>
    </row>
    <row r="19" spans="1:47" ht="19.95" customHeight="1">
      <c r="A19" s="37" t="s">
        <v>588</v>
      </c>
      <c r="B19" s="37" t="s">
        <v>589</v>
      </c>
      <c r="C19" s="37" t="s">
        <v>554</v>
      </c>
      <c r="D19" s="8" t="s">
        <v>6</v>
      </c>
      <c r="E19" s="10" t="s">
        <v>9</v>
      </c>
      <c r="F19" s="8">
        <v>20</v>
      </c>
      <c r="G19" s="10" t="s">
        <v>61</v>
      </c>
      <c r="H19" s="40" t="s">
        <v>590</v>
      </c>
      <c r="I19" s="11" t="s">
        <v>61</v>
      </c>
      <c r="J19" s="8" t="s">
        <v>117</v>
      </c>
      <c r="K19" s="9"/>
      <c r="L19" s="12" t="s">
        <v>591</v>
      </c>
      <c r="M19" s="9" t="s">
        <v>592</v>
      </c>
      <c r="N19" s="32" t="s">
        <v>505</v>
      </c>
      <c r="O19" s="32" t="s">
        <v>94</v>
      </c>
      <c r="P19" s="32" t="s">
        <v>94</v>
      </c>
      <c r="Q19" s="32" t="s">
        <v>94</v>
      </c>
      <c r="R19" s="32" t="s">
        <v>94</v>
      </c>
      <c r="S19" s="32" t="s">
        <v>506</v>
      </c>
      <c r="T19" s="8"/>
      <c r="U19" s="8" t="s">
        <v>107</v>
      </c>
      <c r="V19" s="8"/>
      <c r="W19" s="8"/>
      <c r="X19" s="12"/>
      <c r="Y19" s="41">
        <v>46184</v>
      </c>
      <c r="Z19" s="41">
        <v>46184</v>
      </c>
      <c r="AA19" s="41">
        <v>46187</v>
      </c>
      <c r="AB19" s="41">
        <v>46169</v>
      </c>
      <c r="AC19" s="41" t="s">
        <v>515</v>
      </c>
      <c r="AD19" s="41"/>
      <c r="AE19" s="41">
        <v>46191</v>
      </c>
      <c r="AF19" s="41">
        <v>46191</v>
      </c>
      <c r="AG19" s="41" t="s">
        <v>536</v>
      </c>
      <c r="AH19" s="43"/>
      <c r="AI19" s="41"/>
      <c r="AJ19" s="41"/>
      <c r="AK19" s="43" t="s">
        <v>557</v>
      </c>
      <c r="AL19" s="42" t="s">
        <v>422</v>
      </c>
      <c r="AM19" s="41">
        <v>46184</v>
      </c>
      <c r="AN19" s="27">
        <v>46209</v>
      </c>
      <c r="AO19" s="27">
        <v>46187</v>
      </c>
      <c r="AP19" s="27">
        <v>46190</v>
      </c>
      <c r="AQ19" s="27" t="s">
        <v>510</v>
      </c>
      <c r="AR19" s="27" t="s">
        <v>77</v>
      </c>
      <c r="AS19" s="27">
        <v>46195</v>
      </c>
      <c r="AT19" s="27" t="s">
        <v>77</v>
      </c>
      <c r="AU19" s="8"/>
    </row>
    <row r="20" spans="1:47" ht="19.95" customHeight="1">
      <c r="A20" s="37" t="s">
        <v>593</v>
      </c>
      <c r="B20" s="37" t="s">
        <v>594</v>
      </c>
      <c r="C20" s="37" t="s">
        <v>554</v>
      </c>
      <c r="D20" s="8" t="s">
        <v>6</v>
      </c>
      <c r="E20" s="10" t="s">
        <v>9</v>
      </c>
      <c r="F20" s="8">
        <v>30</v>
      </c>
      <c r="G20" s="10" t="s">
        <v>61</v>
      </c>
      <c r="H20" s="40" t="s">
        <v>560</v>
      </c>
      <c r="I20" s="11" t="s">
        <v>87</v>
      </c>
      <c r="J20" s="8" t="s">
        <v>117</v>
      </c>
      <c r="K20" s="9"/>
      <c r="L20" s="9" t="s">
        <v>595</v>
      </c>
      <c r="M20" s="9" t="s">
        <v>562</v>
      </c>
      <c r="N20" s="32" t="s">
        <v>505</v>
      </c>
      <c r="O20" s="32" t="s">
        <v>90</v>
      </c>
      <c r="P20" s="32" t="s">
        <v>94</v>
      </c>
      <c r="Q20" s="32" t="s">
        <v>94</v>
      </c>
      <c r="R20" s="32" t="s">
        <v>94</v>
      </c>
      <c r="S20" s="32" t="s">
        <v>506</v>
      </c>
      <c r="T20" s="8"/>
      <c r="U20" s="8" t="s">
        <v>107</v>
      </c>
      <c r="V20" s="8"/>
      <c r="W20" s="8"/>
      <c r="X20" s="12"/>
      <c r="Y20" s="41">
        <v>46160</v>
      </c>
      <c r="Z20" s="41">
        <v>46160</v>
      </c>
      <c r="AA20" s="41">
        <v>46176</v>
      </c>
      <c r="AB20" s="41">
        <v>46158</v>
      </c>
      <c r="AC20" s="41" t="s">
        <v>515</v>
      </c>
      <c r="AD20" s="41"/>
      <c r="AE20" s="41">
        <v>46176</v>
      </c>
      <c r="AF20" s="41">
        <v>46178</v>
      </c>
      <c r="AG20" s="41" t="s">
        <v>487</v>
      </c>
      <c r="AH20" s="41"/>
      <c r="AI20" s="41">
        <v>46175</v>
      </c>
      <c r="AJ20" s="41">
        <v>46175</v>
      </c>
      <c r="AK20" s="41" t="s">
        <v>578</v>
      </c>
      <c r="AL20" s="42" t="s">
        <v>488</v>
      </c>
      <c r="AM20" s="41">
        <v>46160</v>
      </c>
      <c r="AN20" s="27" t="s">
        <v>476</v>
      </c>
      <c r="AO20" s="27">
        <v>46176</v>
      </c>
      <c r="AP20" s="27">
        <v>46178</v>
      </c>
      <c r="AQ20" s="8" t="s">
        <v>510</v>
      </c>
      <c r="AR20" s="8" t="s">
        <v>77</v>
      </c>
      <c r="AS20" s="220">
        <v>46184</v>
      </c>
      <c r="AT20" s="8" t="s">
        <v>77</v>
      </c>
      <c r="AU20" s="8"/>
    </row>
    <row r="21" spans="1:47" ht="19.95" customHeight="1">
      <c r="A21" s="228" t="s">
        <v>596</v>
      </c>
      <c r="B21" s="9" t="s">
        <v>597</v>
      </c>
      <c r="C21" s="37" t="s">
        <v>554</v>
      </c>
      <c r="D21" s="8" t="s">
        <v>6</v>
      </c>
      <c r="E21" s="10" t="s">
        <v>9</v>
      </c>
      <c r="F21" s="8">
        <v>20</v>
      </c>
      <c r="G21" s="10" t="s">
        <v>61</v>
      </c>
      <c r="H21" s="225" t="s">
        <v>7</v>
      </c>
      <c r="I21" s="10" t="s">
        <v>7</v>
      </c>
      <c r="J21" s="8" t="s">
        <v>117</v>
      </c>
      <c r="K21" s="9"/>
      <c r="L21" s="12" t="s">
        <v>598</v>
      </c>
      <c r="M21" s="9" t="s">
        <v>599</v>
      </c>
      <c r="N21" s="32" t="s">
        <v>505</v>
      </c>
      <c r="O21" s="32" t="s">
        <v>94</v>
      </c>
      <c r="P21" s="32" t="s">
        <v>94</v>
      </c>
      <c r="Q21" s="32" t="s">
        <v>94</v>
      </c>
      <c r="R21" s="32" t="s">
        <v>76</v>
      </c>
      <c r="S21" s="32" t="s">
        <v>506</v>
      </c>
      <c r="T21" s="8"/>
      <c r="U21" s="8" t="s">
        <v>547</v>
      </c>
      <c r="V21" s="8"/>
      <c r="W21" s="8"/>
      <c r="X21" s="12"/>
      <c r="Y21" s="41">
        <v>46183</v>
      </c>
      <c r="Z21" s="41">
        <v>46183</v>
      </c>
      <c r="AA21" s="41">
        <v>46186</v>
      </c>
      <c r="AB21" s="41">
        <v>46169</v>
      </c>
      <c r="AC21" s="41">
        <v>46198</v>
      </c>
      <c r="AD21" s="41"/>
      <c r="AE21" s="41">
        <v>46189</v>
      </c>
      <c r="AF21" s="41">
        <v>46191</v>
      </c>
      <c r="AG21" s="42" t="s">
        <v>525</v>
      </c>
      <c r="AH21" s="43"/>
      <c r="AI21" s="41"/>
      <c r="AJ21" s="42"/>
      <c r="AK21" s="42" t="s">
        <v>526</v>
      </c>
      <c r="AL21" s="42" t="s">
        <v>422</v>
      </c>
      <c r="AM21" s="41">
        <v>46183</v>
      </c>
      <c r="AN21" s="27" t="s">
        <v>476</v>
      </c>
      <c r="AO21" s="8" t="s">
        <v>76</v>
      </c>
      <c r="AP21" s="8" t="s">
        <v>76</v>
      </c>
      <c r="AQ21" s="27" t="s">
        <v>510</v>
      </c>
      <c r="AR21" s="27" t="s">
        <v>77</v>
      </c>
      <c r="AS21" s="27">
        <v>46198</v>
      </c>
      <c r="AT21" s="27" t="s">
        <v>77</v>
      </c>
      <c r="AU21" s="8"/>
    </row>
    <row r="22" spans="1:47" ht="19.95" customHeight="1">
      <c r="A22" s="37" t="s">
        <v>600</v>
      </c>
      <c r="B22" s="37" t="s">
        <v>601</v>
      </c>
      <c r="C22" s="37" t="s">
        <v>554</v>
      </c>
      <c r="D22" s="8" t="s">
        <v>6</v>
      </c>
      <c r="E22" s="10" t="s">
        <v>12</v>
      </c>
      <c r="F22" s="8">
        <v>30</v>
      </c>
      <c r="G22" s="10" t="s">
        <v>61</v>
      </c>
      <c r="H22" s="40" t="s">
        <v>560</v>
      </c>
      <c r="I22" s="11" t="s">
        <v>87</v>
      </c>
      <c r="J22" s="8" t="s">
        <v>117</v>
      </c>
      <c r="K22" s="9"/>
      <c r="L22" s="12" t="s">
        <v>602</v>
      </c>
      <c r="M22" s="9" t="s">
        <v>603</v>
      </c>
      <c r="N22" s="32" t="s">
        <v>505</v>
      </c>
      <c r="O22" s="32" t="s">
        <v>90</v>
      </c>
      <c r="P22" s="32" t="s">
        <v>94</v>
      </c>
      <c r="Q22" s="32" t="s">
        <v>94</v>
      </c>
      <c r="R22" s="32" t="s">
        <v>94</v>
      </c>
      <c r="S22" s="32" t="s">
        <v>506</v>
      </c>
      <c r="T22" s="8"/>
      <c r="U22" s="8" t="s">
        <v>107</v>
      </c>
      <c r="V22" s="8"/>
      <c r="W22" s="8"/>
      <c r="X22" s="12"/>
      <c r="Y22" s="41">
        <v>46152</v>
      </c>
      <c r="Z22" s="41">
        <v>46152</v>
      </c>
      <c r="AA22" s="41">
        <v>46183</v>
      </c>
      <c r="AB22" s="41">
        <v>46161</v>
      </c>
      <c r="AC22" s="41">
        <v>46198</v>
      </c>
      <c r="AD22" s="41"/>
      <c r="AE22" s="41">
        <v>46189</v>
      </c>
      <c r="AF22" s="41">
        <v>46189</v>
      </c>
      <c r="AG22" s="42" t="s">
        <v>536</v>
      </c>
      <c r="AH22" s="41"/>
      <c r="AI22" s="41">
        <v>46189</v>
      </c>
      <c r="AJ22" s="41">
        <v>46189</v>
      </c>
      <c r="AK22" s="42" t="s">
        <v>487</v>
      </c>
      <c r="AL22" s="42" t="s">
        <v>488</v>
      </c>
      <c r="AM22" s="41">
        <v>46152</v>
      </c>
      <c r="AN22" s="27" t="s">
        <v>476</v>
      </c>
      <c r="AO22" s="27">
        <v>46189</v>
      </c>
      <c r="AP22" s="220">
        <v>46203</v>
      </c>
      <c r="AQ22" s="8" t="s">
        <v>510</v>
      </c>
      <c r="AR22" s="8" t="s">
        <v>77</v>
      </c>
      <c r="AS22" s="8" t="s">
        <v>476</v>
      </c>
      <c r="AT22" s="8" t="s">
        <v>77</v>
      </c>
      <c r="AU22" s="8"/>
    </row>
    <row r="23" spans="1:47" ht="19.95" customHeight="1">
      <c r="A23" s="37" t="s">
        <v>604</v>
      </c>
      <c r="B23" s="37" t="s">
        <v>605</v>
      </c>
      <c r="C23" s="37" t="s">
        <v>606</v>
      </c>
      <c r="D23" s="8" t="s">
        <v>11</v>
      </c>
      <c r="E23" s="10" t="s">
        <v>9</v>
      </c>
      <c r="F23" s="8">
        <v>20</v>
      </c>
      <c r="G23" s="10" t="s">
        <v>61</v>
      </c>
      <c r="H23" s="40" t="s">
        <v>560</v>
      </c>
      <c r="I23" s="11" t="s">
        <v>61</v>
      </c>
      <c r="J23" s="8" t="s">
        <v>117</v>
      </c>
      <c r="K23" s="9"/>
      <c r="L23" s="12" t="s">
        <v>607</v>
      </c>
      <c r="M23" s="9" t="s">
        <v>608</v>
      </c>
      <c r="N23" s="32" t="s">
        <v>505</v>
      </c>
      <c r="O23" s="32" t="s">
        <v>94</v>
      </c>
      <c r="P23" s="32" t="s">
        <v>94</v>
      </c>
      <c r="Q23" s="32" t="s">
        <v>94</v>
      </c>
      <c r="R23" s="32" t="s">
        <v>94</v>
      </c>
      <c r="S23" s="32" t="s">
        <v>506</v>
      </c>
      <c r="T23" s="8"/>
      <c r="U23" s="8" t="s">
        <v>107</v>
      </c>
      <c r="V23" s="8"/>
      <c r="W23" s="8"/>
      <c r="X23" s="12"/>
      <c r="Y23" s="41">
        <v>46177</v>
      </c>
      <c r="Z23" s="41">
        <v>46177</v>
      </c>
      <c r="AA23" s="41">
        <v>46179</v>
      </c>
      <c r="AB23" s="41">
        <v>46157</v>
      </c>
      <c r="AC23" s="41">
        <v>46195</v>
      </c>
      <c r="AD23" s="41"/>
      <c r="AE23" s="41">
        <v>46193</v>
      </c>
      <c r="AF23" s="41">
        <v>46194</v>
      </c>
      <c r="AG23" s="41" t="s">
        <v>487</v>
      </c>
      <c r="AH23" s="43"/>
      <c r="AI23" s="41">
        <v>46182</v>
      </c>
      <c r="AJ23" s="41">
        <v>46182</v>
      </c>
      <c r="AK23" s="41" t="s">
        <v>531</v>
      </c>
      <c r="AL23" s="42" t="s">
        <v>531</v>
      </c>
      <c r="AM23" s="41">
        <v>46177</v>
      </c>
      <c r="AN23" s="27">
        <v>46209</v>
      </c>
      <c r="AO23" s="27">
        <v>46183</v>
      </c>
      <c r="AP23" s="27">
        <v>46183</v>
      </c>
      <c r="AQ23" s="27" t="s">
        <v>510</v>
      </c>
      <c r="AR23" s="27" t="s">
        <v>77</v>
      </c>
      <c r="AS23" s="27">
        <v>46210</v>
      </c>
      <c r="AT23" s="27" t="s">
        <v>77</v>
      </c>
      <c r="AU23" s="8"/>
    </row>
    <row r="24" spans="1:47" ht="19.95" customHeight="1">
      <c r="A24" s="37" t="s">
        <v>610</v>
      </c>
      <c r="B24" s="37" t="s">
        <v>611</v>
      </c>
      <c r="C24" s="37" t="s">
        <v>554</v>
      </c>
      <c r="D24" s="8" t="s">
        <v>6</v>
      </c>
      <c r="E24" s="10" t="s">
        <v>12</v>
      </c>
      <c r="F24" s="8">
        <v>30</v>
      </c>
      <c r="G24" s="10" t="s">
        <v>61</v>
      </c>
      <c r="H24" s="225" t="s">
        <v>7</v>
      </c>
      <c r="I24" s="10" t="s">
        <v>7</v>
      </c>
      <c r="J24" s="8" t="s">
        <v>117</v>
      </c>
      <c r="K24" s="229"/>
      <c r="L24" s="12" t="s">
        <v>612</v>
      </c>
      <c r="M24" s="9" t="s">
        <v>613</v>
      </c>
      <c r="N24" s="32" t="s">
        <v>505</v>
      </c>
      <c r="O24" s="32" t="s">
        <v>90</v>
      </c>
      <c r="P24" s="32" t="s">
        <v>94</v>
      </c>
      <c r="Q24" s="32" t="s">
        <v>94</v>
      </c>
      <c r="R24" s="32" t="s">
        <v>76</v>
      </c>
      <c r="S24" s="32" t="s">
        <v>506</v>
      </c>
      <c r="T24" s="8"/>
      <c r="U24" s="8" t="s">
        <v>547</v>
      </c>
      <c r="V24" s="8"/>
      <c r="W24" s="8"/>
      <c r="X24" s="12"/>
      <c r="Y24" s="41">
        <v>46192</v>
      </c>
      <c r="Z24" s="41">
        <v>46192</v>
      </c>
      <c r="AA24" s="41">
        <v>46194</v>
      </c>
      <c r="AB24" s="41">
        <v>46169</v>
      </c>
      <c r="AC24" s="41">
        <v>46194</v>
      </c>
      <c r="AD24" s="41"/>
      <c r="AE24" s="41">
        <v>46198</v>
      </c>
      <c r="AF24" s="41">
        <v>46198</v>
      </c>
      <c r="AG24" s="42" t="s">
        <v>487</v>
      </c>
      <c r="AH24" s="42"/>
      <c r="AI24" s="41">
        <v>46194</v>
      </c>
      <c r="AJ24" s="41">
        <v>46194</v>
      </c>
      <c r="AK24" s="42" t="s">
        <v>508</v>
      </c>
      <c r="AL24" s="42" t="s">
        <v>422</v>
      </c>
      <c r="AM24" s="41">
        <v>46192</v>
      </c>
      <c r="AN24" s="27">
        <v>46212</v>
      </c>
      <c r="AO24" s="8" t="s">
        <v>76</v>
      </c>
      <c r="AP24" s="8" t="s">
        <v>76</v>
      </c>
      <c r="AQ24" s="8" t="s">
        <v>510</v>
      </c>
      <c r="AR24" s="8" t="s">
        <v>77</v>
      </c>
      <c r="AS24" s="220">
        <v>46219</v>
      </c>
      <c r="AT24" s="8" t="s">
        <v>77</v>
      </c>
      <c r="AU24" s="8"/>
    </row>
    <row r="25" spans="1:47" ht="19.95" customHeight="1">
      <c r="A25" s="37" t="s">
        <v>614</v>
      </c>
      <c r="B25" s="37" t="s">
        <v>615</v>
      </c>
      <c r="C25" s="37" t="s">
        <v>554</v>
      </c>
      <c r="D25" s="8" t="s">
        <v>6</v>
      </c>
      <c r="E25" s="10" t="s">
        <v>9</v>
      </c>
      <c r="F25" s="8">
        <v>30</v>
      </c>
      <c r="G25" s="10" t="s">
        <v>61</v>
      </c>
      <c r="H25" s="230" t="s">
        <v>616</v>
      </c>
      <c r="I25" s="11" t="s">
        <v>91</v>
      </c>
      <c r="J25" s="8" t="s">
        <v>117</v>
      </c>
      <c r="K25" s="9"/>
      <c r="L25" s="12" t="s">
        <v>617</v>
      </c>
      <c r="M25" s="9" t="s">
        <v>618</v>
      </c>
      <c r="N25" s="32" t="s">
        <v>505</v>
      </c>
      <c r="O25" s="32" t="s">
        <v>90</v>
      </c>
      <c r="P25" s="32" t="s">
        <v>94</v>
      </c>
      <c r="Q25" s="32" t="s">
        <v>94</v>
      </c>
      <c r="R25" s="32" t="s">
        <v>94</v>
      </c>
      <c r="S25" s="32" t="s">
        <v>506</v>
      </c>
      <c r="T25" s="8"/>
      <c r="U25" s="8" t="s">
        <v>107</v>
      </c>
      <c r="V25" s="8"/>
      <c r="W25" s="8"/>
      <c r="X25" s="12"/>
      <c r="Y25" s="41">
        <v>46173</v>
      </c>
      <c r="Z25" s="41">
        <v>46173</v>
      </c>
      <c r="AA25" s="41">
        <v>46182</v>
      </c>
      <c r="AB25" s="41">
        <v>46158</v>
      </c>
      <c r="AC25" s="41">
        <v>46197</v>
      </c>
      <c r="AD25" s="41"/>
      <c r="AE25" s="41">
        <v>46199</v>
      </c>
      <c r="AF25" s="41">
        <v>46199</v>
      </c>
      <c r="AG25" s="42" t="s">
        <v>619</v>
      </c>
      <c r="AH25" s="41"/>
      <c r="AI25" s="41">
        <v>46196</v>
      </c>
      <c r="AJ25" s="42"/>
      <c r="AK25" s="42" t="s">
        <v>508</v>
      </c>
      <c r="AL25" s="42" t="s">
        <v>422</v>
      </c>
      <c r="AM25" s="41">
        <v>46173</v>
      </c>
      <c r="AN25" s="27" t="s">
        <v>77</v>
      </c>
      <c r="AO25" s="27">
        <v>46197</v>
      </c>
      <c r="AP25" s="27">
        <v>46197</v>
      </c>
      <c r="AQ25" s="27" t="s">
        <v>510</v>
      </c>
      <c r="AR25" s="27" t="s">
        <v>77</v>
      </c>
      <c r="AS25" s="27">
        <v>46219</v>
      </c>
      <c r="AT25" s="27" t="s">
        <v>77</v>
      </c>
      <c r="AU25" s="8"/>
    </row>
    <row r="26" spans="1:47" ht="19.95" customHeight="1">
      <c r="A26" s="9" t="s">
        <v>620</v>
      </c>
      <c r="B26" s="9" t="s">
        <v>621</v>
      </c>
      <c r="C26" s="37" t="s">
        <v>554</v>
      </c>
      <c r="D26" s="8" t="s">
        <v>6</v>
      </c>
      <c r="E26" s="10" t="s">
        <v>9</v>
      </c>
      <c r="F26" s="8">
        <v>25</v>
      </c>
      <c r="G26" s="10" t="s">
        <v>61</v>
      </c>
      <c r="H26" s="40" t="s">
        <v>560</v>
      </c>
      <c r="I26" s="10" t="s">
        <v>61</v>
      </c>
      <c r="J26" s="8" t="s">
        <v>117</v>
      </c>
      <c r="K26" s="231"/>
      <c r="L26" s="9" t="s">
        <v>622</v>
      </c>
      <c r="M26" s="9" t="s">
        <v>623</v>
      </c>
      <c r="N26" s="32" t="s">
        <v>505</v>
      </c>
      <c r="O26" s="32" t="s">
        <v>90</v>
      </c>
      <c r="P26" s="32" t="s">
        <v>94</v>
      </c>
      <c r="Q26" s="32" t="s">
        <v>94</v>
      </c>
      <c r="R26" s="232"/>
      <c r="S26" s="32" t="s">
        <v>506</v>
      </c>
      <c r="T26" s="8"/>
      <c r="U26" s="8" t="s">
        <v>107</v>
      </c>
      <c r="V26" s="8"/>
      <c r="W26" s="8"/>
      <c r="X26" s="12"/>
      <c r="Y26" s="41">
        <v>46197</v>
      </c>
      <c r="Z26" s="41">
        <v>46197</v>
      </c>
      <c r="AA26" s="41">
        <v>46198</v>
      </c>
      <c r="AB26" s="41">
        <v>46169</v>
      </c>
      <c r="AC26" s="41">
        <v>46205</v>
      </c>
      <c r="AD26" s="41"/>
      <c r="AE26" s="41">
        <v>46205</v>
      </c>
      <c r="AF26" s="41">
        <v>46205</v>
      </c>
      <c r="AG26" s="42" t="s">
        <v>573</v>
      </c>
      <c r="AH26" s="42"/>
      <c r="AI26" s="42"/>
      <c r="AJ26" s="42"/>
      <c r="AK26" s="42" t="s">
        <v>508</v>
      </c>
      <c r="AL26" s="42" t="s">
        <v>422</v>
      </c>
      <c r="AM26" s="41">
        <v>46197</v>
      </c>
      <c r="AN26" s="27" t="s">
        <v>77</v>
      </c>
      <c r="AO26" s="8" t="s">
        <v>76</v>
      </c>
      <c r="AP26" s="8" t="s">
        <v>76</v>
      </c>
      <c r="AQ26" s="27" t="s">
        <v>579</v>
      </c>
      <c r="AR26" s="27" t="s">
        <v>77</v>
      </c>
      <c r="AS26" s="27">
        <v>46219</v>
      </c>
      <c r="AT26" s="27" t="s">
        <v>77</v>
      </c>
      <c r="AU26" s="8"/>
    </row>
    <row r="27" spans="1:47" ht="19.95" customHeight="1">
      <c r="A27" s="37" t="s">
        <v>624</v>
      </c>
      <c r="B27" s="37" t="s">
        <v>625</v>
      </c>
      <c r="C27" s="37" t="s">
        <v>554</v>
      </c>
      <c r="D27" s="8" t="s">
        <v>6</v>
      </c>
      <c r="E27" s="10" t="s">
        <v>12</v>
      </c>
      <c r="F27" s="8">
        <v>20</v>
      </c>
      <c r="G27" s="10" t="s">
        <v>61</v>
      </c>
      <c r="H27" s="40" t="s">
        <v>590</v>
      </c>
      <c r="I27" s="11" t="s">
        <v>61</v>
      </c>
      <c r="J27" s="8" t="s">
        <v>117</v>
      </c>
      <c r="K27" s="9"/>
      <c r="L27" s="12" t="s">
        <v>626</v>
      </c>
      <c r="M27" s="9" t="s">
        <v>627</v>
      </c>
      <c r="N27" s="32" t="s">
        <v>505</v>
      </c>
      <c r="O27" s="32" t="s">
        <v>94</v>
      </c>
      <c r="P27" s="32" t="s">
        <v>94</v>
      </c>
      <c r="Q27" s="32" t="s">
        <v>94</v>
      </c>
      <c r="R27" s="32" t="s">
        <v>94</v>
      </c>
      <c r="S27" s="32" t="s">
        <v>506</v>
      </c>
      <c r="T27" s="8"/>
      <c r="U27" s="8" t="s">
        <v>107</v>
      </c>
      <c r="V27" s="8"/>
      <c r="W27" s="8"/>
      <c r="X27" s="12"/>
      <c r="Y27" s="41">
        <v>46179</v>
      </c>
      <c r="Z27" s="41">
        <v>46179</v>
      </c>
      <c r="AA27" s="41">
        <v>46200</v>
      </c>
      <c r="AB27" s="41">
        <v>46158</v>
      </c>
      <c r="AC27" s="41">
        <v>46206</v>
      </c>
      <c r="AD27" s="41"/>
      <c r="AE27" s="41">
        <v>46200</v>
      </c>
      <c r="AF27" s="41">
        <v>46200</v>
      </c>
      <c r="AG27" s="41" t="s">
        <v>516</v>
      </c>
      <c r="AH27" s="41"/>
      <c r="AI27" s="41"/>
      <c r="AJ27" s="41">
        <v>46204</v>
      </c>
      <c r="AK27" s="41" t="s">
        <v>629</v>
      </c>
      <c r="AL27" s="42" t="s">
        <v>488</v>
      </c>
      <c r="AM27" s="41">
        <v>46179</v>
      </c>
      <c r="AN27" s="27">
        <v>46210</v>
      </c>
      <c r="AO27" s="27">
        <v>46200</v>
      </c>
      <c r="AP27" s="27">
        <v>46200</v>
      </c>
      <c r="AQ27" s="27" t="s">
        <v>579</v>
      </c>
      <c r="AR27" s="27" t="s">
        <v>77</v>
      </c>
      <c r="AS27" s="27">
        <v>46219</v>
      </c>
      <c r="AT27" s="27" t="s">
        <v>77</v>
      </c>
      <c r="AU27" s="8"/>
    </row>
    <row r="28" spans="1:47" ht="19.95" customHeight="1">
      <c r="A28" s="9" t="s">
        <v>630</v>
      </c>
      <c r="B28" s="9" t="s">
        <v>631</v>
      </c>
      <c r="C28" s="37" t="s">
        <v>554</v>
      </c>
      <c r="D28" s="8" t="s">
        <v>6</v>
      </c>
      <c r="E28" s="10" t="s">
        <v>144</v>
      </c>
      <c r="F28" s="8">
        <v>20</v>
      </c>
      <c r="G28" s="10" t="s">
        <v>61</v>
      </c>
      <c r="H28" s="40" t="s">
        <v>560</v>
      </c>
      <c r="I28" s="10" t="s">
        <v>61</v>
      </c>
      <c r="J28" s="8" t="s">
        <v>117</v>
      </c>
      <c r="K28" s="231"/>
      <c r="L28" s="12" t="s">
        <v>632</v>
      </c>
      <c r="M28" s="9" t="s">
        <v>627</v>
      </c>
      <c r="N28" s="32" t="s">
        <v>505</v>
      </c>
      <c r="O28" s="32" t="s">
        <v>94</v>
      </c>
      <c r="P28" s="32" t="s">
        <v>94</v>
      </c>
      <c r="Q28" s="32" t="s">
        <v>94</v>
      </c>
      <c r="R28" s="232"/>
      <c r="S28" s="32" t="s">
        <v>506</v>
      </c>
      <c r="T28" s="8"/>
      <c r="U28" s="8" t="s">
        <v>107</v>
      </c>
      <c r="V28" s="8"/>
      <c r="W28" s="8"/>
      <c r="X28" s="12"/>
      <c r="Y28" s="41">
        <v>46183</v>
      </c>
      <c r="Z28" s="41">
        <v>46183</v>
      </c>
      <c r="AA28" s="41">
        <v>46194</v>
      </c>
      <c r="AB28" s="41">
        <v>46169</v>
      </c>
      <c r="AC28" s="41">
        <v>46205</v>
      </c>
      <c r="AD28" s="41"/>
      <c r="AE28" s="41">
        <v>46205</v>
      </c>
      <c r="AF28" s="41">
        <v>46205</v>
      </c>
      <c r="AG28" s="42" t="s">
        <v>633</v>
      </c>
      <c r="AH28" s="42"/>
      <c r="AI28" s="41">
        <v>46196</v>
      </c>
      <c r="AJ28" s="42"/>
      <c r="AK28" s="42" t="s">
        <v>508</v>
      </c>
      <c r="AL28" s="42" t="s">
        <v>422</v>
      </c>
      <c r="AM28" s="233">
        <v>46210</v>
      </c>
      <c r="AN28" s="27">
        <v>46212</v>
      </c>
      <c r="AO28" s="8" t="s">
        <v>76</v>
      </c>
      <c r="AP28" s="8" t="s">
        <v>76</v>
      </c>
      <c r="AQ28" s="27" t="s">
        <v>579</v>
      </c>
      <c r="AR28" s="27" t="s">
        <v>77</v>
      </c>
      <c r="AS28" s="27">
        <v>46219</v>
      </c>
      <c r="AT28" s="27" t="s">
        <v>77</v>
      </c>
      <c r="AU28" s="8"/>
    </row>
    <row r="29" spans="1:47" ht="19.95" customHeight="1">
      <c r="A29" s="37" t="s">
        <v>634</v>
      </c>
      <c r="B29" s="37" t="s">
        <v>635</v>
      </c>
      <c r="C29" s="37" t="s">
        <v>554</v>
      </c>
      <c r="D29" s="8" t="s">
        <v>11</v>
      </c>
      <c r="E29" s="10" t="s">
        <v>9</v>
      </c>
      <c r="F29" s="8">
        <v>20</v>
      </c>
      <c r="G29" s="10" t="s">
        <v>61</v>
      </c>
      <c r="H29" s="40" t="s">
        <v>616</v>
      </c>
      <c r="I29" s="11" t="s">
        <v>91</v>
      </c>
      <c r="J29" s="8" t="s">
        <v>117</v>
      </c>
      <c r="K29" s="9"/>
      <c r="L29" s="9" t="s">
        <v>636</v>
      </c>
      <c r="M29" s="9" t="s">
        <v>637</v>
      </c>
      <c r="N29" s="32" t="s">
        <v>505</v>
      </c>
      <c r="O29" s="32" t="s">
        <v>94</v>
      </c>
      <c r="P29" s="32" t="s">
        <v>94</v>
      </c>
      <c r="Q29" s="32" t="s">
        <v>94</v>
      </c>
      <c r="R29" s="32" t="s">
        <v>94</v>
      </c>
      <c r="S29" s="32" t="s">
        <v>506</v>
      </c>
      <c r="T29" s="8"/>
      <c r="U29" s="8" t="s">
        <v>107</v>
      </c>
      <c r="V29" s="8"/>
      <c r="W29" s="8"/>
      <c r="X29" s="12"/>
      <c r="Y29" s="41">
        <v>46190</v>
      </c>
      <c r="Z29" s="41">
        <v>46190</v>
      </c>
      <c r="AA29" s="41">
        <v>46199</v>
      </c>
      <c r="AB29" s="41">
        <v>46169</v>
      </c>
      <c r="AC29" s="41">
        <v>46199</v>
      </c>
      <c r="AD29" s="41"/>
      <c r="AE29" s="43">
        <v>46207</v>
      </c>
      <c r="AF29" s="43">
        <v>46207</v>
      </c>
      <c r="AG29" s="43" t="s">
        <v>573</v>
      </c>
      <c r="AH29" s="43"/>
      <c r="AI29" s="43"/>
      <c r="AJ29" s="43"/>
      <c r="AK29" s="43" t="s">
        <v>531</v>
      </c>
      <c r="AL29" s="43" t="s">
        <v>488</v>
      </c>
      <c r="AM29" s="43">
        <v>46190</v>
      </c>
      <c r="AN29" s="27">
        <v>46220</v>
      </c>
      <c r="AO29" s="27">
        <v>46211</v>
      </c>
      <c r="AP29" s="27">
        <v>46211</v>
      </c>
      <c r="AQ29" s="27" t="s">
        <v>510</v>
      </c>
      <c r="AR29" s="27" t="s">
        <v>77</v>
      </c>
      <c r="AS29" s="27">
        <v>46210</v>
      </c>
      <c r="AT29" s="27" t="s">
        <v>77</v>
      </c>
      <c r="AU29" s="27"/>
    </row>
    <row r="30" spans="1:47" ht="19.95" customHeight="1">
      <c r="A30" s="37" t="s">
        <v>638</v>
      </c>
      <c r="B30" s="37" t="s">
        <v>639</v>
      </c>
      <c r="C30" s="37" t="s">
        <v>554</v>
      </c>
      <c r="D30" s="8" t="s">
        <v>6</v>
      </c>
      <c r="E30" s="10" t="s">
        <v>12</v>
      </c>
      <c r="F30" s="8">
        <v>30</v>
      </c>
      <c r="G30" s="10" t="s">
        <v>61</v>
      </c>
      <c r="H30" s="40" t="s">
        <v>560</v>
      </c>
      <c r="I30" s="10" t="s">
        <v>61</v>
      </c>
      <c r="J30" s="8" t="s">
        <v>117</v>
      </c>
      <c r="K30" s="231"/>
      <c r="L30" s="9"/>
      <c r="M30" s="9" t="s">
        <v>640</v>
      </c>
      <c r="N30" s="32" t="s">
        <v>505</v>
      </c>
      <c r="O30" s="32" t="s">
        <v>90</v>
      </c>
      <c r="P30" s="32" t="s">
        <v>94</v>
      </c>
      <c r="Q30" s="32" t="s">
        <v>94</v>
      </c>
      <c r="R30" s="232"/>
      <c r="S30" s="32" t="s">
        <v>506</v>
      </c>
      <c r="T30" s="8"/>
      <c r="U30" s="8" t="s">
        <v>107</v>
      </c>
      <c r="V30" s="8"/>
      <c r="W30" s="8"/>
      <c r="X30" s="12"/>
      <c r="Y30" s="41">
        <v>46166</v>
      </c>
      <c r="Z30" s="41">
        <v>46166</v>
      </c>
      <c r="AA30" s="41">
        <v>46168</v>
      </c>
      <c r="AB30" s="41">
        <v>46166</v>
      </c>
      <c r="AC30" s="41">
        <v>46208</v>
      </c>
      <c r="AD30" s="41"/>
      <c r="AE30" s="41">
        <v>46206</v>
      </c>
      <c r="AF30" s="41">
        <v>46208</v>
      </c>
      <c r="AG30" s="42" t="s">
        <v>487</v>
      </c>
      <c r="AH30" s="42"/>
      <c r="AI30" s="41">
        <v>46171</v>
      </c>
      <c r="AJ30" s="41">
        <v>46171</v>
      </c>
      <c r="AK30" s="42" t="s">
        <v>574</v>
      </c>
      <c r="AL30" s="42" t="s">
        <v>488</v>
      </c>
      <c r="AM30" s="41">
        <v>46166</v>
      </c>
      <c r="AN30" s="27" t="s">
        <v>476</v>
      </c>
      <c r="AO30" s="27">
        <v>46207</v>
      </c>
      <c r="AP30" s="27">
        <v>46208</v>
      </c>
      <c r="AQ30" s="220" t="s">
        <v>510</v>
      </c>
      <c r="AR30" s="8" t="s">
        <v>77</v>
      </c>
      <c r="AS30" s="27">
        <v>46219</v>
      </c>
      <c r="AT30" s="8" t="s">
        <v>77</v>
      </c>
      <c r="AU30" s="8"/>
    </row>
    <row r="31" spans="1:47" ht="19.95" customHeight="1">
      <c r="A31" s="37" t="s">
        <v>641</v>
      </c>
      <c r="B31" s="37" t="s">
        <v>642</v>
      </c>
      <c r="C31" s="37" t="s">
        <v>643</v>
      </c>
      <c r="D31" s="8" t="s">
        <v>120</v>
      </c>
      <c r="E31" s="10" t="s">
        <v>9</v>
      </c>
      <c r="F31" s="8">
        <v>20</v>
      </c>
      <c r="G31" s="10" t="s">
        <v>87</v>
      </c>
      <c r="H31" s="40" t="s">
        <v>616</v>
      </c>
      <c r="I31" s="11" t="s">
        <v>91</v>
      </c>
      <c r="J31" s="8" t="s">
        <v>117</v>
      </c>
      <c r="K31" s="12"/>
      <c r="L31" s="12" t="s">
        <v>644</v>
      </c>
      <c r="M31" s="9" t="s">
        <v>645</v>
      </c>
      <c r="N31" s="32" t="s">
        <v>505</v>
      </c>
      <c r="O31" s="32" t="s">
        <v>94</v>
      </c>
      <c r="P31" s="32" t="s">
        <v>94</v>
      </c>
      <c r="Q31" s="32" t="s">
        <v>94</v>
      </c>
      <c r="R31" s="32" t="s">
        <v>94</v>
      </c>
      <c r="S31" s="32" t="s">
        <v>506</v>
      </c>
      <c r="T31" s="8"/>
      <c r="U31" s="8" t="s">
        <v>107</v>
      </c>
      <c r="V31" s="8"/>
      <c r="W31" s="8"/>
      <c r="X31" s="12"/>
      <c r="Y31" s="41"/>
      <c r="Z31" s="41"/>
      <c r="AA31" s="41">
        <v>46214</v>
      </c>
      <c r="AB31" s="41">
        <v>46163</v>
      </c>
      <c r="AC31" s="41" t="s">
        <v>515</v>
      </c>
      <c r="AD31" s="41"/>
      <c r="AE31" s="41">
        <v>46164</v>
      </c>
      <c r="AF31" s="43">
        <v>46181</v>
      </c>
      <c r="AG31" s="43" t="s">
        <v>646</v>
      </c>
      <c r="AH31" s="43"/>
      <c r="AI31" s="43">
        <v>46212</v>
      </c>
      <c r="AJ31" s="43"/>
      <c r="AK31" s="43" t="s">
        <v>647</v>
      </c>
      <c r="AL31" s="43" t="s">
        <v>648</v>
      </c>
      <c r="AM31" s="43">
        <v>46167</v>
      </c>
      <c r="AN31" s="27" t="s">
        <v>77</v>
      </c>
      <c r="AO31" s="27">
        <v>46181</v>
      </c>
      <c r="AP31" s="27">
        <v>46181</v>
      </c>
      <c r="AQ31" s="27" t="s">
        <v>510</v>
      </c>
      <c r="AR31" s="27" t="s">
        <v>77</v>
      </c>
      <c r="AS31" s="27" t="s">
        <v>649</v>
      </c>
      <c r="AT31" s="27" t="s">
        <v>77</v>
      </c>
      <c r="AU31" s="27"/>
    </row>
    <row r="32" spans="1:47" ht="19.95" customHeight="1">
      <c r="A32" s="37" t="s">
        <v>650</v>
      </c>
      <c r="B32" s="37" t="s">
        <v>651</v>
      </c>
      <c r="C32" s="37" t="s">
        <v>554</v>
      </c>
      <c r="D32" s="8" t="s">
        <v>6</v>
      </c>
      <c r="E32" s="10" t="s">
        <v>12</v>
      </c>
      <c r="F32" s="8">
        <v>30</v>
      </c>
      <c r="G32" s="10" t="s">
        <v>61</v>
      </c>
      <c r="H32" s="40" t="s">
        <v>560</v>
      </c>
      <c r="I32" s="11" t="s">
        <v>87</v>
      </c>
      <c r="J32" s="8" t="s">
        <v>117</v>
      </c>
      <c r="K32" s="12"/>
      <c r="L32" s="12" t="s">
        <v>652</v>
      </c>
      <c r="M32" s="9" t="s">
        <v>572</v>
      </c>
      <c r="N32" s="32" t="s">
        <v>505</v>
      </c>
      <c r="O32" s="32" t="s">
        <v>90</v>
      </c>
      <c r="P32" s="32" t="s">
        <v>94</v>
      </c>
      <c r="Q32" s="32" t="s">
        <v>94</v>
      </c>
      <c r="R32" s="32" t="s">
        <v>94</v>
      </c>
      <c r="S32" s="32" t="s">
        <v>506</v>
      </c>
      <c r="T32" s="8"/>
      <c r="U32" s="8" t="s">
        <v>107</v>
      </c>
      <c r="V32" s="8"/>
      <c r="W32" s="8"/>
      <c r="X32" s="12"/>
      <c r="Y32" s="41">
        <v>46151</v>
      </c>
      <c r="Z32" s="41">
        <v>46151</v>
      </c>
      <c r="AA32" s="41">
        <v>46189</v>
      </c>
      <c r="AB32" s="41">
        <v>46151</v>
      </c>
      <c r="AC32" s="41">
        <v>46202</v>
      </c>
      <c r="AD32" s="41"/>
      <c r="AE32" s="41">
        <v>46211</v>
      </c>
      <c r="AF32" s="41">
        <v>46217</v>
      </c>
      <c r="AG32" s="41" t="s">
        <v>633</v>
      </c>
      <c r="AH32" s="41"/>
      <c r="AI32" s="41">
        <v>46176</v>
      </c>
      <c r="AJ32" s="41">
        <v>46176</v>
      </c>
      <c r="AK32" s="41" t="s">
        <v>574</v>
      </c>
      <c r="AL32" s="42" t="s">
        <v>488</v>
      </c>
      <c r="AM32" s="41">
        <v>46151</v>
      </c>
      <c r="AN32" s="27" t="s">
        <v>77</v>
      </c>
      <c r="AO32" s="27">
        <v>46211</v>
      </c>
      <c r="AP32" s="27">
        <v>46211</v>
      </c>
      <c r="AQ32" s="8" t="s">
        <v>510</v>
      </c>
      <c r="AR32" s="8" t="s">
        <v>77</v>
      </c>
      <c r="AS32" s="27">
        <v>46219</v>
      </c>
      <c r="AT32" s="8" t="s">
        <v>77</v>
      </c>
      <c r="AU32" s="8"/>
    </row>
    <row r="33" spans="1:47" ht="19.95" customHeight="1">
      <c r="A33" s="9" t="s">
        <v>658</v>
      </c>
      <c r="B33" s="9" t="s">
        <v>659</v>
      </c>
      <c r="C33" s="9" t="s">
        <v>503</v>
      </c>
      <c r="D33" s="8" t="s">
        <v>6</v>
      </c>
      <c r="E33" s="10" t="s">
        <v>9</v>
      </c>
      <c r="F33" s="8">
        <v>25</v>
      </c>
      <c r="G33" s="10" t="s">
        <v>61</v>
      </c>
      <c r="H33" s="10" t="s">
        <v>7</v>
      </c>
      <c r="I33" s="10" t="s">
        <v>7</v>
      </c>
      <c r="J33" s="8" t="s">
        <v>117</v>
      </c>
      <c r="K33" s="9"/>
      <c r="L33" s="9" t="s">
        <v>660</v>
      </c>
      <c r="M33" s="9" t="s">
        <v>661</v>
      </c>
      <c r="N33" s="32" t="s">
        <v>505</v>
      </c>
      <c r="O33" s="32" t="s">
        <v>90</v>
      </c>
      <c r="P33" s="32" t="s">
        <v>94</v>
      </c>
      <c r="Q33" s="32" t="s">
        <v>94</v>
      </c>
      <c r="R33" s="32" t="s">
        <v>76</v>
      </c>
      <c r="S33" s="32" t="s">
        <v>506</v>
      </c>
      <c r="T33" s="8"/>
      <c r="U33" s="8" t="s">
        <v>547</v>
      </c>
      <c r="V33" s="8"/>
      <c r="W33" s="8"/>
      <c r="X33" s="12"/>
      <c r="Y33" s="41">
        <v>46166</v>
      </c>
      <c r="Z33" s="41">
        <v>46166</v>
      </c>
      <c r="AA33" s="41">
        <v>46174</v>
      </c>
      <c r="AB33" s="41">
        <v>46166</v>
      </c>
      <c r="AC33" s="41">
        <v>46218</v>
      </c>
      <c r="AD33" s="41"/>
      <c r="AE33" s="41">
        <v>46218</v>
      </c>
      <c r="AF33" s="41">
        <v>46218</v>
      </c>
      <c r="AG33" s="41" t="s">
        <v>489</v>
      </c>
      <c r="AH33" s="41"/>
      <c r="AI33" s="41">
        <v>46170</v>
      </c>
      <c r="AJ33" s="42"/>
      <c r="AK33" s="42" t="s">
        <v>557</v>
      </c>
      <c r="AL33" s="42" t="s">
        <v>422</v>
      </c>
      <c r="AM33" s="41">
        <v>46166</v>
      </c>
      <c r="AN33" s="27">
        <v>46210</v>
      </c>
      <c r="AO33" s="8" t="s">
        <v>76</v>
      </c>
      <c r="AP33" s="8" t="s">
        <v>76</v>
      </c>
      <c r="AQ33" s="8" t="s">
        <v>77</v>
      </c>
      <c r="AR33" s="27" t="s">
        <v>77</v>
      </c>
      <c r="AS33" s="8" t="s">
        <v>476</v>
      </c>
      <c r="AT33" s="8" t="s">
        <v>77</v>
      </c>
      <c r="AU33" s="8"/>
    </row>
    <row r="34" spans="1:47" ht="19.95" customHeight="1">
      <c r="A34" s="9" t="s">
        <v>653</v>
      </c>
      <c r="B34" s="9" t="s">
        <v>654</v>
      </c>
      <c r="C34" s="37" t="s">
        <v>554</v>
      </c>
      <c r="D34" s="8" t="s">
        <v>11</v>
      </c>
      <c r="E34" s="10" t="s">
        <v>142</v>
      </c>
      <c r="F34" s="8">
        <v>30</v>
      </c>
      <c r="G34" s="10" t="s">
        <v>61</v>
      </c>
      <c r="H34" s="225" t="s">
        <v>7</v>
      </c>
      <c r="I34" s="10" t="s">
        <v>7</v>
      </c>
      <c r="J34" s="8" t="s">
        <v>117</v>
      </c>
      <c r="K34" s="9" t="s">
        <v>655</v>
      </c>
      <c r="L34" s="9" t="s">
        <v>656</v>
      </c>
      <c r="M34" s="9" t="s">
        <v>657</v>
      </c>
      <c r="N34" s="32" t="s">
        <v>505</v>
      </c>
      <c r="O34" s="32" t="s">
        <v>90</v>
      </c>
      <c r="P34" s="32" t="s">
        <v>94</v>
      </c>
      <c r="Q34" s="32" t="s">
        <v>94</v>
      </c>
      <c r="R34" s="32" t="s">
        <v>76</v>
      </c>
      <c r="S34" s="32" t="s">
        <v>506</v>
      </c>
      <c r="T34" s="8"/>
      <c r="U34" s="8" t="s">
        <v>547</v>
      </c>
      <c r="V34" s="8"/>
      <c r="W34" s="8"/>
      <c r="X34" s="12"/>
      <c r="Y34" s="41">
        <v>46188</v>
      </c>
      <c r="Z34" s="41">
        <v>46188</v>
      </c>
      <c r="AA34" s="41">
        <v>46190</v>
      </c>
      <c r="AB34" s="41">
        <v>46169</v>
      </c>
      <c r="AC34" s="42" t="s">
        <v>515</v>
      </c>
      <c r="AD34" s="41"/>
      <c r="AE34" s="41">
        <v>46211</v>
      </c>
      <c r="AF34" s="41">
        <v>46211</v>
      </c>
      <c r="AG34" s="42" t="s">
        <v>633</v>
      </c>
      <c r="AH34" s="42"/>
      <c r="AI34" s="42"/>
      <c r="AJ34" s="42"/>
      <c r="AK34" s="42" t="s">
        <v>551</v>
      </c>
      <c r="AL34" s="42" t="s">
        <v>142</v>
      </c>
      <c r="AM34" s="41">
        <v>46188</v>
      </c>
      <c r="AN34" s="27">
        <v>46216</v>
      </c>
      <c r="AO34" s="8" t="s">
        <v>76</v>
      </c>
      <c r="AP34" s="8" t="s">
        <v>76</v>
      </c>
      <c r="AQ34" s="8" t="s">
        <v>510</v>
      </c>
      <c r="AR34" s="8" t="s">
        <v>77</v>
      </c>
      <c r="AS34" s="220">
        <v>46218</v>
      </c>
      <c r="AT34" s="8" t="s">
        <v>77</v>
      </c>
      <c r="AU34" s="8"/>
    </row>
    <row r="35" spans="1:47" ht="19.95" customHeight="1">
      <c r="A35" s="151" t="s">
        <v>163</v>
      </c>
      <c r="B35" s="129" t="s">
        <v>164</v>
      </c>
      <c r="C35" s="21" t="s">
        <v>181</v>
      </c>
      <c r="D35" s="20" t="s">
        <v>121</v>
      </c>
      <c r="E35" s="10" t="s">
        <v>12</v>
      </c>
      <c r="F35" s="20">
        <v>25</v>
      </c>
      <c r="G35" s="111" t="s">
        <v>61</v>
      </c>
      <c r="H35" s="40" t="s">
        <v>8</v>
      </c>
      <c r="I35" s="11" t="s">
        <v>61</v>
      </c>
      <c r="J35" s="8" t="s">
        <v>108</v>
      </c>
      <c r="K35" s="9" t="s">
        <v>477</v>
      </c>
      <c r="L35" s="9" t="s">
        <v>473</v>
      </c>
      <c r="M35" s="9" t="s">
        <v>478</v>
      </c>
      <c r="N35" s="32" t="s">
        <v>94</v>
      </c>
      <c r="O35" s="32" t="s">
        <v>90</v>
      </c>
      <c r="P35" s="32" t="s">
        <v>94</v>
      </c>
      <c r="Q35" s="32" t="s">
        <v>94</v>
      </c>
      <c r="R35" s="32" t="s">
        <v>94</v>
      </c>
      <c r="S35" s="32" t="s">
        <v>77</v>
      </c>
      <c r="T35" s="9" t="s">
        <v>193</v>
      </c>
      <c r="U35" s="8" t="s">
        <v>107</v>
      </c>
      <c r="V35" s="8" t="s">
        <v>94</v>
      </c>
      <c r="W35" s="8" t="s">
        <v>425</v>
      </c>
      <c r="X35" s="12" t="s">
        <v>165</v>
      </c>
      <c r="Y35" s="41">
        <v>46227</v>
      </c>
      <c r="Z35" s="41">
        <v>46227</v>
      </c>
      <c r="AA35" s="41">
        <v>46229</v>
      </c>
      <c r="AB35" s="41">
        <v>46218</v>
      </c>
      <c r="AC35" s="41">
        <v>46228</v>
      </c>
      <c r="AD35" s="41">
        <v>46229</v>
      </c>
      <c r="AE35" s="41">
        <v>46229</v>
      </c>
      <c r="AF35" s="41">
        <v>46230</v>
      </c>
      <c r="AG35" s="43" t="s">
        <v>487</v>
      </c>
      <c r="AH35" s="43"/>
      <c r="AI35" s="43">
        <v>46229</v>
      </c>
      <c r="AJ35" s="43">
        <v>46229</v>
      </c>
      <c r="AK35" s="43" t="s">
        <v>464</v>
      </c>
      <c r="AL35" s="43" t="s">
        <v>488</v>
      </c>
      <c r="AM35" s="43">
        <v>46227</v>
      </c>
      <c r="AN35" s="27" t="s">
        <v>476</v>
      </c>
      <c r="AO35" s="27">
        <v>46229</v>
      </c>
      <c r="AP35" s="27">
        <v>46229</v>
      </c>
      <c r="AQ35" s="27" t="s">
        <v>77</v>
      </c>
      <c r="AR35" s="27" t="s">
        <v>77</v>
      </c>
      <c r="AS35" s="27" t="s">
        <v>77</v>
      </c>
      <c r="AT35" s="27" t="s">
        <v>77</v>
      </c>
      <c r="AU35" s="118"/>
    </row>
    <row r="36" spans="1:47" ht="19.95" customHeight="1">
      <c r="A36" s="151" t="s">
        <v>166</v>
      </c>
      <c r="B36" s="129" t="s">
        <v>167</v>
      </c>
      <c r="C36" s="21" t="s">
        <v>183</v>
      </c>
      <c r="D36" s="20" t="s">
        <v>121</v>
      </c>
      <c r="E36" s="10" t="s">
        <v>9</v>
      </c>
      <c r="F36" s="20">
        <v>25</v>
      </c>
      <c r="G36" s="111" t="s">
        <v>61</v>
      </c>
      <c r="H36" s="40" t="s">
        <v>10</v>
      </c>
      <c r="I36" s="11" t="s">
        <v>91</v>
      </c>
      <c r="J36" s="8" t="s">
        <v>108</v>
      </c>
      <c r="K36" s="9" t="s">
        <v>462</v>
      </c>
      <c r="L36" s="9"/>
      <c r="M36" s="9" t="s">
        <v>445</v>
      </c>
      <c r="N36" s="32" t="s">
        <v>94</v>
      </c>
      <c r="O36" s="32" t="s">
        <v>90</v>
      </c>
      <c r="P36" s="32" t="s">
        <v>94</v>
      </c>
      <c r="Q36" s="32" t="s">
        <v>94</v>
      </c>
      <c r="R36" s="32" t="s">
        <v>94</v>
      </c>
      <c r="S36" s="32" t="s">
        <v>77</v>
      </c>
      <c r="T36" s="9" t="s">
        <v>195</v>
      </c>
      <c r="U36" s="8" t="s">
        <v>107</v>
      </c>
      <c r="V36" s="8" t="s">
        <v>94</v>
      </c>
      <c r="W36" s="8"/>
      <c r="X36" s="12" t="s">
        <v>281</v>
      </c>
      <c r="Y36" s="41">
        <v>46228</v>
      </c>
      <c r="Z36" s="41">
        <v>46228</v>
      </c>
      <c r="AA36" s="41">
        <v>46230</v>
      </c>
      <c r="AB36" s="41">
        <v>46218</v>
      </c>
      <c r="AC36" s="41">
        <v>46225</v>
      </c>
      <c r="AD36" s="41">
        <v>46229</v>
      </c>
      <c r="AE36" s="41">
        <v>46230</v>
      </c>
      <c r="AF36" s="41">
        <v>46230</v>
      </c>
      <c r="AG36" s="43" t="s">
        <v>489</v>
      </c>
      <c r="AH36" s="43"/>
      <c r="AI36" s="43">
        <v>46230</v>
      </c>
      <c r="AJ36" s="43">
        <v>46230</v>
      </c>
      <c r="AK36" s="43" t="s">
        <v>421</v>
      </c>
      <c r="AL36" s="43" t="s">
        <v>422</v>
      </c>
      <c r="AM36" s="43">
        <v>46228</v>
      </c>
      <c r="AN36" s="27" t="s">
        <v>77</v>
      </c>
      <c r="AO36" s="27">
        <v>46231</v>
      </c>
      <c r="AP36" s="27">
        <v>46231</v>
      </c>
      <c r="AQ36" s="27" t="s">
        <v>77</v>
      </c>
      <c r="AR36" s="27" t="s">
        <v>77</v>
      </c>
      <c r="AS36" s="27" t="s">
        <v>77</v>
      </c>
      <c r="AT36" s="27" t="s">
        <v>77</v>
      </c>
      <c r="AU36" s="118"/>
    </row>
    <row r="37" spans="1:47" ht="19.95" customHeight="1">
      <c r="A37" s="151" t="s">
        <v>159</v>
      </c>
      <c r="B37" s="129" t="s">
        <v>160</v>
      </c>
      <c r="C37" s="21" t="s">
        <v>181</v>
      </c>
      <c r="D37" s="20" t="s">
        <v>121</v>
      </c>
      <c r="E37" s="10" t="s">
        <v>9</v>
      </c>
      <c r="F37" s="20">
        <v>30</v>
      </c>
      <c r="G37" s="111" t="s">
        <v>61</v>
      </c>
      <c r="H37" s="40" t="s">
        <v>8</v>
      </c>
      <c r="I37" s="11" t="s">
        <v>61</v>
      </c>
      <c r="J37" s="8" t="s">
        <v>108</v>
      </c>
      <c r="K37" s="9" t="s">
        <v>480</v>
      </c>
      <c r="L37" s="9"/>
      <c r="M37" s="9" t="s">
        <v>500</v>
      </c>
      <c r="N37" s="32" t="s">
        <v>94</v>
      </c>
      <c r="O37" s="32" t="s">
        <v>90</v>
      </c>
      <c r="P37" s="32" t="s">
        <v>94</v>
      </c>
      <c r="Q37" s="32" t="s">
        <v>94</v>
      </c>
      <c r="R37" s="32" t="s">
        <v>94</v>
      </c>
      <c r="S37" s="32" t="s">
        <v>77</v>
      </c>
      <c r="T37" s="9" t="s">
        <v>191</v>
      </c>
      <c r="U37" s="8" t="s">
        <v>107</v>
      </c>
      <c r="V37" s="8" t="s">
        <v>94</v>
      </c>
      <c r="W37" s="8"/>
      <c r="X37" s="12" t="s">
        <v>475</v>
      </c>
      <c r="Y37" s="41">
        <v>46230</v>
      </c>
      <c r="Z37" s="41">
        <v>46230</v>
      </c>
      <c r="AA37" s="41">
        <v>46232</v>
      </c>
      <c r="AB37" s="41">
        <v>46218</v>
      </c>
      <c r="AC37" s="41">
        <v>46230</v>
      </c>
      <c r="AD37" s="41"/>
      <c r="AE37" s="43">
        <v>46232</v>
      </c>
      <c r="AF37" s="43"/>
      <c r="AG37" s="43"/>
      <c r="AH37" s="43"/>
      <c r="AI37" s="43">
        <v>46233</v>
      </c>
      <c r="AJ37" s="43"/>
      <c r="AK37" s="43" t="s">
        <v>421</v>
      </c>
      <c r="AL37" s="43" t="s">
        <v>422</v>
      </c>
      <c r="AM37" s="43"/>
      <c r="AN37" s="27" t="s">
        <v>77</v>
      </c>
      <c r="AO37" s="27" t="s">
        <v>77</v>
      </c>
      <c r="AP37" s="27" t="s">
        <v>77</v>
      </c>
      <c r="AQ37" s="27" t="s">
        <v>77</v>
      </c>
      <c r="AR37" s="27" t="s">
        <v>77</v>
      </c>
      <c r="AS37" s="27" t="s">
        <v>77</v>
      </c>
      <c r="AT37" s="27" t="s">
        <v>77</v>
      </c>
      <c r="AU37" s="118"/>
    </row>
    <row r="38" spans="1:47" ht="19.95" customHeight="1">
      <c r="A38" s="134" t="s">
        <v>662</v>
      </c>
      <c r="B38" s="134" t="s">
        <v>663</v>
      </c>
      <c r="C38" s="134" t="s">
        <v>554</v>
      </c>
      <c r="D38" s="136" t="s">
        <v>6</v>
      </c>
      <c r="E38" s="10" t="s">
        <v>145</v>
      </c>
      <c r="F38" s="140">
        <v>30</v>
      </c>
      <c r="G38" s="10" t="s">
        <v>61</v>
      </c>
      <c r="H38" s="40" t="s">
        <v>560</v>
      </c>
      <c r="I38" s="10" t="s">
        <v>61</v>
      </c>
      <c r="J38" s="8" t="s">
        <v>441</v>
      </c>
      <c r="K38" s="9"/>
      <c r="L38" s="12" t="s">
        <v>669</v>
      </c>
      <c r="M38" s="9" t="s">
        <v>603</v>
      </c>
      <c r="N38" s="32" t="s">
        <v>505</v>
      </c>
      <c r="O38" s="32" t="s">
        <v>90</v>
      </c>
      <c r="P38" s="32" t="s">
        <v>94</v>
      </c>
      <c r="Q38" s="32" t="s">
        <v>94</v>
      </c>
      <c r="R38" s="32" t="s">
        <v>76</v>
      </c>
      <c r="S38" s="32" t="s">
        <v>506</v>
      </c>
      <c r="T38" s="9"/>
      <c r="U38" s="8" t="s">
        <v>107</v>
      </c>
      <c r="V38" s="8"/>
      <c r="W38" s="8"/>
      <c r="X38" s="12"/>
      <c r="Y38" s="41">
        <v>46175</v>
      </c>
      <c r="Z38" s="41">
        <v>46175</v>
      </c>
      <c r="AA38" s="41">
        <v>46180</v>
      </c>
      <c r="AB38" s="41">
        <v>46169</v>
      </c>
      <c r="AC38" s="42"/>
      <c r="AD38" s="41"/>
      <c r="AE38" s="43">
        <v>46231</v>
      </c>
      <c r="AF38" s="43"/>
      <c r="AG38" s="43"/>
      <c r="AH38" s="43"/>
      <c r="AI38" s="41">
        <v>46185</v>
      </c>
      <c r="AJ38" s="41">
        <v>46189</v>
      </c>
      <c r="AK38" s="42" t="s">
        <v>578</v>
      </c>
      <c r="AL38" s="42" t="s">
        <v>1261</v>
      </c>
      <c r="AM38" s="41">
        <v>46175</v>
      </c>
      <c r="AN38" s="27">
        <v>46211</v>
      </c>
      <c r="AO38" s="8" t="s">
        <v>76</v>
      </c>
      <c r="AP38" s="8" t="s">
        <v>76</v>
      </c>
      <c r="AQ38" s="27" t="s">
        <v>579</v>
      </c>
      <c r="AR38" s="27" t="s">
        <v>77</v>
      </c>
      <c r="AS38" s="27" t="s">
        <v>77</v>
      </c>
      <c r="AT38" s="27" t="s">
        <v>77</v>
      </c>
      <c r="AU38" s="8"/>
    </row>
    <row r="39" spans="1:47" ht="19.95" customHeight="1">
      <c r="A39" s="85" t="s">
        <v>664</v>
      </c>
      <c r="B39" s="85" t="s">
        <v>665</v>
      </c>
      <c r="C39" s="37" t="s">
        <v>643</v>
      </c>
      <c r="D39" s="8" t="s">
        <v>11</v>
      </c>
      <c r="E39" s="10" t="s">
        <v>99</v>
      </c>
      <c r="F39" s="8">
        <v>20</v>
      </c>
      <c r="G39" s="10" t="s">
        <v>87</v>
      </c>
      <c r="H39" s="40" t="s">
        <v>7</v>
      </c>
      <c r="I39" s="11" t="s">
        <v>7</v>
      </c>
      <c r="J39" s="8" t="s">
        <v>441</v>
      </c>
      <c r="K39" s="9" t="s">
        <v>666</v>
      </c>
      <c r="L39" s="9"/>
      <c r="M39" s="9" t="s">
        <v>645</v>
      </c>
      <c r="N39" s="32" t="s">
        <v>505</v>
      </c>
      <c r="O39" s="32" t="s">
        <v>94</v>
      </c>
      <c r="P39" s="32" t="s">
        <v>94</v>
      </c>
      <c r="Q39" s="32" t="s">
        <v>94</v>
      </c>
      <c r="R39" s="32" t="s">
        <v>76</v>
      </c>
      <c r="S39" s="32" t="s">
        <v>506</v>
      </c>
      <c r="T39" s="9"/>
      <c r="U39" s="8" t="s">
        <v>105</v>
      </c>
      <c r="V39" s="8"/>
      <c r="W39" s="8"/>
      <c r="X39" s="12"/>
      <c r="Y39" s="41">
        <v>46206</v>
      </c>
      <c r="Z39" s="41">
        <v>46206</v>
      </c>
      <c r="AA39" s="41">
        <v>46211</v>
      </c>
      <c r="AB39" s="41">
        <v>46210</v>
      </c>
      <c r="AC39" s="41">
        <v>46210</v>
      </c>
      <c r="AD39" s="41"/>
      <c r="AE39" s="43"/>
      <c r="AF39" s="43"/>
      <c r="AG39" s="43"/>
      <c r="AH39" s="43"/>
      <c r="AI39" s="43">
        <v>46211</v>
      </c>
      <c r="AJ39" s="43">
        <v>46211</v>
      </c>
      <c r="AK39" s="43" t="s">
        <v>667</v>
      </c>
      <c r="AL39" s="43"/>
      <c r="AM39" s="234" t="s">
        <v>476</v>
      </c>
      <c r="AN39" s="27" t="s">
        <v>77</v>
      </c>
      <c r="AO39" s="8" t="s">
        <v>76</v>
      </c>
      <c r="AP39" s="8" t="s">
        <v>76</v>
      </c>
      <c r="AQ39" s="27" t="s">
        <v>668</v>
      </c>
      <c r="AR39" s="27" t="s">
        <v>77</v>
      </c>
      <c r="AS39" s="27" t="s">
        <v>77</v>
      </c>
      <c r="AT39" s="27" t="s">
        <v>77</v>
      </c>
      <c r="AU39" s="27"/>
    </row>
    <row r="40" spans="1:47" ht="19.95" customHeight="1">
      <c r="A40" s="151" t="s">
        <v>178</v>
      </c>
      <c r="B40" s="129" t="s">
        <v>186</v>
      </c>
      <c r="C40" s="21" t="s">
        <v>183</v>
      </c>
      <c r="D40" s="20" t="s">
        <v>121</v>
      </c>
      <c r="E40" s="10" t="s">
        <v>9</v>
      </c>
      <c r="F40" s="20">
        <v>30</v>
      </c>
      <c r="G40" s="111" t="s">
        <v>61</v>
      </c>
      <c r="H40" s="40" t="s">
        <v>8</v>
      </c>
      <c r="I40" s="11" t="s">
        <v>61</v>
      </c>
      <c r="J40" s="8" t="s">
        <v>441</v>
      </c>
      <c r="K40" s="9" t="s">
        <v>461</v>
      </c>
      <c r="L40" s="9"/>
      <c r="M40" s="9" t="s">
        <v>481</v>
      </c>
      <c r="N40" s="32" t="s">
        <v>94</v>
      </c>
      <c r="O40" s="32" t="s">
        <v>90</v>
      </c>
      <c r="P40" s="32" t="s">
        <v>94</v>
      </c>
      <c r="Q40" s="32" t="s">
        <v>94</v>
      </c>
      <c r="R40" s="32" t="s">
        <v>94</v>
      </c>
      <c r="S40" s="32" t="s">
        <v>77</v>
      </c>
      <c r="T40" s="9" t="s">
        <v>194</v>
      </c>
      <c r="U40" s="8" t="s">
        <v>107</v>
      </c>
      <c r="V40" s="8" t="s">
        <v>94</v>
      </c>
      <c r="W40" s="8" t="s">
        <v>425</v>
      </c>
      <c r="X40" s="12" t="s">
        <v>271</v>
      </c>
      <c r="Y40" s="41">
        <v>46224</v>
      </c>
      <c r="Z40" s="41">
        <v>46225</v>
      </c>
      <c r="AA40" s="41">
        <v>46227</v>
      </c>
      <c r="AB40" s="41">
        <v>46218</v>
      </c>
      <c r="AC40" s="41">
        <v>46225</v>
      </c>
      <c r="AD40" s="41">
        <v>46227</v>
      </c>
      <c r="AE40" s="43">
        <v>46227</v>
      </c>
      <c r="AF40" s="43"/>
      <c r="AG40" s="43"/>
      <c r="AH40" s="43"/>
      <c r="AI40" s="43">
        <v>46227</v>
      </c>
      <c r="AJ40" s="43">
        <v>46227</v>
      </c>
      <c r="AK40" s="43" t="s">
        <v>421</v>
      </c>
      <c r="AL40" s="43" t="s">
        <v>422</v>
      </c>
      <c r="AM40" s="43">
        <v>46225</v>
      </c>
      <c r="AN40" s="27" t="s">
        <v>476</v>
      </c>
      <c r="AO40" s="27" t="s">
        <v>77</v>
      </c>
      <c r="AP40" s="27" t="s">
        <v>77</v>
      </c>
      <c r="AQ40" s="27" t="s">
        <v>77</v>
      </c>
      <c r="AR40" s="27" t="s">
        <v>77</v>
      </c>
      <c r="AS40" s="27" t="s">
        <v>77</v>
      </c>
      <c r="AT40" s="27" t="s">
        <v>77</v>
      </c>
      <c r="AU40" s="118"/>
    </row>
    <row r="41" spans="1:47" ht="19.95" customHeight="1">
      <c r="A41" s="151" t="s">
        <v>161</v>
      </c>
      <c r="B41" s="129" t="s">
        <v>162</v>
      </c>
      <c r="C41" s="21" t="s">
        <v>181</v>
      </c>
      <c r="D41" s="20" t="s">
        <v>121</v>
      </c>
      <c r="E41" s="10" t="s">
        <v>12</v>
      </c>
      <c r="F41" s="20">
        <v>30</v>
      </c>
      <c r="G41" s="111" t="s">
        <v>61</v>
      </c>
      <c r="H41" s="40" t="s">
        <v>8</v>
      </c>
      <c r="I41" s="11" t="s">
        <v>61</v>
      </c>
      <c r="J41" s="8" t="s">
        <v>426</v>
      </c>
      <c r="K41" s="9"/>
      <c r="L41" s="9"/>
      <c r="M41" s="9" t="s">
        <v>482</v>
      </c>
      <c r="N41" s="32" t="s">
        <v>94</v>
      </c>
      <c r="O41" s="32" t="s">
        <v>90</v>
      </c>
      <c r="P41" s="32" t="s">
        <v>94</v>
      </c>
      <c r="Q41" s="32" t="s">
        <v>94</v>
      </c>
      <c r="R41" s="32" t="s">
        <v>94</v>
      </c>
      <c r="S41" s="32" t="s">
        <v>77</v>
      </c>
      <c r="T41" s="9" t="s">
        <v>192</v>
      </c>
      <c r="U41" s="8" t="s">
        <v>107</v>
      </c>
      <c r="V41" s="8" t="s">
        <v>94</v>
      </c>
      <c r="W41" s="8"/>
      <c r="X41" s="12" t="s">
        <v>475</v>
      </c>
      <c r="Y41" s="41">
        <v>46230</v>
      </c>
      <c r="Z41" s="41">
        <v>46230</v>
      </c>
      <c r="AA41" s="41"/>
      <c r="AB41" s="41">
        <v>46218</v>
      </c>
      <c r="AC41" s="41">
        <v>46230</v>
      </c>
      <c r="AD41" s="41"/>
      <c r="AE41" s="43"/>
      <c r="AF41" s="43"/>
      <c r="AG41" s="43"/>
      <c r="AH41" s="43"/>
      <c r="AI41" s="43">
        <v>46232</v>
      </c>
      <c r="AJ41" s="43"/>
      <c r="AK41" s="43" t="s">
        <v>421</v>
      </c>
      <c r="AL41" s="43"/>
      <c r="AM41" s="43"/>
      <c r="AN41" s="27" t="s">
        <v>77</v>
      </c>
      <c r="AO41" s="27" t="s">
        <v>77</v>
      </c>
      <c r="AP41" s="27" t="s">
        <v>77</v>
      </c>
      <c r="AQ41" s="27" t="s">
        <v>77</v>
      </c>
      <c r="AR41" s="27" t="s">
        <v>77</v>
      </c>
      <c r="AS41" s="27" t="s">
        <v>77</v>
      </c>
      <c r="AT41" s="27" t="s">
        <v>77</v>
      </c>
      <c r="AU41" s="118"/>
    </row>
    <row r="42" spans="1:47" ht="19.95" customHeight="1">
      <c r="A42" s="151" t="s">
        <v>176</v>
      </c>
      <c r="B42" s="129" t="s">
        <v>184</v>
      </c>
      <c r="C42" s="21" t="s">
        <v>183</v>
      </c>
      <c r="D42" s="20" t="s">
        <v>121</v>
      </c>
      <c r="E42" s="10" t="s">
        <v>228</v>
      </c>
      <c r="F42" s="20">
        <v>20</v>
      </c>
      <c r="G42" s="111" t="s">
        <v>61</v>
      </c>
      <c r="H42" s="40" t="s">
        <v>8</v>
      </c>
      <c r="I42" s="11" t="s">
        <v>61</v>
      </c>
      <c r="J42" s="8" t="s">
        <v>426</v>
      </c>
      <c r="K42" s="9" t="s">
        <v>479</v>
      </c>
      <c r="L42" s="12" t="s">
        <v>463</v>
      </c>
      <c r="M42" s="9"/>
      <c r="N42" s="32" t="s">
        <v>94</v>
      </c>
      <c r="O42" s="32" t="s">
        <v>94</v>
      </c>
      <c r="P42" s="32" t="s">
        <v>94</v>
      </c>
      <c r="Q42" s="32" t="s">
        <v>94</v>
      </c>
      <c r="R42" s="32" t="s">
        <v>94</v>
      </c>
      <c r="S42" s="32" t="s">
        <v>77</v>
      </c>
      <c r="T42" s="9" t="s">
        <v>315</v>
      </c>
      <c r="U42" s="8" t="s">
        <v>107</v>
      </c>
      <c r="V42" s="8" t="s">
        <v>94</v>
      </c>
      <c r="W42" s="8"/>
      <c r="X42" s="12" t="s">
        <v>460</v>
      </c>
      <c r="Y42" s="41">
        <v>46229</v>
      </c>
      <c r="Z42" s="41">
        <v>46232</v>
      </c>
      <c r="AA42" s="41"/>
      <c r="AB42" s="41">
        <v>46218</v>
      </c>
      <c r="AC42" s="41">
        <v>46230</v>
      </c>
      <c r="AD42" s="41"/>
      <c r="AE42" s="43"/>
      <c r="AF42" s="43"/>
      <c r="AG42" s="43"/>
      <c r="AH42" s="43"/>
      <c r="AI42" s="43"/>
      <c r="AJ42" s="43"/>
      <c r="AK42" s="43"/>
      <c r="AL42" s="43"/>
      <c r="AM42" s="43"/>
      <c r="AN42" s="27" t="s">
        <v>77</v>
      </c>
      <c r="AO42" s="27" t="s">
        <v>77</v>
      </c>
      <c r="AP42" s="27" t="s">
        <v>77</v>
      </c>
      <c r="AQ42" s="27" t="s">
        <v>77</v>
      </c>
      <c r="AR42" s="27" t="s">
        <v>77</v>
      </c>
      <c r="AS42" s="27" t="s">
        <v>77</v>
      </c>
      <c r="AT42" s="27" t="s">
        <v>77</v>
      </c>
      <c r="AU42" s="118"/>
    </row>
    <row r="43" spans="1:47" ht="19.95" customHeight="1">
      <c r="A43" s="236" t="s">
        <v>197</v>
      </c>
      <c r="B43" s="237" t="s">
        <v>198</v>
      </c>
      <c r="C43" s="37" t="s">
        <v>183</v>
      </c>
      <c r="D43" s="8" t="s">
        <v>120</v>
      </c>
      <c r="E43" s="10"/>
      <c r="F43" s="8">
        <v>30</v>
      </c>
      <c r="G43" s="111" t="s">
        <v>87</v>
      </c>
      <c r="H43" s="40" t="s">
        <v>8</v>
      </c>
      <c r="I43" s="11" t="s">
        <v>61</v>
      </c>
      <c r="J43" s="8" t="s">
        <v>17</v>
      </c>
      <c r="K43" s="9"/>
      <c r="L43" s="9"/>
      <c r="M43" s="150"/>
      <c r="N43" s="32" t="s">
        <v>77</v>
      </c>
      <c r="O43" s="32" t="s">
        <v>77</v>
      </c>
      <c r="P43" s="32" t="s">
        <v>94</v>
      </c>
      <c r="Q43" s="32" t="s">
        <v>77</v>
      </c>
      <c r="R43" s="32" t="s">
        <v>77</v>
      </c>
      <c r="S43" s="32" t="s">
        <v>77</v>
      </c>
      <c r="T43" s="9" t="s">
        <v>226</v>
      </c>
      <c r="U43" s="8" t="s">
        <v>196</v>
      </c>
      <c r="V43" s="8" t="s">
        <v>77</v>
      </c>
      <c r="W43" s="8"/>
      <c r="X43" s="12" t="s">
        <v>408</v>
      </c>
      <c r="Y43" s="42"/>
      <c r="Z43" s="41"/>
      <c r="AA43" s="41"/>
      <c r="AB43" s="41">
        <v>46224</v>
      </c>
      <c r="AC43" s="41"/>
      <c r="AD43" s="41"/>
      <c r="AE43" s="43"/>
      <c r="AF43" s="43"/>
      <c r="AG43" s="43"/>
      <c r="AH43" s="43"/>
      <c r="AI43" s="43"/>
      <c r="AJ43" s="43"/>
      <c r="AK43" s="43"/>
      <c r="AL43" s="43"/>
      <c r="AM43" s="43"/>
      <c r="AN43" s="27" t="s">
        <v>77</v>
      </c>
      <c r="AO43" s="27" t="s">
        <v>77</v>
      </c>
      <c r="AP43" s="27" t="s">
        <v>77</v>
      </c>
      <c r="AQ43" s="27" t="s">
        <v>77</v>
      </c>
      <c r="AR43" s="27" t="s">
        <v>77</v>
      </c>
      <c r="AS43" s="27" t="s">
        <v>77</v>
      </c>
      <c r="AT43" s="27" t="s">
        <v>77</v>
      </c>
      <c r="AU43" s="27"/>
    </row>
    <row r="44" spans="1:47" ht="19.95" customHeight="1">
      <c r="A44" s="80" t="s">
        <v>199</v>
      </c>
      <c r="B44" s="80" t="s">
        <v>200</v>
      </c>
      <c r="C44" s="21" t="s">
        <v>183</v>
      </c>
      <c r="D44" s="20" t="s">
        <v>121</v>
      </c>
      <c r="E44" s="10"/>
      <c r="F44" s="124">
        <v>30</v>
      </c>
      <c r="G44" s="111" t="s">
        <v>61</v>
      </c>
      <c r="H44" s="111" t="s">
        <v>8</v>
      </c>
      <c r="I44" s="11" t="s">
        <v>61</v>
      </c>
      <c r="J44" s="8" t="s">
        <v>17</v>
      </c>
      <c r="K44" s="9" t="s">
        <v>485</v>
      </c>
      <c r="L44" s="12" t="s">
        <v>474</v>
      </c>
      <c r="M44" s="9"/>
      <c r="N44" s="32" t="s">
        <v>94</v>
      </c>
      <c r="O44" s="32" t="s">
        <v>77</v>
      </c>
      <c r="P44" s="32" t="s">
        <v>94</v>
      </c>
      <c r="Q44" s="32" t="s">
        <v>77</v>
      </c>
      <c r="R44" s="32" t="s">
        <v>77</v>
      </c>
      <c r="S44" s="32" t="s">
        <v>77</v>
      </c>
      <c r="T44" s="9" t="s">
        <v>406</v>
      </c>
      <c r="U44" s="8" t="s">
        <v>196</v>
      </c>
      <c r="V44" s="8" t="s">
        <v>94</v>
      </c>
      <c r="W44" s="8"/>
      <c r="X44" s="12" t="s">
        <v>460</v>
      </c>
      <c r="Y44" s="42"/>
      <c r="Z44" s="41"/>
      <c r="AA44" s="41"/>
      <c r="AB44" s="41">
        <v>46224</v>
      </c>
      <c r="AC44" s="41"/>
      <c r="AD44" s="41"/>
      <c r="AE44" s="43"/>
      <c r="AF44" s="43"/>
      <c r="AG44" s="43"/>
      <c r="AH44" s="43"/>
      <c r="AI44" s="43"/>
      <c r="AJ44" s="43"/>
      <c r="AK44" s="43"/>
      <c r="AL44" s="43"/>
      <c r="AM44" s="43"/>
      <c r="AN44" s="27" t="s">
        <v>77</v>
      </c>
      <c r="AO44" s="27" t="s">
        <v>77</v>
      </c>
      <c r="AP44" s="27" t="s">
        <v>77</v>
      </c>
      <c r="AQ44" s="27" t="s">
        <v>77</v>
      </c>
      <c r="AR44" s="27" t="s">
        <v>77</v>
      </c>
      <c r="AS44" s="27" t="s">
        <v>77</v>
      </c>
      <c r="AT44" s="27" t="s">
        <v>77</v>
      </c>
      <c r="AU44" s="118"/>
    </row>
    <row r="45" spans="1:47" ht="19.95" customHeight="1">
      <c r="A45" s="129" t="s">
        <v>201</v>
      </c>
      <c r="B45" s="129" t="s">
        <v>202</v>
      </c>
      <c r="C45" s="21" t="s">
        <v>183</v>
      </c>
      <c r="D45" s="20" t="s">
        <v>137</v>
      </c>
      <c r="E45" s="10" t="s">
        <v>410</v>
      </c>
      <c r="F45" s="138">
        <v>25</v>
      </c>
      <c r="G45" s="111" t="s">
        <v>61</v>
      </c>
      <c r="H45" s="111" t="s">
        <v>10</v>
      </c>
      <c r="I45" s="111" t="s">
        <v>10</v>
      </c>
      <c r="J45" s="8" t="s">
        <v>17</v>
      </c>
      <c r="K45" s="9"/>
      <c r="L45" s="9"/>
      <c r="M45" s="9"/>
      <c r="N45" s="32" t="s">
        <v>94</v>
      </c>
      <c r="O45" s="32" t="s">
        <v>90</v>
      </c>
      <c r="P45" s="32" t="s">
        <v>94</v>
      </c>
      <c r="Q45" s="32" t="s">
        <v>94</v>
      </c>
      <c r="R45" s="32" t="s">
        <v>94</v>
      </c>
      <c r="S45" s="32" t="s">
        <v>77</v>
      </c>
      <c r="T45" s="9" t="s">
        <v>227</v>
      </c>
      <c r="U45" s="8" t="s">
        <v>107</v>
      </c>
      <c r="V45" s="8" t="s">
        <v>94</v>
      </c>
      <c r="W45" s="8" t="s">
        <v>425</v>
      </c>
      <c r="X45" s="12" t="s">
        <v>429</v>
      </c>
      <c r="Y45" s="41"/>
      <c r="Z45" s="41"/>
      <c r="AA45" s="41"/>
      <c r="AB45" s="41"/>
      <c r="AC45" s="41"/>
      <c r="AD45" s="41"/>
      <c r="AE45" s="43"/>
      <c r="AF45" s="43"/>
      <c r="AG45" s="43"/>
      <c r="AH45" s="43"/>
      <c r="AI45" s="43"/>
      <c r="AJ45" s="43"/>
      <c r="AK45" s="43"/>
      <c r="AL45" s="43"/>
      <c r="AM45" s="43"/>
      <c r="AN45" s="27" t="s">
        <v>77</v>
      </c>
      <c r="AO45" s="27" t="s">
        <v>77</v>
      </c>
      <c r="AP45" s="27" t="s">
        <v>77</v>
      </c>
      <c r="AQ45" s="27" t="s">
        <v>77</v>
      </c>
      <c r="AR45" s="27" t="s">
        <v>77</v>
      </c>
      <c r="AS45" s="27" t="s">
        <v>77</v>
      </c>
      <c r="AT45" s="27" t="s">
        <v>77</v>
      </c>
      <c r="AU45" s="118"/>
    </row>
    <row r="46" spans="1:47" ht="19.95" customHeight="1">
      <c r="A46" s="129" t="s">
        <v>209</v>
      </c>
      <c r="B46" s="129" t="s">
        <v>210</v>
      </c>
      <c r="C46" s="21" t="s">
        <v>225</v>
      </c>
      <c r="D46" s="20" t="s">
        <v>137</v>
      </c>
      <c r="E46" s="10"/>
      <c r="F46" s="138">
        <v>30</v>
      </c>
      <c r="G46" s="111" t="s">
        <v>61</v>
      </c>
      <c r="H46" s="111" t="s">
        <v>8</v>
      </c>
      <c r="I46" s="11" t="s">
        <v>61</v>
      </c>
      <c r="J46" s="8" t="s">
        <v>17</v>
      </c>
      <c r="K46" s="9" t="s">
        <v>446</v>
      </c>
      <c r="L46" s="9"/>
      <c r="M46" s="9"/>
      <c r="N46" s="32" t="s">
        <v>332</v>
      </c>
      <c r="O46" s="32" t="s">
        <v>90</v>
      </c>
      <c r="P46" s="32" t="s">
        <v>94</v>
      </c>
      <c r="Q46" s="32" t="s">
        <v>77</v>
      </c>
      <c r="R46" s="32" t="s">
        <v>94</v>
      </c>
      <c r="S46" s="32" t="s">
        <v>77</v>
      </c>
      <c r="T46" s="9" t="s">
        <v>319</v>
      </c>
      <c r="U46" s="8" t="s">
        <v>196</v>
      </c>
      <c r="V46" s="8" t="s">
        <v>77</v>
      </c>
      <c r="W46" s="8"/>
      <c r="X46" s="12" t="s">
        <v>414</v>
      </c>
      <c r="Y46" s="42"/>
      <c r="Z46" s="41"/>
      <c r="AA46" s="41"/>
      <c r="AB46" s="41">
        <v>46224</v>
      </c>
      <c r="AC46" s="41"/>
      <c r="AD46" s="41"/>
      <c r="AE46" s="43"/>
      <c r="AF46" s="43"/>
      <c r="AG46" s="43"/>
      <c r="AH46" s="43"/>
      <c r="AI46" s="43"/>
      <c r="AJ46" s="43"/>
      <c r="AK46" s="43"/>
      <c r="AL46" s="43"/>
      <c r="AM46" s="43"/>
      <c r="AN46" s="27" t="s">
        <v>77</v>
      </c>
      <c r="AO46" s="27" t="s">
        <v>77</v>
      </c>
      <c r="AP46" s="27" t="s">
        <v>77</v>
      </c>
      <c r="AQ46" s="27" t="s">
        <v>77</v>
      </c>
      <c r="AR46" s="27" t="s">
        <v>77</v>
      </c>
      <c r="AS46" s="27" t="s">
        <v>77</v>
      </c>
      <c r="AT46" s="27" t="s">
        <v>77</v>
      </c>
      <c r="AU46" s="27"/>
    </row>
    <row r="47" spans="1:47" ht="19.95" customHeight="1">
      <c r="A47" s="129" t="s">
        <v>207</v>
      </c>
      <c r="B47" s="129" t="s">
        <v>208</v>
      </c>
      <c r="C47" s="21" t="s">
        <v>225</v>
      </c>
      <c r="D47" s="20" t="s">
        <v>137</v>
      </c>
      <c r="E47" s="10"/>
      <c r="F47" s="138">
        <v>30</v>
      </c>
      <c r="G47" s="111" t="s">
        <v>61</v>
      </c>
      <c r="H47" s="111" t="s">
        <v>8</v>
      </c>
      <c r="I47" s="11" t="s">
        <v>61</v>
      </c>
      <c r="J47" s="8" t="s">
        <v>17</v>
      </c>
      <c r="K47" s="9" t="s">
        <v>446</v>
      </c>
      <c r="L47" s="9"/>
      <c r="M47" s="9"/>
      <c r="N47" s="32" t="s">
        <v>332</v>
      </c>
      <c r="O47" s="32" t="s">
        <v>90</v>
      </c>
      <c r="P47" s="32" t="s">
        <v>94</v>
      </c>
      <c r="Q47" s="32" t="s">
        <v>77</v>
      </c>
      <c r="R47" s="32" t="s">
        <v>94</v>
      </c>
      <c r="S47" s="32" t="s">
        <v>77</v>
      </c>
      <c r="T47" s="9"/>
      <c r="U47" s="8" t="s">
        <v>196</v>
      </c>
      <c r="V47" s="8" t="s">
        <v>77</v>
      </c>
      <c r="W47" s="8"/>
      <c r="X47" s="12"/>
      <c r="Y47" s="42"/>
      <c r="Z47" s="41"/>
      <c r="AA47" s="41"/>
      <c r="AB47" s="41"/>
      <c r="AC47" s="41"/>
      <c r="AD47" s="41"/>
      <c r="AE47" s="43"/>
      <c r="AF47" s="43"/>
      <c r="AG47" s="43"/>
      <c r="AH47" s="43"/>
      <c r="AI47" s="43"/>
      <c r="AJ47" s="43"/>
      <c r="AK47" s="43"/>
      <c r="AL47" s="43"/>
      <c r="AM47" s="43"/>
      <c r="AN47" s="27" t="s">
        <v>77</v>
      </c>
      <c r="AO47" s="27" t="s">
        <v>77</v>
      </c>
      <c r="AP47" s="27" t="s">
        <v>77</v>
      </c>
      <c r="AQ47" s="27" t="s">
        <v>77</v>
      </c>
      <c r="AR47" s="27" t="s">
        <v>77</v>
      </c>
      <c r="AS47" s="27" t="s">
        <v>77</v>
      </c>
      <c r="AT47" s="27" t="s">
        <v>77</v>
      </c>
      <c r="AU47" s="27"/>
    </row>
    <row r="48" spans="1:47" ht="19.95" customHeight="1">
      <c r="A48" s="128" t="s">
        <v>211</v>
      </c>
      <c r="B48" s="128" t="s">
        <v>212</v>
      </c>
      <c r="C48" s="120" t="s">
        <v>225</v>
      </c>
      <c r="D48" s="119" t="s">
        <v>137</v>
      </c>
      <c r="E48" s="10"/>
      <c r="F48" s="238">
        <v>20</v>
      </c>
      <c r="G48" s="111" t="s">
        <v>61</v>
      </c>
      <c r="H48" s="111" t="s">
        <v>10</v>
      </c>
      <c r="I48" s="111" t="s">
        <v>10</v>
      </c>
      <c r="J48" s="8" t="s">
        <v>17</v>
      </c>
      <c r="K48" s="9" t="s">
        <v>446</v>
      </c>
      <c r="L48" s="9"/>
      <c r="M48" s="150"/>
      <c r="N48" s="32" t="s">
        <v>77</v>
      </c>
      <c r="O48" s="32" t="s">
        <v>94</v>
      </c>
      <c r="P48" s="32" t="s">
        <v>94</v>
      </c>
      <c r="Q48" s="32" t="s">
        <v>94</v>
      </c>
      <c r="R48" s="32" t="s">
        <v>94</v>
      </c>
      <c r="S48" s="32" t="s">
        <v>77</v>
      </c>
      <c r="T48" s="9"/>
      <c r="U48" s="8" t="s">
        <v>196</v>
      </c>
      <c r="V48" s="8" t="s">
        <v>77</v>
      </c>
      <c r="W48" s="8"/>
      <c r="X48" s="12"/>
      <c r="Y48" s="42"/>
      <c r="Z48" s="41"/>
      <c r="AA48" s="41"/>
      <c r="AB48" s="41"/>
      <c r="AC48" s="41"/>
      <c r="AD48" s="41"/>
      <c r="AE48" s="43"/>
      <c r="AF48" s="43"/>
      <c r="AG48" s="43"/>
      <c r="AH48" s="43"/>
      <c r="AI48" s="43"/>
      <c r="AJ48" s="43"/>
      <c r="AK48" s="43"/>
      <c r="AL48" s="43"/>
      <c r="AM48" s="43"/>
      <c r="AN48" s="27" t="s">
        <v>77</v>
      </c>
      <c r="AO48" s="27" t="s">
        <v>77</v>
      </c>
      <c r="AP48" s="27" t="s">
        <v>77</v>
      </c>
      <c r="AQ48" s="27" t="s">
        <v>77</v>
      </c>
      <c r="AR48" s="27" t="s">
        <v>77</v>
      </c>
      <c r="AS48" s="27" t="s">
        <v>77</v>
      </c>
      <c r="AT48" s="27" t="s">
        <v>77</v>
      </c>
      <c r="AU48" s="27"/>
    </row>
    <row r="49" spans="1:47" ht="19.95" customHeight="1">
      <c r="A49" s="145" t="s">
        <v>177</v>
      </c>
      <c r="B49" s="120" t="s">
        <v>185</v>
      </c>
      <c r="C49" s="120" t="s">
        <v>183</v>
      </c>
      <c r="D49" s="119" t="s">
        <v>120</v>
      </c>
      <c r="E49" s="10"/>
      <c r="F49" s="141">
        <v>30</v>
      </c>
      <c r="G49" s="111" t="s">
        <v>87</v>
      </c>
      <c r="H49" s="40" t="s">
        <v>7</v>
      </c>
      <c r="I49" s="40" t="s">
        <v>7</v>
      </c>
      <c r="J49" s="8" t="s">
        <v>17</v>
      </c>
      <c r="K49" s="9"/>
      <c r="L49" s="9"/>
      <c r="M49" s="150"/>
      <c r="N49" s="32" t="s">
        <v>77</v>
      </c>
      <c r="O49" s="32" t="s">
        <v>90</v>
      </c>
      <c r="P49" s="32" t="s">
        <v>94</v>
      </c>
      <c r="Q49" s="32" t="s">
        <v>77</v>
      </c>
      <c r="R49" s="32" t="s">
        <v>76</v>
      </c>
      <c r="S49" s="32" t="s">
        <v>77</v>
      </c>
      <c r="T49" s="9" t="s">
        <v>7</v>
      </c>
      <c r="U49" s="8" t="s">
        <v>105</v>
      </c>
      <c r="V49" s="8"/>
      <c r="W49" s="8"/>
      <c r="X49" s="12"/>
      <c r="Y49" s="42"/>
      <c r="Z49" s="41"/>
      <c r="AA49" s="41"/>
      <c r="AB49" s="41">
        <v>46218</v>
      </c>
      <c r="AC49" s="41"/>
      <c r="AD49" s="41"/>
      <c r="AE49" s="43"/>
      <c r="AF49" s="43"/>
      <c r="AG49" s="43"/>
      <c r="AH49" s="43"/>
      <c r="AI49" s="43"/>
      <c r="AJ49" s="43"/>
      <c r="AK49" s="43"/>
      <c r="AL49" s="43"/>
      <c r="AM49" s="43"/>
      <c r="AN49" s="27" t="s">
        <v>77</v>
      </c>
      <c r="AO49" s="27" t="s">
        <v>77</v>
      </c>
      <c r="AP49" s="27" t="s">
        <v>77</v>
      </c>
      <c r="AQ49" s="27" t="s">
        <v>77</v>
      </c>
      <c r="AR49" s="27" t="s">
        <v>77</v>
      </c>
      <c r="AS49" s="27" t="s">
        <v>77</v>
      </c>
      <c r="AT49" s="27" t="s">
        <v>77</v>
      </c>
      <c r="AU49" s="118"/>
    </row>
    <row r="50" spans="1:47" ht="19.95" customHeight="1">
      <c r="A50" s="122" t="s">
        <v>221</v>
      </c>
      <c r="B50" s="122" t="s">
        <v>222</v>
      </c>
      <c r="C50" s="123" t="s">
        <v>225</v>
      </c>
      <c r="D50" s="154" t="s">
        <v>6</v>
      </c>
      <c r="E50" s="10"/>
      <c r="F50" s="239">
        <v>22</v>
      </c>
      <c r="G50" s="111" t="s">
        <v>87</v>
      </c>
      <c r="H50" s="111" t="s">
        <v>8</v>
      </c>
      <c r="I50" s="11" t="s">
        <v>61</v>
      </c>
      <c r="J50" s="8" t="s">
        <v>17</v>
      </c>
      <c r="K50" s="9"/>
      <c r="L50" s="9"/>
      <c r="M50" s="150"/>
      <c r="N50" s="32" t="s">
        <v>77</v>
      </c>
      <c r="O50" s="32" t="s">
        <v>90</v>
      </c>
      <c r="P50" s="32" t="s">
        <v>94</v>
      </c>
      <c r="Q50" s="32" t="s">
        <v>94</v>
      </c>
      <c r="R50" s="32" t="s">
        <v>94</v>
      </c>
      <c r="S50" s="32" t="s">
        <v>77</v>
      </c>
      <c r="T50" s="9" t="s">
        <v>317</v>
      </c>
      <c r="U50" s="8" t="s">
        <v>196</v>
      </c>
      <c r="V50" s="8" t="s">
        <v>77</v>
      </c>
      <c r="W50" s="8"/>
      <c r="X50" s="12" t="s">
        <v>413</v>
      </c>
      <c r="Y50" s="42"/>
      <c r="Z50" s="41"/>
      <c r="AA50" s="41"/>
      <c r="AB50" s="41">
        <v>46224</v>
      </c>
      <c r="AC50" s="41"/>
      <c r="AD50" s="41"/>
      <c r="AE50" s="43"/>
      <c r="AF50" s="43"/>
      <c r="AG50" s="43"/>
      <c r="AH50" s="43"/>
      <c r="AI50" s="43"/>
      <c r="AJ50" s="43"/>
      <c r="AK50" s="43"/>
      <c r="AL50" s="43"/>
      <c r="AM50" s="43"/>
      <c r="AN50" s="27" t="s">
        <v>77</v>
      </c>
      <c r="AO50" s="27" t="s">
        <v>77</v>
      </c>
      <c r="AP50" s="27" t="s">
        <v>77</v>
      </c>
      <c r="AQ50" s="27" t="s">
        <v>77</v>
      </c>
      <c r="AR50" s="27" t="s">
        <v>77</v>
      </c>
      <c r="AS50" s="27" t="s">
        <v>77</v>
      </c>
      <c r="AT50" s="27" t="s">
        <v>77</v>
      </c>
      <c r="AU50" s="27"/>
    </row>
    <row r="51" spans="1:47" ht="19.95" customHeight="1">
      <c r="A51" s="180" t="s">
        <v>219</v>
      </c>
      <c r="B51" s="181" t="s">
        <v>302</v>
      </c>
      <c r="C51" s="152" t="s">
        <v>225</v>
      </c>
      <c r="D51" s="153" t="s">
        <v>120</v>
      </c>
      <c r="E51" s="10"/>
      <c r="F51" s="155">
        <v>30</v>
      </c>
      <c r="G51" s="111" t="s">
        <v>87</v>
      </c>
      <c r="H51" s="40" t="s">
        <v>8</v>
      </c>
      <c r="I51" s="11" t="s">
        <v>61</v>
      </c>
      <c r="J51" s="8" t="s">
        <v>17</v>
      </c>
      <c r="K51" s="9"/>
      <c r="L51" s="9"/>
      <c r="M51" s="150"/>
      <c r="N51" s="32" t="s">
        <v>77</v>
      </c>
      <c r="O51" s="32" t="s">
        <v>77</v>
      </c>
      <c r="P51" s="32" t="s">
        <v>94</v>
      </c>
      <c r="Q51" s="32" t="s">
        <v>77</v>
      </c>
      <c r="R51" s="32" t="s">
        <v>77</v>
      </c>
      <c r="S51" s="32" t="s">
        <v>77</v>
      </c>
      <c r="T51" s="9" t="s">
        <v>316</v>
      </c>
      <c r="U51" s="8" t="s">
        <v>196</v>
      </c>
      <c r="V51" s="8" t="s">
        <v>77</v>
      </c>
      <c r="W51" s="8"/>
      <c r="X51" s="12" t="s">
        <v>412</v>
      </c>
      <c r="Y51" s="42"/>
      <c r="Z51" s="41"/>
      <c r="AA51" s="41"/>
      <c r="AB51" s="41">
        <v>46224</v>
      </c>
      <c r="AC51" s="41"/>
      <c r="AD51" s="41"/>
      <c r="AE51" s="43"/>
      <c r="AF51" s="43"/>
      <c r="AG51" s="43"/>
      <c r="AH51" s="43"/>
      <c r="AI51" s="43"/>
      <c r="AJ51" s="43"/>
      <c r="AK51" s="43"/>
      <c r="AL51" s="43"/>
      <c r="AM51" s="43"/>
      <c r="AN51" s="27" t="s">
        <v>77</v>
      </c>
      <c r="AO51" s="27" t="s">
        <v>77</v>
      </c>
      <c r="AP51" s="27" t="s">
        <v>77</v>
      </c>
      <c r="AQ51" s="27" t="s">
        <v>77</v>
      </c>
      <c r="AR51" s="27" t="s">
        <v>77</v>
      </c>
      <c r="AS51" s="27" t="s">
        <v>77</v>
      </c>
      <c r="AT51" s="27" t="s">
        <v>77</v>
      </c>
      <c r="AU51" s="27"/>
    </row>
    <row r="52" spans="1:47" ht="19.95" customHeight="1">
      <c r="A52" s="178" t="s">
        <v>223</v>
      </c>
      <c r="B52" s="179" t="s">
        <v>224</v>
      </c>
      <c r="C52" s="134" t="s">
        <v>225</v>
      </c>
      <c r="D52" s="136" t="s">
        <v>6</v>
      </c>
      <c r="E52" s="10"/>
      <c r="F52" s="140">
        <v>20</v>
      </c>
      <c r="G52" s="111" t="s">
        <v>87</v>
      </c>
      <c r="H52" s="40" t="s">
        <v>8</v>
      </c>
      <c r="I52" s="11" t="s">
        <v>61</v>
      </c>
      <c r="J52" s="8" t="s">
        <v>17</v>
      </c>
      <c r="K52" s="9"/>
      <c r="L52" s="9"/>
      <c r="M52" s="150"/>
      <c r="N52" s="32" t="s">
        <v>77</v>
      </c>
      <c r="O52" s="32" t="s">
        <v>94</v>
      </c>
      <c r="P52" s="32" t="s">
        <v>94</v>
      </c>
      <c r="Q52" s="32" t="s">
        <v>94</v>
      </c>
      <c r="R52" s="32" t="s">
        <v>94</v>
      </c>
      <c r="S52" s="32" t="s">
        <v>77</v>
      </c>
      <c r="T52" s="9" t="s">
        <v>318</v>
      </c>
      <c r="U52" s="8" t="s">
        <v>107</v>
      </c>
      <c r="V52" s="8" t="s">
        <v>77</v>
      </c>
      <c r="W52" s="8"/>
      <c r="X52" s="12" t="s">
        <v>323</v>
      </c>
      <c r="Y52" s="42"/>
      <c r="Z52" s="41"/>
      <c r="AA52" s="41"/>
      <c r="AB52" s="41">
        <v>46224</v>
      </c>
      <c r="AC52" s="41"/>
      <c r="AD52" s="41"/>
      <c r="AE52" s="43"/>
      <c r="AF52" s="43"/>
      <c r="AG52" s="43"/>
      <c r="AH52" s="43"/>
      <c r="AI52" s="43"/>
      <c r="AJ52" s="43"/>
      <c r="AK52" s="43"/>
      <c r="AL52" s="43"/>
      <c r="AM52" s="43"/>
      <c r="AN52" s="27" t="s">
        <v>77</v>
      </c>
      <c r="AO52" s="27" t="s">
        <v>77</v>
      </c>
      <c r="AP52" s="27" t="s">
        <v>77</v>
      </c>
      <c r="AQ52" s="27" t="s">
        <v>77</v>
      </c>
      <c r="AR52" s="27" t="s">
        <v>77</v>
      </c>
      <c r="AS52" s="27" t="s">
        <v>77</v>
      </c>
      <c r="AT52" s="27" t="s">
        <v>77</v>
      </c>
      <c r="AU52" s="27"/>
    </row>
    <row r="53" spans="1:47" ht="19.95" customHeight="1">
      <c r="A53" s="145" t="s">
        <v>179</v>
      </c>
      <c r="B53" s="120" t="s">
        <v>187</v>
      </c>
      <c r="C53" s="120" t="s">
        <v>188</v>
      </c>
      <c r="D53" s="119" t="s">
        <v>120</v>
      </c>
      <c r="E53" s="10"/>
      <c r="F53" s="141">
        <v>25</v>
      </c>
      <c r="G53" s="111" t="s">
        <v>87</v>
      </c>
      <c r="H53" s="40" t="s">
        <v>7</v>
      </c>
      <c r="I53" s="40" t="s">
        <v>7</v>
      </c>
      <c r="J53" s="8" t="s">
        <v>17</v>
      </c>
      <c r="K53" s="9"/>
      <c r="L53" s="9"/>
      <c r="M53" s="150"/>
      <c r="N53" s="32" t="s">
        <v>77</v>
      </c>
      <c r="O53" s="32" t="s">
        <v>90</v>
      </c>
      <c r="P53" s="32" t="s">
        <v>77</v>
      </c>
      <c r="Q53" s="32" t="s">
        <v>94</v>
      </c>
      <c r="R53" s="32" t="s">
        <v>76</v>
      </c>
      <c r="S53" s="32" t="s">
        <v>77</v>
      </c>
      <c r="T53" s="9" t="s">
        <v>7</v>
      </c>
      <c r="U53" s="8" t="s">
        <v>105</v>
      </c>
      <c r="V53" s="8"/>
      <c r="W53" s="8"/>
      <c r="X53" s="12"/>
      <c r="Y53" s="42"/>
      <c r="Z53" s="41"/>
      <c r="AA53" s="41"/>
      <c r="AB53" s="41">
        <v>46218</v>
      </c>
      <c r="AC53" s="41"/>
      <c r="AD53" s="41"/>
      <c r="AE53" s="43"/>
      <c r="AF53" s="43"/>
      <c r="AG53" s="43"/>
      <c r="AH53" s="43"/>
      <c r="AI53" s="43"/>
      <c r="AJ53" s="43"/>
      <c r="AK53" s="43"/>
      <c r="AL53" s="43"/>
      <c r="AM53" s="43"/>
      <c r="AN53" s="27" t="s">
        <v>77</v>
      </c>
      <c r="AO53" s="27" t="s">
        <v>77</v>
      </c>
      <c r="AP53" s="27" t="s">
        <v>77</v>
      </c>
      <c r="AQ53" s="27" t="s">
        <v>77</v>
      </c>
      <c r="AR53" s="27" t="s">
        <v>77</v>
      </c>
      <c r="AS53" s="27" t="s">
        <v>77</v>
      </c>
      <c r="AT53" s="27" t="s">
        <v>77</v>
      </c>
      <c r="AU53" s="118"/>
    </row>
    <row r="54" spans="1:47" ht="19.95" customHeight="1">
      <c r="A54" s="144" t="s">
        <v>180</v>
      </c>
      <c r="B54" s="21" t="s">
        <v>189</v>
      </c>
      <c r="C54" s="21" t="s">
        <v>188</v>
      </c>
      <c r="D54" s="20" t="s">
        <v>137</v>
      </c>
      <c r="E54" s="10"/>
      <c r="F54" s="143">
        <v>25</v>
      </c>
      <c r="G54" s="111" t="s">
        <v>87</v>
      </c>
      <c r="H54" s="40" t="s">
        <v>7</v>
      </c>
      <c r="I54" s="40" t="s">
        <v>7</v>
      </c>
      <c r="J54" s="8" t="s">
        <v>17</v>
      </c>
      <c r="K54" s="9"/>
      <c r="L54" s="9"/>
      <c r="M54" s="150"/>
      <c r="N54" s="32" t="s">
        <v>77</v>
      </c>
      <c r="O54" s="32" t="s">
        <v>90</v>
      </c>
      <c r="P54" s="32" t="s">
        <v>77</v>
      </c>
      <c r="Q54" s="32" t="s">
        <v>94</v>
      </c>
      <c r="R54" s="32" t="s">
        <v>76</v>
      </c>
      <c r="S54" s="32" t="s">
        <v>77</v>
      </c>
      <c r="T54" s="9" t="s">
        <v>7</v>
      </c>
      <c r="U54" s="8" t="s">
        <v>105</v>
      </c>
      <c r="V54" s="8"/>
      <c r="W54" s="8"/>
      <c r="X54" s="12"/>
      <c r="Y54" s="42"/>
      <c r="Z54" s="41"/>
      <c r="AA54" s="41"/>
      <c r="AB54" s="41">
        <v>46218</v>
      </c>
      <c r="AC54" s="41"/>
      <c r="AD54" s="41"/>
      <c r="AE54" s="43"/>
      <c r="AF54" s="43"/>
      <c r="AG54" s="43"/>
      <c r="AH54" s="43"/>
      <c r="AI54" s="43"/>
      <c r="AJ54" s="43"/>
      <c r="AK54" s="43"/>
      <c r="AL54" s="43"/>
      <c r="AM54" s="43"/>
      <c r="AN54" s="27" t="s">
        <v>77</v>
      </c>
      <c r="AO54" s="27" t="s">
        <v>77</v>
      </c>
      <c r="AP54" s="27" t="s">
        <v>77</v>
      </c>
      <c r="AQ54" s="27" t="s">
        <v>77</v>
      </c>
      <c r="AR54" s="27" t="s">
        <v>77</v>
      </c>
      <c r="AS54" s="27" t="s">
        <v>77</v>
      </c>
      <c r="AT54" s="27" t="s">
        <v>77</v>
      </c>
      <c r="AU54" s="118"/>
    </row>
    <row r="55" spans="1:47" ht="19.95" customHeight="1">
      <c r="A55" s="177" t="s">
        <v>213</v>
      </c>
      <c r="B55" s="177" t="s">
        <v>214</v>
      </c>
      <c r="C55" s="21" t="s">
        <v>225</v>
      </c>
      <c r="D55" s="20" t="s">
        <v>121</v>
      </c>
      <c r="E55" s="10" t="s">
        <v>9</v>
      </c>
      <c r="F55" s="138">
        <v>25</v>
      </c>
      <c r="G55" s="111" t="s">
        <v>61</v>
      </c>
      <c r="H55" s="111" t="s">
        <v>7</v>
      </c>
      <c r="I55" s="111" t="s">
        <v>7</v>
      </c>
      <c r="J55" s="8" t="s">
        <v>17</v>
      </c>
      <c r="K55" s="9" t="s">
        <v>484</v>
      </c>
      <c r="L55" s="9">
        <v>19014</v>
      </c>
      <c r="M55" s="9"/>
      <c r="N55" s="32" t="s">
        <v>332</v>
      </c>
      <c r="O55" s="32" t="s">
        <v>90</v>
      </c>
      <c r="P55" s="32" t="s">
        <v>94</v>
      </c>
      <c r="Q55" s="32" t="s">
        <v>94</v>
      </c>
      <c r="R55" s="32" t="s">
        <v>76</v>
      </c>
      <c r="S55" s="32" t="s">
        <v>77</v>
      </c>
      <c r="T55" s="9" t="s">
        <v>7</v>
      </c>
      <c r="U55" s="8" t="s">
        <v>105</v>
      </c>
      <c r="V55" s="8"/>
      <c r="W55" s="8"/>
      <c r="X55" s="12"/>
      <c r="Y55" s="42"/>
      <c r="Z55" s="41"/>
      <c r="AA55" s="41"/>
      <c r="AB55" s="41"/>
      <c r="AC55" s="41"/>
      <c r="AD55" s="41"/>
      <c r="AE55" s="43"/>
      <c r="AF55" s="43"/>
      <c r="AG55" s="43"/>
      <c r="AH55" s="43"/>
      <c r="AI55" s="43"/>
      <c r="AJ55" s="43"/>
      <c r="AK55" s="43"/>
      <c r="AL55" s="43"/>
      <c r="AM55" s="43"/>
      <c r="AN55" s="27" t="s">
        <v>77</v>
      </c>
      <c r="AO55" s="27" t="s">
        <v>77</v>
      </c>
      <c r="AP55" s="27" t="s">
        <v>77</v>
      </c>
      <c r="AQ55" s="27" t="s">
        <v>77</v>
      </c>
      <c r="AR55" s="27" t="s">
        <v>77</v>
      </c>
      <c r="AS55" s="27" t="s">
        <v>77</v>
      </c>
      <c r="AT55" s="27" t="s">
        <v>77</v>
      </c>
      <c r="AU55" s="27"/>
    </row>
    <row r="56" spans="1:47" ht="19.95" customHeight="1">
      <c r="A56" s="198" t="s">
        <v>215</v>
      </c>
      <c r="B56" s="198" t="s">
        <v>216</v>
      </c>
      <c r="C56" s="85" t="s">
        <v>225</v>
      </c>
      <c r="D56" s="135" t="s">
        <v>6</v>
      </c>
      <c r="E56" s="10"/>
      <c r="F56" s="240">
        <v>20</v>
      </c>
      <c r="G56" s="111" t="s">
        <v>61</v>
      </c>
      <c r="H56" s="111" t="s">
        <v>7</v>
      </c>
      <c r="I56" s="111" t="s">
        <v>7</v>
      </c>
      <c r="J56" s="8" t="s">
        <v>17</v>
      </c>
      <c r="K56" s="9" t="s">
        <v>484</v>
      </c>
      <c r="L56" s="9">
        <v>19051</v>
      </c>
      <c r="M56" s="9"/>
      <c r="N56" s="32" t="s">
        <v>332</v>
      </c>
      <c r="O56" s="32" t="s">
        <v>90</v>
      </c>
      <c r="P56" s="32" t="s">
        <v>94</v>
      </c>
      <c r="Q56" s="32" t="s">
        <v>94</v>
      </c>
      <c r="R56" s="32" t="s">
        <v>76</v>
      </c>
      <c r="S56" s="32" t="s">
        <v>77</v>
      </c>
      <c r="T56" s="9" t="s">
        <v>7</v>
      </c>
      <c r="U56" s="8" t="s">
        <v>105</v>
      </c>
      <c r="V56" s="8"/>
      <c r="W56" s="8"/>
      <c r="X56" s="12"/>
      <c r="Y56" s="42"/>
      <c r="Z56" s="41"/>
      <c r="AA56" s="41"/>
      <c r="AB56" s="41"/>
      <c r="AC56" s="41"/>
      <c r="AD56" s="41"/>
      <c r="AE56" s="43"/>
      <c r="AF56" s="43"/>
      <c r="AG56" s="43"/>
      <c r="AH56" s="43"/>
      <c r="AI56" s="43"/>
      <c r="AJ56" s="43"/>
      <c r="AK56" s="43"/>
      <c r="AL56" s="43"/>
      <c r="AM56" s="43"/>
      <c r="AN56" s="27" t="s">
        <v>77</v>
      </c>
      <c r="AO56" s="27" t="s">
        <v>77</v>
      </c>
      <c r="AP56" s="27" t="s">
        <v>77</v>
      </c>
      <c r="AQ56" s="27" t="s">
        <v>77</v>
      </c>
      <c r="AR56" s="27" t="s">
        <v>77</v>
      </c>
      <c r="AS56" s="27" t="s">
        <v>77</v>
      </c>
      <c r="AT56" s="27" t="s">
        <v>77</v>
      </c>
      <c r="AU56" s="27"/>
    </row>
    <row r="57" spans="1:47" ht="19.95" customHeight="1">
      <c r="A57" s="198" t="s">
        <v>217</v>
      </c>
      <c r="B57" s="198" t="s">
        <v>218</v>
      </c>
      <c r="C57" s="85" t="s">
        <v>225</v>
      </c>
      <c r="D57" s="135" t="s">
        <v>11</v>
      </c>
      <c r="E57" s="10" t="s">
        <v>12</v>
      </c>
      <c r="F57" s="240">
        <v>30</v>
      </c>
      <c r="G57" s="111" t="s">
        <v>61</v>
      </c>
      <c r="H57" s="111" t="s">
        <v>7</v>
      </c>
      <c r="I57" s="111" t="s">
        <v>7</v>
      </c>
      <c r="J57" s="8" t="s">
        <v>17</v>
      </c>
      <c r="K57" s="9" t="s">
        <v>484</v>
      </c>
      <c r="L57" s="9">
        <v>19250</v>
      </c>
      <c r="M57" s="9"/>
      <c r="N57" s="32" t="s">
        <v>332</v>
      </c>
      <c r="O57" s="32" t="s">
        <v>77</v>
      </c>
      <c r="P57" s="32" t="s">
        <v>94</v>
      </c>
      <c r="Q57" s="32" t="s">
        <v>77</v>
      </c>
      <c r="R57" s="32" t="s">
        <v>76</v>
      </c>
      <c r="S57" s="32" t="s">
        <v>77</v>
      </c>
      <c r="T57" s="9" t="s">
        <v>7</v>
      </c>
      <c r="U57" s="8" t="s">
        <v>196</v>
      </c>
      <c r="V57" s="8"/>
      <c r="W57" s="8"/>
      <c r="X57" s="12"/>
      <c r="Y57" s="42"/>
      <c r="Z57" s="41"/>
      <c r="AA57" s="41"/>
      <c r="AB57" s="41"/>
      <c r="AC57" s="41"/>
      <c r="AD57" s="41"/>
      <c r="AE57" s="43"/>
      <c r="AF57" s="43"/>
      <c r="AG57" s="43"/>
      <c r="AH57" s="43"/>
      <c r="AI57" s="43"/>
      <c r="AJ57" s="43"/>
      <c r="AK57" s="43"/>
      <c r="AL57" s="43"/>
      <c r="AM57" s="43"/>
      <c r="AN57" s="27" t="s">
        <v>77</v>
      </c>
      <c r="AO57" s="27" t="s">
        <v>77</v>
      </c>
      <c r="AP57" s="27" t="s">
        <v>77</v>
      </c>
      <c r="AQ57" s="27" t="s">
        <v>77</v>
      </c>
      <c r="AR57" s="27" t="s">
        <v>77</v>
      </c>
      <c r="AS57" s="27" t="s">
        <v>77</v>
      </c>
      <c r="AT57" s="27" t="s">
        <v>77</v>
      </c>
      <c r="AU57" s="27"/>
    </row>
    <row r="58" spans="1:47" ht="19.95" customHeight="1">
      <c r="A58" s="199" t="s">
        <v>203</v>
      </c>
      <c r="B58" s="200" t="s">
        <v>204</v>
      </c>
      <c r="C58" s="37" t="s">
        <v>225</v>
      </c>
      <c r="D58" s="8" t="s">
        <v>6</v>
      </c>
      <c r="E58" s="10"/>
      <c r="F58" s="139">
        <v>20</v>
      </c>
      <c r="G58" s="111" t="s">
        <v>61</v>
      </c>
      <c r="H58" s="40" t="s">
        <v>7</v>
      </c>
      <c r="I58" s="111" t="s">
        <v>7</v>
      </c>
      <c r="J58" s="8" t="s">
        <v>17</v>
      </c>
      <c r="K58" s="9" t="s">
        <v>484</v>
      </c>
      <c r="L58" s="9">
        <v>19046</v>
      </c>
      <c r="M58" s="9"/>
      <c r="N58" s="32" t="s">
        <v>332</v>
      </c>
      <c r="O58" s="32" t="s">
        <v>94</v>
      </c>
      <c r="P58" s="32" t="s">
        <v>94</v>
      </c>
      <c r="Q58" s="32" t="s">
        <v>94</v>
      </c>
      <c r="R58" s="32" t="s">
        <v>76</v>
      </c>
      <c r="S58" s="32" t="s">
        <v>77</v>
      </c>
      <c r="T58" s="9" t="s">
        <v>7</v>
      </c>
      <c r="U58" s="8" t="s">
        <v>105</v>
      </c>
      <c r="V58" s="8"/>
      <c r="W58" s="8"/>
      <c r="X58" s="12"/>
      <c r="Y58" s="42"/>
      <c r="Z58" s="41"/>
      <c r="AA58" s="41"/>
      <c r="AB58" s="41"/>
      <c r="AC58" s="41"/>
      <c r="AD58" s="41"/>
      <c r="AE58" s="43"/>
      <c r="AF58" s="43"/>
      <c r="AG58" s="43"/>
      <c r="AH58" s="43"/>
      <c r="AI58" s="43"/>
      <c r="AJ58" s="43"/>
      <c r="AK58" s="43"/>
      <c r="AL58" s="43"/>
      <c r="AM58" s="43"/>
      <c r="AN58" s="27" t="s">
        <v>77</v>
      </c>
      <c r="AO58" s="27" t="s">
        <v>77</v>
      </c>
      <c r="AP58" s="27" t="s">
        <v>77</v>
      </c>
      <c r="AQ58" s="27" t="s">
        <v>77</v>
      </c>
      <c r="AR58" s="27" t="s">
        <v>77</v>
      </c>
      <c r="AS58" s="27" t="s">
        <v>77</v>
      </c>
      <c r="AT58" s="27" t="s">
        <v>77</v>
      </c>
      <c r="AU58" s="27"/>
    </row>
    <row r="59" spans="1:47" ht="19.95" customHeight="1">
      <c r="A59" s="199" t="s">
        <v>305</v>
      </c>
      <c r="B59" s="200" t="s">
        <v>306</v>
      </c>
      <c r="C59" s="37" t="s">
        <v>183</v>
      </c>
      <c r="D59" s="8" t="s">
        <v>121</v>
      </c>
      <c r="E59" s="10"/>
      <c r="F59" s="139">
        <v>20</v>
      </c>
      <c r="G59" s="111" t="s">
        <v>61</v>
      </c>
      <c r="H59" s="40" t="s">
        <v>10</v>
      </c>
      <c r="I59" s="40" t="s">
        <v>10</v>
      </c>
      <c r="J59" s="8" t="s">
        <v>17</v>
      </c>
      <c r="K59" s="9"/>
      <c r="L59" s="9">
        <v>19176</v>
      </c>
      <c r="M59" s="9"/>
      <c r="N59" s="32" t="s">
        <v>332</v>
      </c>
      <c r="O59" s="32" t="s">
        <v>77</v>
      </c>
      <c r="P59" s="32" t="s">
        <v>77</v>
      </c>
      <c r="Q59" s="32" t="s">
        <v>77</v>
      </c>
      <c r="R59" s="32" t="s">
        <v>77</v>
      </c>
      <c r="S59" s="32" t="s">
        <v>77</v>
      </c>
      <c r="T59" s="9" t="s">
        <v>312</v>
      </c>
      <c r="U59" s="8" t="s">
        <v>196</v>
      </c>
      <c r="V59" s="8" t="s">
        <v>94</v>
      </c>
      <c r="W59" s="8"/>
      <c r="X59" s="12"/>
      <c r="Y59" s="42"/>
      <c r="Z59" s="41"/>
      <c r="AA59" s="41"/>
      <c r="AB59" s="41"/>
      <c r="AC59" s="41"/>
      <c r="AD59" s="41"/>
      <c r="AE59" s="43"/>
      <c r="AF59" s="43"/>
      <c r="AG59" s="43"/>
      <c r="AH59" s="43"/>
      <c r="AI59" s="43"/>
      <c r="AJ59" s="43"/>
      <c r="AK59" s="43"/>
      <c r="AL59" s="43"/>
      <c r="AM59" s="43"/>
      <c r="AN59" s="27" t="s">
        <v>77</v>
      </c>
      <c r="AO59" s="27" t="s">
        <v>77</v>
      </c>
      <c r="AP59" s="27" t="s">
        <v>77</v>
      </c>
      <c r="AQ59" s="27" t="s">
        <v>77</v>
      </c>
      <c r="AR59" s="27" t="s">
        <v>77</v>
      </c>
      <c r="AS59" s="27" t="s">
        <v>77</v>
      </c>
      <c r="AT59" s="27" t="s">
        <v>77</v>
      </c>
      <c r="AU59" s="27"/>
    </row>
    <row r="60" spans="1:47" ht="19.95" customHeight="1">
      <c r="A60" s="37" t="s">
        <v>289</v>
      </c>
      <c r="B60" s="37" t="s">
        <v>290</v>
      </c>
      <c r="C60" s="37" t="s">
        <v>307</v>
      </c>
      <c r="D60" s="8" t="s">
        <v>120</v>
      </c>
      <c r="E60" s="10"/>
      <c r="F60" s="138">
        <v>30</v>
      </c>
      <c r="G60" s="111" t="s">
        <v>87</v>
      </c>
      <c r="H60" s="40" t="s">
        <v>7</v>
      </c>
      <c r="I60" s="111" t="s">
        <v>7</v>
      </c>
      <c r="J60" s="8" t="s">
        <v>17</v>
      </c>
      <c r="K60" s="9" t="s">
        <v>307</v>
      </c>
      <c r="L60" s="9"/>
      <c r="M60" s="150"/>
      <c r="N60" s="32" t="s">
        <v>77</v>
      </c>
      <c r="O60" s="32" t="s">
        <v>90</v>
      </c>
      <c r="P60" s="32" t="s">
        <v>77</v>
      </c>
      <c r="Q60" s="32" t="s">
        <v>77</v>
      </c>
      <c r="R60" s="32" t="s">
        <v>76</v>
      </c>
      <c r="S60" s="32" t="s">
        <v>77</v>
      </c>
      <c r="T60" s="9" t="s">
        <v>7</v>
      </c>
      <c r="U60" s="8" t="s">
        <v>107</v>
      </c>
      <c r="V60" s="8"/>
      <c r="W60" s="8"/>
      <c r="X60" s="12"/>
      <c r="Y60" s="42"/>
      <c r="Z60" s="41"/>
      <c r="AA60" s="41"/>
      <c r="AB60" s="41"/>
      <c r="AC60" s="41"/>
      <c r="AD60" s="41"/>
      <c r="AE60" s="43"/>
      <c r="AF60" s="43"/>
      <c r="AG60" s="43"/>
      <c r="AH60" s="43"/>
      <c r="AI60" s="43"/>
      <c r="AJ60" s="43"/>
      <c r="AK60" s="43"/>
      <c r="AL60" s="43"/>
      <c r="AM60" s="43"/>
      <c r="AN60" s="27" t="s">
        <v>77</v>
      </c>
      <c r="AO60" s="27" t="s">
        <v>77</v>
      </c>
      <c r="AP60" s="27" t="s">
        <v>77</v>
      </c>
      <c r="AQ60" s="27" t="s">
        <v>77</v>
      </c>
      <c r="AR60" s="27" t="s">
        <v>77</v>
      </c>
      <c r="AS60" s="27" t="s">
        <v>77</v>
      </c>
      <c r="AT60" s="27" t="s">
        <v>77</v>
      </c>
      <c r="AU60" s="27"/>
    </row>
    <row r="61" spans="1:47" ht="19.95" customHeight="1">
      <c r="A61" s="201" t="s">
        <v>205</v>
      </c>
      <c r="B61" s="201" t="s">
        <v>206</v>
      </c>
      <c r="C61" s="21" t="s">
        <v>225</v>
      </c>
      <c r="D61" s="20" t="s">
        <v>6</v>
      </c>
      <c r="E61" s="10"/>
      <c r="F61" s="138">
        <v>20</v>
      </c>
      <c r="G61" s="111" t="s">
        <v>61</v>
      </c>
      <c r="H61" s="111" t="s">
        <v>7</v>
      </c>
      <c r="I61" s="111" t="s">
        <v>7</v>
      </c>
      <c r="J61" s="8" t="s">
        <v>17</v>
      </c>
      <c r="K61" s="9" t="s">
        <v>486</v>
      </c>
      <c r="L61" s="9">
        <v>19254</v>
      </c>
      <c r="M61" s="9"/>
      <c r="N61" s="32" t="s">
        <v>332</v>
      </c>
      <c r="O61" s="32" t="s">
        <v>94</v>
      </c>
      <c r="P61" s="32" t="s">
        <v>94</v>
      </c>
      <c r="Q61" s="32" t="s">
        <v>94</v>
      </c>
      <c r="R61" s="32" t="s">
        <v>76</v>
      </c>
      <c r="S61" s="32" t="s">
        <v>77</v>
      </c>
      <c r="T61" s="9" t="s">
        <v>7</v>
      </c>
      <c r="U61" s="8" t="s">
        <v>105</v>
      </c>
      <c r="V61" s="8"/>
      <c r="W61" s="8"/>
      <c r="X61" s="12"/>
      <c r="Y61" s="42"/>
      <c r="Z61" s="41"/>
      <c r="AA61" s="41"/>
      <c r="AB61" s="41"/>
      <c r="AC61" s="41"/>
      <c r="AD61" s="41"/>
      <c r="AE61" s="43"/>
      <c r="AF61" s="43"/>
      <c r="AG61" s="43"/>
      <c r="AH61" s="43"/>
      <c r="AI61" s="43"/>
      <c r="AJ61" s="43"/>
      <c r="AK61" s="43"/>
      <c r="AL61" s="43"/>
      <c r="AM61" s="43"/>
      <c r="AN61" s="27" t="s">
        <v>77</v>
      </c>
      <c r="AO61" s="27" t="s">
        <v>77</v>
      </c>
      <c r="AP61" s="27" t="s">
        <v>77</v>
      </c>
      <c r="AQ61" s="27" t="s">
        <v>77</v>
      </c>
      <c r="AR61" s="27" t="s">
        <v>77</v>
      </c>
      <c r="AS61" s="27" t="s">
        <v>77</v>
      </c>
      <c r="AT61" s="27" t="s">
        <v>77</v>
      </c>
      <c r="AU61" s="27"/>
    </row>
    <row r="62" spans="1:47" ht="19.95" customHeight="1">
      <c r="A62" s="202" t="s">
        <v>292</v>
      </c>
      <c r="B62" s="203" t="s">
        <v>293</v>
      </c>
      <c r="C62" s="37" t="s">
        <v>183</v>
      </c>
      <c r="D62" s="8" t="s">
        <v>11</v>
      </c>
      <c r="E62" s="10"/>
      <c r="F62" s="139">
        <v>30</v>
      </c>
      <c r="G62" s="111" t="s">
        <v>61</v>
      </c>
      <c r="H62" s="40" t="s">
        <v>8</v>
      </c>
      <c r="I62" s="11" t="s">
        <v>61</v>
      </c>
      <c r="J62" s="8" t="s">
        <v>17</v>
      </c>
      <c r="K62" s="9" t="s">
        <v>331</v>
      </c>
      <c r="L62" s="9"/>
      <c r="M62" s="9"/>
      <c r="N62" s="32" t="s">
        <v>332</v>
      </c>
      <c r="O62" s="32" t="s">
        <v>77</v>
      </c>
      <c r="P62" s="32" t="s">
        <v>77</v>
      </c>
      <c r="Q62" s="32" t="s">
        <v>77</v>
      </c>
      <c r="R62" s="32" t="s">
        <v>77</v>
      </c>
      <c r="S62" s="32" t="s">
        <v>77</v>
      </c>
      <c r="T62" s="9" t="s">
        <v>308</v>
      </c>
      <c r="U62" s="8" t="s">
        <v>196</v>
      </c>
      <c r="V62" s="8" t="s">
        <v>94</v>
      </c>
      <c r="W62" s="8"/>
      <c r="X62" s="12" t="s">
        <v>411</v>
      </c>
      <c r="Y62" s="42"/>
      <c r="Z62" s="41"/>
      <c r="AA62" s="41"/>
      <c r="AB62" s="41">
        <v>46224</v>
      </c>
      <c r="AC62" s="41"/>
      <c r="AD62" s="41"/>
      <c r="AE62" s="43"/>
      <c r="AF62" s="43"/>
      <c r="AG62" s="43"/>
      <c r="AH62" s="43"/>
      <c r="AI62" s="43"/>
      <c r="AJ62" s="43"/>
      <c r="AK62" s="43"/>
      <c r="AL62" s="43"/>
      <c r="AM62" s="43"/>
      <c r="AN62" s="27" t="s">
        <v>77</v>
      </c>
      <c r="AO62" s="27" t="s">
        <v>77</v>
      </c>
      <c r="AP62" s="27" t="s">
        <v>77</v>
      </c>
      <c r="AQ62" s="27" t="s">
        <v>77</v>
      </c>
      <c r="AR62" s="27" t="s">
        <v>77</v>
      </c>
      <c r="AS62" s="27" t="s">
        <v>77</v>
      </c>
      <c r="AT62" s="27" t="s">
        <v>77</v>
      </c>
      <c r="AU62" s="27"/>
    </row>
    <row r="63" spans="1:47" ht="19.95" customHeight="1">
      <c r="A63" s="202" t="s">
        <v>294</v>
      </c>
      <c r="B63" s="203" t="s">
        <v>295</v>
      </c>
      <c r="C63" s="37" t="s">
        <v>183</v>
      </c>
      <c r="D63" s="8" t="s">
        <v>11</v>
      </c>
      <c r="E63" s="10"/>
      <c r="F63" s="139">
        <v>30</v>
      </c>
      <c r="G63" s="111" t="s">
        <v>61</v>
      </c>
      <c r="H63" s="40" t="s">
        <v>7</v>
      </c>
      <c r="I63" s="111" t="s">
        <v>7</v>
      </c>
      <c r="J63" s="8" t="s">
        <v>17</v>
      </c>
      <c r="K63" s="9" t="s">
        <v>331</v>
      </c>
      <c r="L63" s="9"/>
      <c r="M63" s="9"/>
      <c r="N63" s="32" t="s">
        <v>332</v>
      </c>
      <c r="O63" s="32" t="s">
        <v>77</v>
      </c>
      <c r="P63" s="32" t="s">
        <v>77</v>
      </c>
      <c r="Q63" s="32" t="s">
        <v>77</v>
      </c>
      <c r="R63" s="32" t="s">
        <v>76</v>
      </c>
      <c r="S63" s="32" t="s">
        <v>77</v>
      </c>
      <c r="T63" s="9" t="s">
        <v>7</v>
      </c>
      <c r="U63" s="8" t="s">
        <v>196</v>
      </c>
      <c r="V63" s="8"/>
      <c r="W63" s="8"/>
      <c r="X63" s="12"/>
      <c r="Y63" s="42"/>
      <c r="Z63" s="41"/>
      <c r="AA63" s="41"/>
      <c r="AB63" s="41"/>
      <c r="AC63" s="41"/>
      <c r="AD63" s="41"/>
      <c r="AE63" s="43"/>
      <c r="AF63" s="43"/>
      <c r="AG63" s="43"/>
      <c r="AH63" s="43"/>
      <c r="AI63" s="43"/>
      <c r="AJ63" s="43"/>
      <c r="AK63" s="43"/>
      <c r="AL63" s="43"/>
      <c r="AM63" s="43"/>
      <c r="AN63" s="27" t="s">
        <v>77</v>
      </c>
      <c r="AO63" s="27" t="s">
        <v>77</v>
      </c>
      <c r="AP63" s="27" t="s">
        <v>77</v>
      </c>
      <c r="AQ63" s="27" t="s">
        <v>77</v>
      </c>
      <c r="AR63" s="27" t="s">
        <v>77</v>
      </c>
      <c r="AS63" s="27" t="s">
        <v>77</v>
      </c>
      <c r="AT63" s="27" t="s">
        <v>77</v>
      </c>
      <c r="AU63" s="27"/>
    </row>
    <row r="64" spans="1:47" ht="19.95" customHeight="1">
      <c r="A64" s="202" t="s">
        <v>296</v>
      </c>
      <c r="B64" s="203" t="s">
        <v>297</v>
      </c>
      <c r="C64" s="37" t="s">
        <v>183</v>
      </c>
      <c r="D64" s="8" t="s">
        <v>121</v>
      </c>
      <c r="E64" s="10"/>
      <c r="F64" s="139">
        <v>20</v>
      </c>
      <c r="G64" s="111" t="s">
        <v>61</v>
      </c>
      <c r="H64" s="40" t="s">
        <v>10</v>
      </c>
      <c r="I64" s="40" t="s">
        <v>10</v>
      </c>
      <c r="J64" s="8" t="s">
        <v>17</v>
      </c>
      <c r="K64" s="9" t="s">
        <v>331</v>
      </c>
      <c r="L64" s="9"/>
      <c r="M64" s="9"/>
      <c r="N64" s="32" t="s">
        <v>332</v>
      </c>
      <c r="O64" s="32" t="s">
        <v>77</v>
      </c>
      <c r="P64" s="32" t="s">
        <v>77</v>
      </c>
      <c r="Q64" s="32" t="s">
        <v>77</v>
      </c>
      <c r="R64" s="32" t="s">
        <v>77</v>
      </c>
      <c r="S64" s="32" t="s">
        <v>77</v>
      </c>
      <c r="T64" s="9" t="s">
        <v>309</v>
      </c>
      <c r="U64" s="8" t="s">
        <v>196</v>
      </c>
      <c r="V64" s="8" t="s">
        <v>77</v>
      </c>
      <c r="W64" s="8"/>
      <c r="X64" s="12"/>
      <c r="Y64" s="42"/>
      <c r="Z64" s="41"/>
      <c r="AA64" s="41"/>
      <c r="AB64" s="41"/>
      <c r="AC64" s="41"/>
      <c r="AD64" s="41"/>
      <c r="AE64" s="43"/>
      <c r="AF64" s="43"/>
      <c r="AG64" s="43"/>
      <c r="AH64" s="43"/>
      <c r="AI64" s="43"/>
      <c r="AJ64" s="43"/>
      <c r="AK64" s="43"/>
      <c r="AL64" s="43"/>
      <c r="AM64" s="43"/>
      <c r="AN64" s="27" t="s">
        <v>77</v>
      </c>
      <c r="AO64" s="27" t="s">
        <v>77</v>
      </c>
      <c r="AP64" s="27" t="s">
        <v>77</v>
      </c>
      <c r="AQ64" s="27" t="s">
        <v>77</v>
      </c>
      <c r="AR64" s="27" t="s">
        <v>77</v>
      </c>
      <c r="AS64" s="27" t="s">
        <v>77</v>
      </c>
      <c r="AT64" s="27" t="s">
        <v>77</v>
      </c>
      <c r="AU64" s="27"/>
    </row>
    <row r="65" spans="1:47" ht="19.95" customHeight="1">
      <c r="A65" s="202" t="s">
        <v>298</v>
      </c>
      <c r="B65" s="203" t="s">
        <v>299</v>
      </c>
      <c r="C65" s="37" t="s">
        <v>183</v>
      </c>
      <c r="D65" s="8" t="s">
        <v>121</v>
      </c>
      <c r="E65" s="10"/>
      <c r="F65" s="139">
        <v>30</v>
      </c>
      <c r="G65" s="111" t="s">
        <v>61</v>
      </c>
      <c r="H65" s="40" t="s">
        <v>8</v>
      </c>
      <c r="I65" s="11" t="s">
        <v>61</v>
      </c>
      <c r="J65" s="8" t="s">
        <v>17</v>
      </c>
      <c r="K65" s="9" t="s">
        <v>331</v>
      </c>
      <c r="L65" s="9"/>
      <c r="M65" s="9"/>
      <c r="N65" s="32" t="s">
        <v>94</v>
      </c>
      <c r="O65" s="32" t="s">
        <v>77</v>
      </c>
      <c r="P65" s="32" t="s">
        <v>77</v>
      </c>
      <c r="Q65" s="32" t="s">
        <v>77</v>
      </c>
      <c r="R65" s="32" t="s">
        <v>77</v>
      </c>
      <c r="S65" s="32" t="s">
        <v>77</v>
      </c>
      <c r="T65" s="9" t="s">
        <v>310</v>
      </c>
      <c r="U65" s="8" t="s">
        <v>196</v>
      </c>
      <c r="V65" s="8" t="s">
        <v>94</v>
      </c>
      <c r="W65" s="8"/>
      <c r="X65" s="12" t="s">
        <v>360</v>
      </c>
      <c r="Y65" s="42"/>
      <c r="Z65" s="41"/>
      <c r="AA65" s="41"/>
      <c r="AB65" s="41"/>
      <c r="AC65" s="41"/>
      <c r="AD65" s="41"/>
      <c r="AE65" s="43"/>
      <c r="AF65" s="43"/>
      <c r="AG65" s="43"/>
      <c r="AH65" s="43"/>
      <c r="AI65" s="43"/>
      <c r="AJ65" s="43"/>
      <c r="AK65" s="43"/>
      <c r="AL65" s="43"/>
      <c r="AM65" s="43"/>
      <c r="AN65" s="27" t="s">
        <v>77</v>
      </c>
      <c r="AO65" s="27" t="s">
        <v>77</v>
      </c>
      <c r="AP65" s="27" t="s">
        <v>77</v>
      </c>
      <c r="AQ65" s="27" t="s">
        <v>77</v>
      </c>
      <c r="AR65" s="27" t="s">
        <v>77</v>
      </c>
      <c r="AS65" s="27" t="s">
        <v>77</v>
      </c>
      <c r="AT65" s="27" t="s">
        <v>77</v>
      </c>
      <c r="AU65" s="27"/>
    </row>
    <row r="66" spans="1:47" ht="19.95" customHeight="1">
      <c r="A66" s="202" t="s">
        <v>303</v>
      </c>
      <c r="B66" s="203" t="s">
        <v>304</v>
      </c>
      <c r="C66" s="37" t="s">
        <v>181</v>
      </c>
      <c r="D66" s="8" t="s">
        <v>120</v>
      </c>
      <c r="E66" s="10"/>
      <c r="F66" s="139">
        <v>30</v>
      </c>
      <c r="G66" s="111" t="s">
        <v>87</v>
      </c>
      <c r="H66" s="40" t="s">
        <v>7</v>
      </c>
      <c r="I66" s="111" t="s">
        <v>7</v>
      </c>
      <c r="J66" s="8" t="s">
        <v>17</v>
      </c>
      <c r="K66" s="9" t="s">
        <v>331</v>
      </c>
      <c r="L66" s="9"/>
      <c r="M66" s="150"/>
      <c r="N66" s="32" t="s">
        <v>77</v>
      </c>
      <c r="O66" s="32" t="s">
        <v>77</v>
      </c>
      <c r="P66" s="32" t="s">
        <v>77</v>
      </c>
      <c r="Q66" s="32" t="s">
        <v>77</v>
      </c>
      <c r="R66" s="32" t="s">
        <v>76</v>
      </c>
      <c r="S66" s="32" t="s">
        <v>77</v>
      </c>
      <c r="T66" s="9" t="s">
        <v>7</v>
      </c>
      <c r="U66" s="8" t="s">
        <v>105</v>
      </c>
      <c r="V66" s="8"/>
      <c r="W66" s="8"/>
      <c r="X66" s="12"/>
      <c r="Y66" s="42"/>
      <c r="Z66" s="41"/>
      <c r="AA66" s="41"/>
      <c r="AB66" s="41"/>
      <c r="AC66" s="41"/>
      <c r="AD66" s="41"/>
      <c r="AE66" s="43"/>
      <c r="AF66" s="43"/>
      <c r="AG66" s="43"/>
      <c r="AH66" s="43"/>
      <c r="AI66" s="43"/>
      <c r="AJ66" s="43"/>
      <c r="AK66" s="43"/>
      <c r="AL66" s="43"/>
      <c r="AM66" s="43"/>
      <c r="AN66" s="27" t="s">
        <v>77</v>
      </c>
      <c r="AO66" s="27" t="s">
        <v>77</v>
      </c>
      <c r="AP66" s="27" t="s">
        <v>77</v>
      </c>
      <c r="AQ66" s="27" t="s">
        <v>77</v>
      </c>
      <c r="AR66" s="27" t="s">
        <v>77</v>
      </c>
      <c r="AS66" s="27" t="s">
        <v>77</v>
      </c>
      <c r="AT66" s="27" t="s">
        <v>77</v>
      </c>
      <c r="AU66" s="27"/>
    </row>
    <row r="67" spans="1:47" ht="19.95" customHeight="1">
      <c r="A67" s="142" t="s">
        <v>175</v>
      </c>
      <c r="B67" s="142" t="s">
        <v>182</v>
      </c>
      <c r="C67" s="21" t="s">
        <v>183</v>
      </c>
      <c r="D67" s="20" t="s">
        <v>121</v>
      </c>
      <c r="E67" s="10"/>
      <c r="F67" s="143">
        <v>30</v>
      </c>
      <c r="G67" s="111" t="s">
        <v>61</v>
      </c>
      <c r="H67" s="40" t="s">
        <v>8</v>
      </c>
      <c r="I67" s="11" t="s">
        <v>61</v>
      </c>
      <c r="J67" s="8" t="s">
        <v>17</v>
      </c>
      <c r="K67" s="9" t="s">
        <v>331</v>
      </c>
      <c r="L67" s="9"/>
      <c r="M67" s="9"/>
      <c r="N67" s="32" t="s">
        <v>94</v>
      </c>
      <c r="O67" s="32" t="s">
        <v>77</v>
      </c>
      <c r="P67" s="32" t="s">
        <v>94</v>
      </c>
      <c r="Q67" s="32" t="s">
        <v>94</v>
      </c>
      <c r="R67" s="32" t="s">
        <v>94</v>
      </c>
      <c r="S67" s="32" t="s">
        <v>77</v>
      </c>
      <c r="T67" s="9" t="s">
        <v>314</v>
      </c>
      <c r="U67" s="8" t="s">
        <v>196</v>
      </c>
      <c r="V67" s="8" t="s">
        <v>77</v>
      </c>
      <c r="W67" s="8"/>
      <c r="X67" s="12" t="s">
        <v>324</v>
      </c>
      <c r="Y67" s="42"/>
      <c r="Z67" s="41"/>
      <c r="AA67" s="41"/>
      <c r="AB67" s="41">
        <v>46218</v>
      </c>
      <c r="AC67" s="41"/>
      <c r="AD67" s="41"/>
      <c r="AE67" s="43"/>
      <c r="AF67" s="43"/>
      <c r="AG67" s="43"/>
      <c r="AH67" s="43"/>
      <c r="AI67" s="43"/>
      <c r="AJ67" s="43"/>
      <c r="AK67" s="43"/>
      <c r="AL67" s="43"/>
      <c r="AM67" s="43"/>
      <c r="AN67" s="27" t="s">
        <v>77</v>
      </c>
      <c r="AO67" s="27" t="s">
        <v>77</v>
      </c>
      <c r="AP67" s="27" t="s">
        <v>77</v>
      </c>
      <c r="AQ67" s="27" t="s">
        <v>77</v>
      </c>
      <c r="AR67" s="27" t="s">
        <v>77</v>
      </c>
      <c r="AS67" s="27" t="s">
        <v>77</v>
      </c>
      <c r="AT67" s="27" t="s">
        <v>77</v>
      </c>
      <c r="AU67" s="118"/>
    </row>
    <row r="68" spans="1:47" ht="19.95" customHeight="1">
      <c r="A68" s="131" t="s">
        <v>300</v>
      </c>
      <c r="B68" s="132" t="s">
        <v>301</v>
      </c>
      <c r="C68" s="37" t="s">
        <v>183</v>
      </c>
      <c r="D68" s="8" t="s">
        <v>11</v>
      </c>
      <c r="E68" s="10"/>
      <c r="F68" s="139">
        <v>30</v>
      </c>
      <c r="G68" s="111" t="s">
        <v>61</v>
      </c>
      <c r="H68" s="40" t="s">
        <v>8</v>
      </c>
      <c r="I68" s="11" t="s">
        <v>61</v>
      </c>
      <c r="J68" s="8" t="s">
        <v>17</v>
      </c>
      <c r="K68" s="9" t="s">
        <v>331</v>
      </c>
      <c r="L68" s="9"/>
      <c r="M68" s="9"/>
      <c r="N68" s="32" t="s">
        <v>94</v>
      </c>
      <c r="O68" s="32" t="s">
        <v>77</v>
      </c>
      <c r="P68" s="32" t="s">
        <v>77</v>
      </c>
      <c r="Q68" s="32" t="s">
        <v>77</v>
      </c>
      <c r="R68" s="32" t="s">
        <v>77</v>
      </c>
      <c r="S68" s="32" t="s">
        <v>77</v>
      </c>
      <c r="T68" s="9" t="s">
        <v>311</v>
      </c>
      <c r="U68" s="8" t="s">
        <v>196</v>
      </c>
      <c r="V68" s="8" t="s">
        <v>94</v>
      </c>
      <c r="W68" s="8"/>
      <c r="X68" s="12" t="s">
        <v>341</v>
      </c>
      <c r="Y68" s="42"/>
      <c r="Z68" s="41"/>
      <c r="AA68" s="41"/>
      <c r="AB68" s="41"/>
      <c r="AC68" s="41"/>
      <c r="AD68" s="41"/>
      <c r="AE68" s="43"/>
      <c r="AF68" s="43"/>
      <c r="AG68" s="43"/>
      <c r="AH68" s="43"/>
      <c r="AI68" s="43"/>
      <c r="AJ68" s="43"/>
      <c r="AK68" s="43"/>
      <c r="AL68" s="43"/>
      <c r="AM68" s="43"/>
      <c r="AN68" s="27" t="s">
        <v>77</v>
      </c>
      <c r="AO68" s="27" t="s">
        <v>77</v>
      </c>
      <c r="AP68" s="27" t="s">
        <v>77</v>
      </c>
      <c r="AQ68" s="27" t="s">
        <v>77</v>
      </c>
      <c r="AR68" s="27" t="s">
        <v>77</v>
      </c>
      <c r="AS68" s="27" t="s">
        <v>77</v>
      </c>
      <c r="AT68" s="27" t="s">
        <v>77</v>
      </c>
      <c r="AU68" s="27"/>
    </row>
    <row r="69" spans="1:47" ht="19.95" customHeight="1">
      <c r="A69" s="37" t="s">
        <v>483</v>
      </c>
      <c r="B69" s="37"/>
      <c r="C69" s="37"/>
      <c r="D69" s="8"/>
      <c r="E69" s="10"/>
      <c r="F69" s="8"/>
      <c r="G69" s="10"/>
      <c r="H69" s="40"/>
      <c r="I69" s="11"/>
      <c r="J69" s="8"/>
      <c r="K69" s="9"/>
      <c r="L69" s="9"/>
      <c r="M69" s="9"/>
      <c r="N69" s="32"/>
      <c r="O69" s="32"/>
      <c r="P69" s="32"/>
      <c r="Q69" s="32"/>
      <c r="R69" s="32"/>
      <c r="S69" s="32"/>
      <c r="T69" s="9"/>
      <c r="U69" s="8"/>
      <c r="V69" s="8"/>
      <c r="W69" s="8"/>
      <c r="X69" s="12"/>
      <c r="Y69" s="42"/>
      <c r="Z69" s="41"/>
      <c r="AA69" s="41"/>
      <c r="AB69" s="41"/>
      <c r="AC69" s="41"/>
      <c r="AD69" s="41"/>
      <c r="AE69" s="43"/>
      <c r="AF69" s="43"/>
      <c r="AG69" s="43"/>
      <c r="AH69" s="43"/>
      <c r="AI69" s="43"/>
      <c r="AJ69" s="43"/>
      <c r="AK69" s="43"/>
      <c r="AL69" s="43"/>
      <c r="AM69" s="43"/>
      <c r="AN69" s="27"/>
      <c r="AO69" s="27"/>
      <c r="AP69" s="27"/>
      <c r="AQ69" s="27"/>
      <c r="AR69" s="27"/>
      <c r="AS69" s="27"/>
      <c r="AT69" s="27"/>
      <c r="AU69" s="27"/>
    </row>
    <row r="70" spans="1:47" ht="19.95" customHeight="1">
      <c r="Y70" s="1"/>
      <c r="Z70" s="1"/>
      <c r="AA70" s="1"/>
      <c r="AB70" s="1"/>
      <c r="AC70" s="1"/>
      <c r="AD70" s="1"/>
      <c r="AL70" s="1"/>
      <c r="AM70" s="1"/>
    </row>
    <row r="71" spans="1:47" ht="19.95" customHeight="1">
      <c r="Y71" s="1"/>
      <c r="Z71" s="1"/>
      <c r="AA71" s="1"/>
      <c r="AB71" s="1"/>
      <c r="AC71" s="1"/>
      <c r="AD71" s="1"/>
      <c r="AL71" s="1"/>
      <c r="AM71" s="1"/>
    </row>
    <row r="72" spans="1:47" ht="19.95" customHeight="1">
      <c r="Y72" s="1"/>
      <c r="Z72" s="1"/>
      <c r="AA72" s="1"/>
      <c r="AB72" s="1"/>
      <c r="AC72" s="1"/>
      <c r="AD72" s="1"/>
      <c r="AL72" s="1"/>
      <c r="AM72" s="1"/>
    </row>
    <row r="73" spans="1:47" ht="19.95" customHeight="1">
      <c r="Y73" s="1"/>
      <c r="Z73" s="1"/>
      <c r="AA73" s="1"/>
      <c r="AB73" s="1"/>
      <c r="AC73" s="1"/>
      <c r="AD73" s="1"/>
      <c r="AL73" s="1"/>
      <c r="AM73" s="1"/>
    </row>
    <row r="74" spans="1:47" ht="19.95" customHeight="1">
      <c r="Y74" s="1"/>
      <c r="Z74" s="1"/>
      <c r="AA74" s="1"/>
      <c r="AB74" s="1"/>
      <c r="AC74" s="1"/>
      <c r="AD74" s="1"/>
      <c r="AL74" s="1"/>
      <c r="AM74" s="1"/>
    </row>
    <row r="75" spans="1:47" ht="19.95" customHeight="1">
      <c r="Y75" s="1"/>
      <c r="Z75" s="1"/>
      <c r="AA75" s="1"/>
      <c r="AB75" s="1"/>
      <c r="AC75" s="1"/>
      <c r="AD75" s="1"/>
      <c r="AL75" s="1"/>
      <c r="AM75" s="1"/>
    </row>
    <row r="76" spans="1:47" ht="19.95" customHeight="1">
      <c r="Y76" s="1"/>
      <c r="Z76" s="1"/>
      <c r="AA76" s="1"/>
      <c r="AB76" s="1"/>
      <c r="AC76" s="1"/>
      <c r="AD76" s="1"/>
      <c r="AL76" s="1"/>
      <c r="AM76" s="1"/>
    </row>
    <row r="77" spans="1:47" ht="19.95" customHeight="1">
      <c r="Y77" s="1"/>
      <c r="Z77" s="1"/>
      <c r="AA77" s="1"/>
      <c r="AB77" s="1"/>
      <c r="AC77" s="1"/>
      <c r="AD77" s="1"/>
      <c r="AL77" s="1"/>
      <c r="AM77" s="1"/>
    </row>
    <row r="78" spans="1:47" ht="19.95" customHeight="1">
      <c r="Y78" s="1"/>
      <c r="Z78" s="1"/>
      <c r="AA78" s="1"/>
      <c r="AB78" s="1"/>
      <c r="AC78" s="1"/>
      <c r="AD78" s="1"/>
      <c r="AL78" s="1"/>
      <c r="AM78" s="1"/>
    </row>
    <row r="79" spans="1:47" ht="19.95" customHeight="1">
      <c r="Y79" s="1"/>
      <c r="Z79" s="1"/>
      <c r="AA79" s="1"/>
      <c r="AB79" s="1"/>
      <c r="AC79" s="1"/>
      <c r="AD79" s="1"/>
      <c r="AL79" s="1"/>
      <c r="AM79" s="1"/>
    </row>
    <row r="80" spans="1:47" ht="19.95" customHeight="1">
      <c r="Y80" s="1"/>
      <c r="Z80" s="1"/>
      <c r="AA80" s="1"/>
      <c r="AB80" s="1"/>
      <c r="AC80" s="1"/>
      <c r="AD80" s="1"/>
      <c r="AL80" s="1"/>
      <c r="AM80" s="1"/>
    </row>
    <row r="81" spans="25:39" ht="19.95" customHeight="1">
      <c r="Y81" s="1"/>
      <c r="Z81" s="1"/>
      <c r="AA81" s="1"/>
      <c r="AB81" s="1"/>
      <c r="AC81" s="1"/>
      <c r="AD81" s="1"/>
      <c r="AL81" s="1"/>
      <c r="AM81" s="1"/>
    </row>
    <row r="82" spans="25:39" ht="19.95" customHeight="1">
      <c r="Y82" s="1"/>
      <c r="Z82" s="1"/>
      <c r="AA82" s="1"/>
      <c r="AB82" s="1"/>
      <c r="AC82" s="1"/>
      <c r="AD82" s="1"/>
      <c r="AL82" s="1"/>
      <c r="AM82" s="1"/>
    </row>
    <row r="83" spans="25:39" ht="19.95" customHeight="1">
      <c r="Y83" s="1"/>
      <c r="Z83" s="1"/>
      <c r="AA83" s="1"/>
      <c r="AB83" s="1"/>
      <c r="AC83" s="1"/>
      <c r="AD83" s="1"/>
      <c r="AL83" s="1"/>
      <c r="AM83" s="1"/>
    </row>
    <row r="84" spans="25:39" ht="19.95" customHeight="1"/>
    <row r="85" spans="25:39" ht="19.95" customHeight="1"/>
    <row r="86" spans="25:39" ht="19.95" customHeight="1"/>
    <row r="87" spans="25:39" ht="19.95" customHeight="1"/>
    <row r="88" spans="25:39" ht="19.95" customHeight="1"/>
    <row r="89" spans="25:39" ht="19.95" customHeight="1"/>
    <row r="90" spans="25:39" ht="19.95" customHeight="1"/>
    <row r="91" spans="25:39" ht="19.95" customHeight="1"/>
    <row r="92" spans="25:39" ht="19.95" customHeight="1"/>
    <row r="93" spans="25:39" ht="19.95" customHeight="1"/>
    <row r="94" spans="25:39" ht="19.95" customHeight="1"/>
    <row r="95" spans="25:39" ht="19.95" customHeight="1"/>
    <row r="96" spans="25:39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  <row r="208" ht="19.95" customHeight="1"/>
    <row r="209" ht="19.95" customHeight="1"/>
    <row r="210" ht="19.95" customHeight="1"/>
    <row r="211" ht="19.95" customHeight="1"/>
    <row r="212" ht="19.95" customHeight="1"/>
    <row r="213" ht="19.95" customHeight="1"/>
    <row r="214" ht="19.95" customHeight="1"/>
    <row r="215" ht="19.95" customHeight="1"/>
    <row r="216" ht="19.95" customHeight="1"/>
    <row r="217" ht="19.95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9.95" customHeight="1"/>
    <row r="238" ht="19.95" customHeight="1"/>
    <row r="239" ht="19.95" customHeight="1"/>
    <row r="240" ht="19.95" customHeight="1"/>
  </sheetData>
  <autoFilter ref="A2:AU2" xr:uid="{2AC89955-B654-4648-A6E4-FD67CBA54DDA}"/>
  <sortState xmlns:xlrd2="http://schemas.microsoft.com/office/spreadsheetml/2017/richdata2" ref="A3:AV69">
    <sortCondition ref="AV3:AV69"/>
  </sortState>
  <mergeCells count="1">
    <mergeCell ref="AT1:AU1"/>
  </mergeCells>
  <phoneticPr fontId="19" type="noConversion"/>
  <conditionalFormatting sqref="N1:S1 N70:S1048576">
    <cfRule type="containsText" dxfId="371" priority="309" operator="containsText" text="Pending">
      <formula>NOT(ISERROR(SEARCH("Pending",N1)))</formula>
    </cfRule>
  </conditionalFormatting>
  <conditionalFormatting sqref="J1:J2 J70:J1048576">
    <cfRule type="containsText" dxfId="370" priority="307" operator="containsText" text="To be Mobilized">
      <formula>NOT(ISERROR(SEARCH("To be Mobilized",J1)))</formula>
    </cfRule>
    <cfRule type="containsText" dxfId="369" priority="308" operator="containsText" text="Commissioning Pending">
      <formula>NOT(ISERROR(SEARCH("Commissioning Pending",J1)))</formula>
    </cfRule>
    <cfRule type="containsText" dxfId="368" priority="310" operator="containsText" text="On Air Pending">
      <formula>NOT(ISERROR(SEARCH("On Air Pending",J1)))</formula>
    </cfRule>
    <cfRule type="containsText" dxfId="367" priority="311" operator="containsText" text="On Air">
      <formula>NOT(ISERROR(SEARCH("On Air",J1)))</formula>
    </cfRule>
    <cfRule type="containsText" dxfId="366" priority="314" operator="containsText" text="Tx Pending">
      <formula>NOT(ISERROR(SEARCH("Tx Pending",J1)))</formula>
    </cfRule>
    <cfRule type="containsText" dxfId="365" priority="315" operator="containsText" text="Partially Completed">
      <formula>NOT(ISERROR(SEARCH("Partially Completed",J1)))</formula>
    </cfRule>
    <cfRule type="containsText" dxfId="364" priority="316" operator="containsText" text="On Hold">
      <formula>NOT(ISERROR(SEARCH("On Hold",J1)))</formula>
    </cfRule>
  </conditionalFormatting>
  <conditionalFormatting sqref="AN1:AU2 V1:W34 AN70:AU1048576 V37:W38 V70:W1048576">
    <cfRule type="containsText" dxfId="363" priority="267" operator="containsText" text="Pending">
      <formula>NOT(ISERROR(SEARCH("Pending",V1)))</formula>
    </cfRule>
  </conditionalFormatting>
  <conditionalFormatting sqref="AU1:AU2 AU70:AU1048576">
    <cfRule type="containsText" dxfId="362" priority="262" operator="containsText" text="Reject">
      <formula>NOT(ISERROR(SEARCH("Reject",AU1)))</formula>
    </cfRule>
  </conditionalFormatting>
  <conditionalFormatting sqref="T1:T2 AU1:AU2 T37:T38 AU70:AU1048576 T70:T1048576">
    <cfRule type="containsText" dxfId="361" priority="263" operator="containsText" text="Condition">
      <formula>NOT(ISERROR(SEARCH("Condition",T1)))</formula>
    </cfRule>
  </conditionalFormatting>
  <conditionalFormatting sqref="U1:W2 V3:W34 U70:W1048576 V37:W38">
    <cfRule type="containsText" dxfId="360" priority="137" operator="containsText" text="Tx OK">
      <formula>NOT(ISERROR(SEARCH("Tx OK",U1)))</formula>
    </cfRule>
    <cfRule type="containsText" dxfId="359" priority="298" operator="containsText" text="MW Link OK">
      <formula>NOT(ISERROR(SEARCH("MW Link OK",U1)))</formula>
    </cfRule>
    <cfRule type="containsText" dxfId="358" priority="322" operator="containsText" text="Partially Removed">
      <formula>NOT(ISERROR(SEARCH("Partially Removed",U1)))</formula>
    </cfRule>
    <cfRule type="containsText" dxfId="357" priority="323" operator="containsText" text="Tx Pending">
      <formula>NOT(ISERROR(SEARCH("Tx Pending",U1)))</formula>
    </cfRule>
    <cfRule type="containsText" dxfId="356" priority="324" operator="containsText" text="MW Link Pending">
      <formula>NOT(ISERROR(SEARCH("MW Link Pending",U1)))</formula>
    </cfRule>
  </conditionalFormatting>
  <conditionalFormatting sqref="J1:J2 J70:J1048576">
    <cfRule type="containsText" dxfId="355" priority="246" operator="containsText" text="Installation Completed">
      <formula>NOT(ISERROR(SEARCH("Installation Completed",J1)))</formula>
    </cfRule>
    <cfRule type="containsText" dxfId="354" priority="313" operator="containsText" text="TE WIP">
      <formula>NOT(ISERROR(SEARCH("TE WIP",J1)))</formula>
    </cfRule>
  </conditionalFormatting>
  <conditionalFormatting sqref="F1:F2 F70:F1048576">
    <cfRule type="containsText" dxfId="353" priority="123" operator="containsText" text="22">
      <formula>NOT(ISERROR(SEARCH("22",F1)))</formula>
    </cfRule>
    <cfRule type="containsText" dxfId="352" priority="134" operator="containsText" text="30">
      <formula>NOT(ISERROR(SEARCH("30",F1)))</formula>
    </cfRule>
    <cfRule type="containsText" dxfId="351" priority="135" operator="containsText" text="25">
      <formula>NOT(ISERROR(SEARCH("25",F1)))</formula>
    </cfRule>
    <cfRule type="containsText" dxfId="350" priority="136" operator="containsText" text="20">
      <formula>NOT(ISERROR(SEARCH("20",F1)))</formula>
    </cfRule>
  </conditionalFormatting>
  <conditionalFormatting sqref="A70:A1048576">
    <cfRule type="duplicateValues" dxfId="349" priority="132"/>
  </conditionalFormatting>
  <conditionalFormatting sqref="V1:W34 V37:W38 V70:W1048576">
    <cfRule type="containsText" dxfId="348" priority="131" operator="containsText" text="Received">
      <formula>NOT(ISERROR(SEARCH("Received",V1)))</formula>
    </cfRule>
  </conditionalFormatting>
  <conditionalFormatting sqref="W1:W34 W37:W38 W70:W1048576">
    <cfRule type="containsText" dxfId="347" priority="124" operator="containsText" text="No">
      <formula>NOT(ISERROR(SEARCH("No",W1)))</formula>
    </cfRule>
    <cfRule type="containsText" dxfId="346" priority="125" operator="containsText" text="Yes">
      <formula>NOT(ISERROR(SEARCH("Yes",W1)))</formula>
    </cfRule>
  </conditionalFormatting>
  <conditionalFormatting sqref="A1:A2 A70:A1048576">
    <cfRule type="duplicateValues" dxfId="345" priority="786"/>
  </conditionalFormatting>
  <conditionalFormatting sqref="J3:J36">
    <cfRule type="containsText" dxfId="344" priority="94" operator="containsText" text="To be Mobilized">
      <formula>NOT(ISERROR(SEARCH("To be Mobilized",J3)))</formula>
    </cfRule>
    <cfRule type="containsText" dxfId="343" priority="95" operator="containsText" text="Commissioning Pending">
      <formula>NOT(ISERROR(SEARCH("Commissioning Pending",J3)))</formula>
    </cfRule>
    <cfRule type="containsText" dxfId="342" priority="96" operator="containsText" text="On Air Pending">
      <formula>NOT(ISERROR(SEARCH("On Air Pending",J3)))</formula>
    </cfRule>
    <cfRule type="containsText" dxfId="341" priority="97" operator="containsText" text="On Air">
      <formula>NOT(ISERROR(SEARCH("On Air",J3)))</formula>
    </cfRule>
    <cfRule type="containsText" dxfId="340" priority="99" operator="containsText" text="Tx Pending">
      <formula>NOT(ISERROR(SEARCH("Tx Pending",J3)))</formula>
    </cfRule>
    <cfRule type="containsText" dxfId="339" priority="100" operator="containsText" text="Partially Completed">
      <formula>NOT(ISERROR(SEARCH("Partially Completed",J3)))</formula>
    </cfRule>
    <cfRule type="containsText" dxfId="338" priority="101" operator="containsText" text="On Hold">
      <formula>NOT(ISERROR(SEARCH("On Hold",J3)))</formula>
    </cfRule>
  </conditionalFormatting>
  <conditionalFormatting sqref="J3:J36">
    <cfRule type="containsText" dxfId="337" priority="93" operator="containsText" text="Installation Completed">
      <formula>NOT(ISERROR(SEARCH("Installation Completed",J3)))</formula>
    </cfRule>
    <cfRule type="containsText" dxfId="336" priority="98" operator="containsText" text="TE WIP">
      <formula>NOT(ISERROR(SEARCH("TE WIP",J3)))</formula>
    </cfRule>
  </conditionalFormatting>
  <conditionalFormatting sqref="F3:F36">
    <cfRule type="containsText" dxfId="335" priority="90" operator="containsText" text="30">
      <formula>NOT(ISERROR(SEARCH("30",F3)))</formula>
    </cfRule>
    <cfRule type="containsText" dxfId="334" priority="91" operator="containsText" text="25">
      <formula>NOT(ISERROR(SEARCH("25",F3)))</formula>
    </cfRule>
    <cfRule type="containsText" dxfId="333" priority="92" operator="containsText" text="20">
      <formula>NOT(ISERROR(SEARCH("20",F3)))</formula>
    </cfRule>
  </conditionalFormatting>
  <conditionalFormatting sqref="J37:J68">
    <cfRule type="containsText" dxfId="332" priority="82" operator="containsText" text="To be Mobilized">
      <formula>NOT(ISERROR(SEARCH("To be Mobilized",J37)))</formula>
    </cfRule>
    <cfRule type="containsText" dxfId="331" priority="83" operator="containsText" text="Commissioning Pending">
      <formula>NOT(ISERROR(SEARCH("Commissioning Pending",J37)))</formula>
    </cfRule>
    <cfRule type="containsText" dxfId="330" priority="84" operator="containsText" text="On Air Pending">
      <formula>NOT(ISERROR(SEARCH("On Air Pending",J37)))</formula>
    </cfRule>
    <cfRule type="containsText" dxfId="329" priority="85" operator="containsText" text="On Air">
      <formula>NOT(ISERROR(SEARCH("On Air",J37)))</formula>
    </cfRule>
    <cfRule type="containsText" dxfId="328" priority="87" operator="containsText" text="Tx Pending">
      <formula>NOT(ISERROR(SEARCH("Tx Pending",J37)))</formula>
    </cfRule>
    <cfRule type="containsText" dxfId="327" priority="88" operator="containsText" text="Partially Completed">
      <formula>NOT(ISERROR(SEARCH("Partially Completed",J37)))</formula>
    </cfRule>
    <cfRule type="containsText" dxfId="326" priority="89" operator="containsText" text="On Hold">
      <formula>NOT(ISERROR(SEARCH("On Hold",J37)))</formula>
    </cfRule>
  </conditionalFormatting>
  <conditionalFormatting sqref="J37:J68">
    <cfRule type="containsText" dxfId="325" priority="81" operator="containsText" text="Installation Completed">
      <formula>NOT(ISERROR(SEARCH("Installation Completed",J37)))</formula>
    </cfRule>
    <cfRule type="containsText" dxfId="324" priority="86" operator="containsText" text="TE WIP">
      <formula>NOT(ISERROR(SEARCH("TE WIP",J37)))</formula>
    </cfRule>
  </conditionalFormatting>
  <conditionalFormatting sqref="F37:F68">
    <cfRule type="containsText" dxfId="323" priority="76" operator="containsText" text="22">
      <formula>NOT(ISERROR(SEARCH("22",F37)))</formula>
    </cfRule>
    <cfRule type="containsText" dxfId="322" priority="78" operator="containsText" text="30">
      <formula>NOT(ISERROR(SEARCH("30",F37)))</formula>
    </cfRule>
    <cfRule type="containsText" dxfId="321" priority="79" operator="containsText" text="25">
      <formula>NOT(ISERROR(SEARCH("25",F37)))</formula>
    </cfRule>
    <cfRule type="containsText" dxfId="320" priority="80" operator="containsText" text="20">
      <formula>NOT(ISERROR(SEARCH("20",F37)))</formula>
    </cfRule>
  </conditionalFormatting>
  <conditionalFormatting sqref="A37:A68">
    <cfRule type="duplicateValues" dxfId="319" priority="77"/>
  </conditionalFormatting>
  <conditionalFormatting sqref="N3:S34">
    <cfRule type="containsText" dxfId="318" priority="75" operator="containsText" text="Pending">
      <formula>NOT(ISERROR(SEARCH("Pending",N3)))</formula>
    </cfRule>
  </conditionalFormatting>
  <conditionalFormatting sqref="N37:S38">
    <cfRule type="containsText" dxfId="317" priority="74" operator="containsText" text="Pending">
      <formula>NOT(ISERROR(SEARCH("Pending",N37)))</formula>
    </cfRule>
  </conditionalFormatting>
  <conditionalFormatting sqref="T3:T34">
    <cfRule type="containsText" dxfId="316" priority="69" operator="containsText" text="Tx OK">
      <formula>NOT(ISERROR(SEARCH("Tx OK",T3)))</formula>
    </cfRule>
    <cfRule type="containsText" dxfId="315" priority="70" operator="containsText" text="MW Link OK">
      <formula>NOT(ISERROR(SEARCH("MW Link OK",T3)))</formula>
    </cfRule>
    <cfRule type="containsText" dxfId="314" priority="71" operator="containsText" text="Partially Removed">
      <formula>NOT(ISERROR(SEARCH("Partially Removed",T3)))</formula>
    </cfRule>
    <cfRule type="containsText" dxfId="313" priority="72" operator="containsText" text="Tx Pending">
      <formula>NOT(ISERROR(SEARCH("Tx Pending",T3)))</formula>
    </cfRule>
    <cfRule type="containsText" dxfId="312" priority="73" operator="containsText" text="MW Link Pending">
      <formula>NOT(ISERROR(SEARCH("MW Link Pending",T3)))</formula>
    </cfRule>
  </conditionalFormatting>
  <conditionalFormatting sqref="U3:U34">
    <cfRule type="containsText" dxfId="311" priority="64" operator="containsText" text="Tx OK">
      <formula>NOT(ISERROR(SEARCH("Tx OK",U3)))</formula>
    </cfRule>
    <cfRule type="containsText" dxfId="310" priority="65" operator="containsText" text="MW Link OK">
      <formula>NOT(ISERROR(SEARCH("MW Link OK",U3)))</formula>
    </cfRule>
    <cfRule type="containsText" dxfId="309" priority="66" operator="containsText" text="Partially Removed">
      <formula>NOT(ISERROR(SEARCH("Partially Removed",U3)))</formula>
    </cfRule>
    <cfRule type="containsText" dxfId="308" priority="67" operator="containsText" text="Tx Pending">
      <formula>NOT(ISERROR(SEARCH("Tx Pending",U3)))</formula>
    </cfRule>
    <cfRule type="containsText" dxfId="307" priority="68" operator="containsText" text="MW Link Pending">
      <formula>NOT(ISERROR(SEARCH("MW Link Pending",U3)))</formula>
    </cfRule>
  </conditionalFormatting>
  <conditionalFormatting sqref="AU4 AN3:AU3 AN4:AS4 AN5:AU34">
    <cfRule type="containsText" dxfId="306" priority="63" operator="containsText" text="Pending">
      <formula>NOT(ISERROR(SEARCH("Pending",AN3)))</formula>
    </cfRule>
  </conditionalFormatting>
  <conditionalFormatting sqref="AU3:AU34">
    <cfRule type="containsText" dxfId="305" priority="61" operator="containsText" text="Reject">
      <formula>NOT(ISERROR(SEARCH("Reject",AU3)))</formula>
    </cfRule>
  </conditionalFormatting>
  <conditionalFormatting sqref="AU3:AU34">
    <cfRule type="containsText" dxfId="304" priority="62" operator="containsText" text="Condition">
      <formula>NOT(ISERROR(SEARCH("Condition",AU3)))</formula>
    </cfRule>
  </conditionalFormatting>
  <conditionalFormatting sqref="AN37:AU38">
    <cfRule type="containsText" dxfId="303" priority="60" operator="containsText" text="Pending">
      <formula>NOT(ISERROR(SEARCH("Pending",AN37)))</formula>
    </cfRule>
  </conditionalFormatting>
  <conditionalFormatting sqref="AU37:AU38">
    <cfRule type="containsText" dxfId="302" priority="58" operator="containsText" text="Reject">
      <formula>NOT(ISERROR(SEARCH("Reject",AU37)))</formula>
    </cfRule>
  </conditionalFormatting>
  <conditionalFormatting sqref="AU37:AU38">
    <cfRule type="containsText" dxfId="301" priority="59" operator="containsText" text="Condition">
      <formula>NOT(ISERROR(SEARCH("Condition",AU37)))</formula>
    </cfRule>
  </conditionalFormatting>
  <conditionalFormatting sqref="U37:U38">
    <cfRule type="containsText" dxfId="300" priority="53" operator="containsText" text="Tx OK">
      <formula>NOT(ISERROR(SEARCH("Tx OK",U37)))</formula>
    </cfRule>
    <cfRule type="containsText" dxfId="299" priority="54" operator="containsText" text="MW Link OK">
      <formula>NOT(ISERROR(SEARCH("MW Link OK",U37)))</formula>
    </cfRule>
    <cfRule type="containsText" dxfId="298" priority="55" operator="containsText" text="Partially Removed">
      <formula>NOT(ISERROR(SEARCH("Partially Removed",U37)))</formula>
    </cfRule>
    <cfRule type="containsText" dxfId="297" priority="56" operator="containsText" text="Tx Pending">
      <formula>NOT(ISERROR(SEARCH("Tx Pending",U37)))</formula>
    </cfRule>
    <cfRule type="containsText" dxfId="296" priority="57" operator="containsText" text="MW Link Pending">
      <formula>NOT(ISERROR(SEARCH("MW Link Pending",U37)))</formula>
    </cfRule>
  </conditionalFormatting>
  <conditionalFormatting sqref="N35:S36">
    <cfRule type="containsText" dxfId="295" priority="52" operator="containsText" text="Pending">
      <formula>NOT(ISERROR(SEARCH("Pending",N35)))</formula>
    </cfRule>
  </conditionalFormatting>
  <conditionalFormatting sqref="V35:W36">
    <cfRule type="containsText" dxfId="294" priority="47" operator="containsText" text="Pending">
      <formula>NOT(ISERROR(SEARCH("Pending",V35)))</formula>
    </cfRule>
  </conditionalFormatting>
  <conditionalFormatting sqref="T35:T36">
    <cfRule type="containsText" dxfId="293" priority="46" operator="containsText" text="Condition">
      <formula>NOT(ISERROR(SEARCH("Condition",T35)))</formula>
    </cfRule>
  </conditionalFormatting>
  <conditionalFormatting sqref="U35:W36">
    <cfRule type="containsText" dxfId="292" priority="45" operator="containsText" text="Tx OK">
      <formula>NOT(ISERROR(SEARCH("Tx OK",U35)))</formula>
    </cfRule>
    <cfRule type="containsText" dxfId="291" priority="48" operator="containsText" text="MW Link OK">
      <formula>NOT(ISERROR(SEARCH("MW Link OK",U35)))</formula>
    </cfRule>
    <cfRule type="containsText" dxfId="290" priority="49" operator="containsText" text="Partially Removed">
      <formula>NOT(ISERROR(SEARCH("Partially Removed",U35)))</formula>
    </cfRule>
    <cfRule type="containsText" dxfId="289" priority="50" operator="containsText" text="Tx Pending">
      <formula>NOT(ISERROR(SEARCH("Tx Pending",U35)))</formula>
    </cfRule>
    <cfRule type="containsText" dxfId="288" priority="51" operator="containsText" text="MW Link Pending">
      <formula>NOT(ISERROR(SEARCH("MW Link Pending",U35)))</formula>
    </cfRule>
  </conditionalFormatting>
  <conditionalFormatting sqref="V35:W36">
    <cfRule type="containsText" dxfId="287" priority="44" operator="containsText" text="Received">
      <formula>NOT(ISERROR(SEARCH("Received",V35)))</formula>
    </cfRule>
  </conditionalFormatting>
  <conditionalFormatting sqref="W35:W36">
    <cfRule type="containsText" dxfId="286" priority="42" operator="containsText" text="No">
      <formula>NOT(ISERROR(SEARCH("No",W35)))</formula>
    </cfRule>
    <cfRule type="containsText" dxfId="285" priority="43" operator="containsText" text="Yes">
      <formula>NOT(ISERROR(SEARCH("Yes",W35)))</formula>
    </cfRule>
  </conditionalFormatting>
  <conditionalFormatting sqref="AN35:AU36">
    <cfRule type="containsText" dxfId="284" priority="41" operator="containsText" text="Pending">
      <formula>NOT(ISERROR(SEARCH("Pending",AN35)))</formula>
    </cfRule>
  </conditionalFormatting>
  <conditionalFormatting sqref="AU35:AU36">
    <cfRule type="containsText" dxfId="283" priority="39" operator="containsText" text="Reject">
      <formula>NOT(ISERROR(SEARCH("Reject",AU35)))</formula>
    </cfRule>
  </conditionalFormatting>
  <conditionalFormatting sqref="AU35:AU36">
    <cfRule type="containsText" dxfId="282" priority="40" operator="containsText" text="Condition">
      <formula>NOT(ISERROR(SEARCH("Condition",AU35)))</formula>
    </cfRule>
  </conditionalFormatting>
  <conditionalFormatting sqref="N39:S68">
    <cfRule type="containsText" dxfId="281" priority="35" operator="containsText" text="Pending">
      <formula>NOT(ISERROR(SEARCH("Pending",N39)))</formula>
    </cfRule>
  </conditionalFormatting>
  <conditionalFormatting sqref="V39:W68 AN39:AU68">
    <cfRule type="containsText" dxfId="280" priority="33" operator="containsText" text="Pending">
      <formula>NOT(ISERROR(SEARCH("Pending",V39)))</formula>
    </cfRule>
  </conditionalFormatting>
  <conditionalFormatting sqref="AU39:AU68">
    <cfRule type="containsText" dxfId="279" priority="31" operator="containsText" text="Reject">
      <formula>NOT(ISERROR(SEARCH("Reject",AU39)))</formula>
    </cfRule>
  </conditionalFormatting>
  <conditionalFormatting sqref="AU39:AU68 T39:T68">
    <cfRule type="containsText" dxfId="278" priority="32" operator="containsText" text="Condition">
      <formula>NOT(ISERROR(SEARCH("Condition",T39)))</formula>
    </cfRule>
  </conditionalFormatting>
  <conditionalFormatting sqref="U39:W68">
    <cfRule type="containsText" dxfId="277" priority="30" operator="containsText" text="Tx OK">
      <formula>NOT(ISERROR(SEARCH("Tx OK",U39)))</formula>
    </cfRule>
    <cfRule type="containsText" dxfId="276" priority="34" operator="containsText" text="MW Link OK">
      <formula>NOT(ISERROR(SEARCH("MW Link OK",U39)))</formula>
    </cfRule>
    <cfRule type="containsText" dxfId="275" priority="36" operator="containsText" text="Partially Removed">
      <formula>NOT(ISERROR(SEARCH("Partially Removed",U39)))</formula>
    </cfRule>
    <cfRule type="containsText" dxfId="274" priority="37" operator="containsText" text="Tx Pending">
      <formula>NOT(ISERROR(SEARCH("Tx Pending",U39)))</formula>
    </cfRule>
    <cfRule type="containsText" dxfId="273" priority="38" operator="containsText" text="MW Link Pending">
      <formula>NOT(ISERROR(SEARCH("MW Link Pending",U39)))</formula>
    </cfRule>
  </conditionalFormatting>
  <conditionalFormatting sqref="V39:W68">
    <cfRule type="containsText" dxfId="272" priority="29" operator="containsText" text="Received">
      <formula>NOT(ISERROR(SEARCH("Received",V39)))</formula>
    </cfRule>
  </conditionalFormatting>
  <conditionalFormatting sqref="W39:W68">
    <cfRule type="containsText" dxfId="271" priority="27" operator="containsText" text="No">
      <formula>NOT(ISERROR(SEARCH("No",W39)))</formula>
    </cfRule>
    <cfRule type="containsText" dxfId="270" priority="28" operator="containsText" text="Yes">
      <formula>NOT(ISERROR(SEARCH("Yes",W39)))</formula>
    </cfRule>
  </conditionalFormatting>
  <conditionalFormatting sqref="N69:S69">
    <cfRule type="containsText" dxfId="269" priority="17" operator="containsText" text="Pending">
      <formula>NOT(ISERROR(SEARCH("Pending",N69)))</formula>
    </cfRule>
  </conditionalFormatting>
  <conditionalFormatting sqref="J69">
    <cfRule type="containsText" dxfId="268" priority="15" operator="containsText" text="To be Mobilized">
      <formula>NOT(ISERROR(SEARCH("To be Mobilized",J69)))</formula>
    </cfRule>
    <cfRule type="containsText" dxfId="267" priority="16" operator="containsText" text="Commissioning Pending">
      <formula>NOT(ISERROR(SEARCH("Commissioning Pending",J69)))</formula>
    </cfRule>
    <cfRule type="containsText" dxfId="266" priority="18" operator="containsText" text="On Air Pending">
      <formula>NOT(ISERROR(SEARCH("On Air Pending",J69)))</formula>
    </cfRule>
    <cfRule type="containsText" dxfId="265" priority="19" operator="containsText" text="On Air">
      <formula>NOT(ISERROR(SEARCH("On Air",J69)))</formula>
    </cfRule>
    <cfRule type="containsText" dxfId="264" priority="21" operator="containsText" text="Tx Pending">
      <formula>NOT(ISERROR(SEARCH("Tx Pending",J69)))</formula>
    </cfRule>
    <cfRule type="containsText" dxfId="263" priority="22" operator="containsText" text="Partially Completed">
      <formula>NOT(ISERROR(SEARCH("Partially Completed",J69)))</formula>
    </cfRule>
    <cfRule type="containsText" dxfId="262" priority="23" operator="containsText" text="On Hold">
      <formula>NOT(ISERROR(SEARCH("On Hold",J69)))</formula>
    </cfRule>
  </conditionalFormatting>
  <conditionalFormatting sqref="V69:W69 AN69:AU69">
    <cfRule type="containsText" dxfId="261" priority="13" operator="containsText" text="Pending">
      <formula>NOT(ISERROR(SEARCH("Pending",V69)))</formula>
    </cfRule>
  </conditionalFormatting>
  <conditionalFormatting sqref="AU69">
    <cfRule type="containsText" dxfId="260" priority="11" operator="containsText" text="Reject">
      <formula>NOT(ISERROR(SEARCH("Reject",AU69)))</formula>
    </cfRule>
  </conditionalFormatting>
  <conditionalFormatting sqref="AU69 T69">
    <cfRule type="containsText" dxfId="259" priority="12" operator="containsText" text="Condition">
      <formula>NOT(ISERROR(SEARCH("Condition",T69)))</formula>
    </cfRule>
  </conditionalFormatting>
  <conditionalFormatting sqref="U69:W69">
    <cfRule type="containsText" dxfId="258" priority="9" operator="containsText" text="Tx OK">
      <formula>NOT(ISERROR(SEARCH("Tx OK",U69)))</formula>
    </cfRule>
    <cfRule type="containsText" dxfId="257" priority="14" operator="containsText" text="MW Link OK">
      <formula>NOT(ISERROR(SEARCH("MW Link OK",U69)))</formula>
    </cfRule>
    <cfRule type="containsText" dxfId="256" priority="24" operator="containsText" text="Partially Removed">
      <formula>NOT(ISERROR(SEARCH("Partially Removed",U69)))</formula>
    </cfRule>
    <cfRule type="containsText" dxfId="255" priority="25" operator="containsText" text="Tx Pending">
      <formula>NOT(ISERROR(SEARCH("Tx Pending",U69)))</formula>
    </cfRule>
    <cfRule type="containsText" dxfId="254" priority="26" operator="containsText" text="MW Link Pending">
      <formula>NOT(ISERROR(SEARCH("MW Link Pending",U69)))</formula>
    </cfRule>
  </conditionalFormatting>
  <conditionalFormatting sqref="J69">
    <cfRule type="containsText" dxfId="253" priority="10" operator="containsText" text="Installation Completed">
      <formula>NOT(ISERROR(SEARCH("Installation Completed",J69)))</formula>
    </cfRule>
    <cfRule type="containsText" dxfId="252" priority="20" operator="containsText" text="TE WIP">
      <formula>NOT(ISERROR(SEARCH("TE WIP",J69)))</formula>
    </cfRule>
  </conditionalFormatting>
  <conditionalFormatting sqref="F69">
    <cfRule type="containsText" dxfId="251" priority="1" operator="containsText" text="22">
      <formula>NOT(ISERROR(SEARCH("22",F69)))</formula>
    </cfRule>
    <cfRule type="containsText" dxfId="250" priority="6" operator="containsText" text="30">
      <formula>NOT(ISERROR(SEARCH("30",F69)))</formula>
    </cfRule>
    <cfRule type="containsText" dxfId="249" priority="7" operator="containsText" text="25">
      <formula>NOT(ISERROR(SEARCH("25",F69)))</formula>
    </cfRule>
    <cfRule type="containsText" dxfId="248" priority="8" operator="containsText" text="20">
      <formula>NOT(ISERROR(SEARCH("20",F69)))</formula>
    </cfRule>
  </conditionalFormatting>
  <conditionalFormatting sqref="A69">
    <cfRule type="duplicateValues" dxfId="247" priority="5"/>
  </conditionalFormatting>
  <conditionalFormatting sqref="V69:W69">
    <cfRule type="containsText" dxfId="246" priority="4" operator="containsText" text="Received">
      <formula>NOT(ISERROR(SEARCH("Received",V69)))</formula>
    </cfRule>
  </conditionalFormatting>
  <conditionalFormatting sqref="W69">
    <cfRule type="containsText" dxfId="245" priority="2" operator="containsText" text="No">
      <formula>NOT(ISERROR(SEARCH("No",W69)))</formula>
    </cfRule>
    <cfRule type="containsText" dxfId="244" priority="3" operator="containsText" text="Yes">
      <formula>NOT(ISERROR(SEARCH("Yes",W69)))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13FB-4511-4A50-B6B8-D99725A90955}">
  <sheetPr codeName="Sheet4"/>
  <dimension ref="A1:AS282"/>
  <sheetViews>
    <sheetView zoomScale="70" zoomScaleNormal="70" workbookViewId="0">
      <pane xSplit="4" ySplit="2" topLeftCell="AC27" activePane="bottomRight" state="frozen"/>
      <selection activeCell="RR41" sqref="RR41"/>
      <selection pane="topRight" activeCell="RR41" sqref="RR41"/>
      <selection pane="bottomLeft" activeCell="RR41" sqref="RR41"/>
      <selection pane="bottomRight" activeCell="AI46" sqref="AI46"/>
    </sheetView>
  </sheetViews>
  <sheetFormatPr defaultColWidth="8.88671875" defaultRowHeight="13.2"/>
  <cols>
    <col min="1" max="1" width="12.33203125" style="84" bestFit="1" customWidth="1"/>
    <col min="2" max="2" width="28.33203125" style="84" bestFit="1" customWidth="1"/>
    <col min="3" max="3" width="35.5546875" style="84" bestFit="1" customWidth="1"/>
    <col min="4" max="4" width="15.88671875" style="82" bestFit="1" customWidth="1"/>
    <col min="5" max="5" width="16.33203125" style="84" bestFit="1" customWidth="1"/>
    <col min="6" max="6" width="29.33203125" style="84" bestFit="1" customWidth="1"/>
    <col min="7" max="7" width="21.88671875" style="126" bestFit="1" customWidth="1"/>
    <col min="8" max="8" width="15.44140625" style="126" bestFit="1" customWidth="1"/>
    <col min="9" max="9" width="13.77734375" style="126" bestFit="1" customWidth="1"/>
    <col min="10" max="10" width="29.33203125" style="126" bestFit="1" customWidth="1"/>
    <col min="11" max="11" width="16.33203125" style="126" bestFit="1" customWidth="1"/>
    <col min="12" max="12" width="19.109375" style="126" bestFit="1" customWidth="1"/>
    <col min="13" max="13" width="22.33203125" style="126" bestFit="1" customWidth="1"/>
    <col min="14" max="14" width="19.77734375" style="126" bestFit="1" customWidth="1"/>
    <col min="15" max="15" width="9.109375" style="126" bestFit="1" customWidth="1"/>
    <col min="16" max="16" width="20.33203125" style="82" bestFit="1" customWidth="1"/>
    <col min="17" max="17" width="27.44140625" style="82" bestFit="1" customWidth="1"/>
    <col min="18" max="18" width="14.44140625" style="82" bestFit="1" customWidth="1"/>
    <col min="19" max="19" width="14.6640625" style="82" bestFit="1" customWidth="1"/>
    <col min="20" max="20" width="14.44140625" style="82" bestFit="1" customWidth="1"/>
    <col min="21" max="21" width="16.88671875" style="82" bestFit="1" customWidth="1"/>
    <col min="22" max="22" width="22.44140625" style="82" bestFit="1" customWidth="1"/>
    <col min="23" max="23" width="14.44140625" style="82" bestFit="1" customWidth="1"/>
    <col min="24" max="24" width="22.44140625" style="82" customWidth="1"/>
    <col min="25" max="25" width="42.77734375" style="84" bestFit="1" customWidth="1"/>
    <col min="26" max="26" width="18.77734375" style="126" bestFit="1" customWidth="1"/>
    <col min="27" max="27" width="25.88671875" style="126" bestFit="1" customWidth="1"/>
    <col min="28" max="28" width="13.21875" style="126" bestFit="1" customWidth="1"/>
    <col min="29" max="29" width="14.6640625" style="126" bestFit="1" customWidth="1"/>
    <col min="30" max="30" width="14.109375" style="126" bestFit="1" customWidth="1"/>
    <col min="31" max="31" width="16.77734375" style="126" bestFit="1" customWidth="1"/>
    <col min="32" max="32" width="21" style="126" bestFit="1" customWidth="1"/>
    <col min="33" max="33" width="13.33203125" style="126" bestFit="1" customWidth="1"/>
    <col min="34" max="34" width="21" style="126" bestFit="1" customWidth="1"/>
    <col min="35" max="35" width="39.21875" style="127" bestFit="1" customWidth="1"/>
    <col min="36" max="36" width="22.21875" style="127" bestFit="1" customWidth="1"/>
    <col min="37" max="37" width="13.44140625" style="127" bestFit="1" customWidth="1"/>
    <col min="38" max="39" width="15.21875" style="127" bestFit="1" customWidth="1"/>
    <col min="40" max="40" width="45" style="127" bestFit="1" customWidth="1"/>
    <col min="41" max="41" width="18" style="127" bestFit="1" customWidth="1"/>
    <col min="42" max="42" width="40.44140625" style="127" bestFit="1" customWidth="1"/>
    <col min="43" max="43" width="7.88671875" style="126" bestFit="1" customWidth="1"/>
    <col min="44" max="44" width="25.88671875" style="126" bestFit="1" customWidth="1"/>
    <col min="45" max="45" width="19.109375" style="126" bestFit="1" customWidth="1"/>
    <col min="46" max="16384" width="8.88671875" style="6"/>
  </cols>
  <sheetData>
    <row r="1" spans="1:45" s="5" customFormat="1" ht="49.95" customHeight="1">
      <c r="A1" s="81" t="s">
        <v>25</v>
      </c>
      <c r="B1" s="81" t="s">
        <v>71</v>
      </c>
      <c r="C1" s="81" t="s">
        <v>118</v>
      </c>
      <c r="D1" s="81" t="s">
        <v>21</v>
      </c>
      <c r="E1" s="81" t="s">
        <v>26</v>
      </c>
      <c r="F1" s="81" t="s">
        <v>16</v>
      </c>
      <c r="G1" s="81" t="s">
        <v>27</v>
      </c>
      <c r="H1" s="81" t="s">
        <v>28</v>
      </c>
      <c r="I1" s="81" t="s">
        <v>29</v>
      </c>
      <c r="J1" s="81" t="s">
        <v>30</v>
      </c>
      <c r="K1" s="81" t="s">
        <v>31</v>
      </c>
      <c r="L1" s="81" t="s">
        <v>22</v>
      </c>
      <c r="M1" s="81" t="s">
        <v>32</v>
      </c>
      <c r="N1" s="81" t="s">
        <v>33</v>
      </c>
      <c r="O1" s="81" t="s">
        <v>34</v>
      </c>
      <c r="P1" s="81" t="s">
        <v>35</v>
      </c>
      <c r="Q1" s="81" t="s">
        <v>36</v>
      </c>
      <c r="R1" s="81" t="s">
        <v>37</v>
      </c>
      <c r="S1" s="81" t="s">
        <v>38</v>
      </c>
      <c r="T1" s="81" t="s">
        <v>39</v>
      </c>
      <c r="U1" s="81" t="s">
        <v>40</v>
      </c>
      <c r="V1" s="81" t="s">
        <v>41</v>
      </c>
      <c r="W1" s="81" t="s">
        <v>42</v>
      </c>
      <c r="X1" s="81" t="s">
        <v>43</v>
      </c>
      <c r="Y1" s="81" t="s">
        <v>44</v>
      </c>
      <c r="Z1" s="81" t="s">
        <v>45</v>
      </c>
      <c r="AA1" s="81" t="s">
        <v>46</v>
      </c>
      <c r="AB1" s="81" t="s">
        <v>47</v>
      </c>
      <c r="AC1" s="81" t="s">
        <v>48</v>
      </c>
      <c r="AD1" s="81" t="s">
        <v>49</v>
      </c>
      <c r="AE1" s="81" t="s">
        <v>50</v>
      </c>
      <c r="AF1" s="81" t="s">
        <v>51</v>
      </c>
      <c r="AG1" s="81" t="s">
        <v>52</v>
      </c>
      <c r="AH1" s="81" t="s">
        <v>53</v>
      </c>
      <c r="AI1" s="81" t="s">
        <v>54</v>
      </c>
      <c r="AJ1" s="81" t="s">
        <v>55</v>
      </c>
      <c r="AK1" s="81" t="s">
        <v>56</v>
      </c>
      <c r="AL1" s="81" t="s">
        <v>260</v>
      </c>
      <c r="AM1" s="81" t="s">
        <v>261</v>
      </c>
      <c r="AN1" s="81" t="s">
        <v>57</v>
      </c>
      <c r="AO1" s="81" t="s">
        <v>58</v>
      </c>
      <c r="AP1" s="81" t="s">
        <v>131</v>
      </c>
      <c r="AQ1" s="81" t="s">
        <v>45</v>
      </c>
      <c r="AR1" s="81" t="s">
        <v>46</v>
      </c>
      <c r="AS1" s="81" t="s">
        <v>138</v>
      </c>
    </row>
    <row r="2" spans="1:45" s="5" customFormat="1" ht="19.95" customHeight="1">
      <c r="A2" s="17">
        <f t="shared" ref="A2:AS2" si="0">SUBTOTAL(103, A3:A152)</f>
        <v>66</v>
      </c>
      <c r="B2" s="17">
        <f t="shared" si="0"/>
        <v>66</v>
      </c>
      <c r="C2" s="17">
        <f t="shared" si="0"/>
        <v>66</v>
      </c>
      <c r="D2" s="17">
        <f t="shared" si="0"/>
        <v>66</v>
      </c>
      <c r="E2" s="17">
        <f t="shared" si="0"/>
        <v>56</v>
      </c>
      <c r="F2" s="17">
        <f t="shared" si="0"/>
        <v>10</v>
      </c>
      <c r="G2" s="17">
        <f t="shared" si="0"/>
        <v>66</v>
      </c>
      <c r="H2" s="17">
        <f t="shared" si="0"/>
        <v>31</v>
      </c>
      <c r="I2" s="17">
        <f t="shared" si="0"/>
        <v>32</v>
      </c>
      <c r="J2" s="17">
        <f t="shared" si="0"/>
        <v>3</v>
      </c>
      <c r="K2" s="17">
        <f t="shared" si="0"/>
        <v>33</v>
      </c>
      <c r="L2" s="17">
        <f t="shared" si="0"/>
        <v>35</v>
      </c>
      <c r="M2" s="17">
        <f t="shared" si="0"/>
        <v>30</v>
      </c>
      <c r="N2" s="17">
        <f t="shared" si="0"/>
        <v>34</v>
      </c>
      <c r="O2" s="17">
        <f t="shared" si="0"/>
        <v>32</v>
      </c>
      <c r="P2" s="17">
        <f t="shared" si="0"/>
        <v>43</v>
      </c>
      <c r="Q2" s="17">
        <f t="shared" si="0"/>
        <v>43</v>
      </c>
      <c r="R2" s="17">
        <f t="shared" si="0"/>
        <v>42</v>
      </c>
      <c r="S2" s="17">
        <f t="shared" si="0"/>
        <v>42</v>
      </c>
      <c r="T2" s="17">
        <f t="shared" si="0"/>
        <v>31</v>
      </c>
      <c r="U2" s="17">
        <f t="shared" si="0"/>
        <v>34</v>
      </c>
      <c r="V2" s="17">
        <f t="shared" si="0"/>
        <v>34</v>
      </c>
      <c r="W2" s="17">
        <f t="shared" si="0"/>
        <v>34</v>
      </c>
      <c r="X2" s="17">
        <f t="shared" si="0"/>
        <v>34</v>
      </c>
      <c r="Y2" s="17">
        <f t="shared" si="0"/>
        <v>35</v>
      </c>
      <c r="Z2" s="17">
        <f t="shared" si="0"/>
        <v>39</v>
      </c>
      <c r="AA2" s="17">
        <f t="shared" si="0"/>
        <v>39</v>
      </c>
      <c r="AB2" s="17">
        <f t="shared" si="0"/>
        <v>34</v>
      </c>
      <c r="AC2" s="17">
        <f t="shared" si="0"/>
        <v>34</v>
      </c>
      <c r="AD2" s="17">
        <f t="shared" si="0"/>
        <v>31</v>
      </c>
      <c r="AE2" s="17">
        <f t="shared" si="0"/>
        <v>34</v>
      </c>
      <c r="AF2" s="17">
        <f t="shared" si="0"/>
        <v>34</v>
      </c>
      <c r="AG2" s="17">
        <f t="shared" si="0"/>
        <v>34</v>
      </c>
      <c r="AH2" s="17">
        <f t="shared" si="0"/>
        <v>34</v>
      </c>
      <c r="AI2" s="17">
        <f t="shared" si="0"/>
        <v>33</v>
      </c>
      <c r="AJ2" s="17">
        <f t="shared" si="0"/>
        <v>35</v>
      </c>
      <c r="AK2" s="17">
        <f t="shared" si="0"/>
        <v>23</v>
      </c>
      <c r="AL2" s="17">
        <f t="shared" si="0"/>
        <v>35</v>
      </c>
      <c r="AM2" s="17">
        <f t="shared" si="0"/>
        <v>35</v>
      </c>
      <c r="AN2" s="17">
        <f t="shared" si="0"/>
        <v>41</v>
      </c>
      <c r="AO2" s="17">
        <f t="shared" si="0"/>
        <v>41</v>
      </c>
      <c r="AP2" s="17">
        <f t="shared" si="0"/>
        <v>6</v>
      </c>
      <c r="AQ2" s="17">
        <f t="shared" si="0"/>
        <v>63</v>
      </c>
      <c r="AR2" s="17">
        <f t="shared" si="0"/>
        <v>63</v>
      </c>
      <c r="AS2" s="17">
        <f t="shared" si="0"/>
        <v>63</v>
      </c>
    </row>
    <row r="3" spans="1:45" s="88" customFormat="1" ht="19.95" customHeight="1">
      <c r="A3" s="241" t="s">
        <v>658</v>
      </c>
      <c r="B3" s="23" t="s">
        <v>659</v>
      </c>
      <c r="C3" s="23" t="s">
        <v>503</v>
      </c>
      <c r="D3" s="242" t="s">
        <v>7</v>
      </c>
      <c r="E3" s="23" t="s">
        <v>7</v>
      </c>
      <c r="F3" s="243"/>
      <c r="G3" s="14" t="s">
        <v>7</v>
      </c>
      <c r="H3" s="14"/>
      <c r="I3" s="14"/>
      <c r="J3" s="14"/>
      <c r="K3" s="14"/>
      <c r="L3" s="14"/>
      <c r="M3" s="14"/>
      <c r="N3" s="14"/>
      <c r="O3" s="14"/>
      <c r="P3" s="15" t="s">
        <v>658</v>
      </c>
      <c r="Q3" s="15" t="s">
        <v>659</v>
      </c>
      <c r="R3" s="15">
        <v>6.863842</v>
      </c>
      <c r="S3" s="15">
        <v>79.883600000000001</v>
      </c>
      <c r="T3" s="15"/>
      <c r="U3" s="15"/>
      <c r="V3" s="15"/>
      <c r="W3" s="15"/>
      <c r="X3" s="15"/>
      <c r="Y3" s="78"/>
      <c r="Z3" s="22" t="s">
        <v>670</v>
      </c>
      <c r="AA3" s="22" t="s">
        <v>671</v>
      </c>
      <c r="AB3" s="22"/>
      <c r="AC3" s="22"/>
      <c r="AD3" s="22"/>
      <c r="AE3" s="22"/>
      <c r="AF3" s="22"/>
      <c r="AG3" s="22"/>
      <c r="AH3" s="22"/>
      <c r="AI3" s="83"/>
      <c r="AJ3" s="23"/>
      <c r="AK3" s="23"/>
      <c r="AL3" s="23"/>
      <c r="AM3" s="23"/>
      <c r="AN3" s="23" t="s">
        <v>672</v>
      </c>
      <c r="AO3" s="23" t="s">
        <v>471</v>
      </c>
      <c r="AP3" s="23" t="s">
        <v>673</v>
      </c>
      <c r="AQ3" s="23" t="s">
        <v>670</v>
      </c>
      <c r="AR3" s="23" t="s">
        <v>671</v>
      </c>
      <c r="AS3" s="244" t="s">
        <v>674</v>
      </c>
    </row>
    <row r="4" spans="1:45" s="88" customFormat="1" ht="19.95" customHeight="1">
      <c r="A4" s="241" t="s">
        <v>501</v>
      </c>
      <c r="B4" s="23" t="s">
        <v>502</v>
      </c>
      <c r="C4" s="23" t="s">
        <v>503</v>
      </c>
      <c r="D4" s="242" t="s">
        <v>8</v>
      </c>
      <c r="E4" s="23" t="s">
        <v>675</v>
      </c>
      <c r="F4" s="243"/>
      <c r="G4" s="14" t="s">
        <v>61</v>
      </c>
      <c r="H4" s="14" t="s">
        <v>59</v>
      </c>
      <c r="I4" s="14">
        <v>400</v>
      </c>
      <c r="J4" s="14"/>
      <c r="K4" s="14" t="s">
        <v>60</v>
      </c>
      <c r="L4" s="14" t="s">
        <v>676</v>
      </c>
      <c r="M4" s="14">
        <v>0.85</v>
      </c>
      <c r="N4" s="14">
        <v>17</v>
      </c>
      <c r="O4" s="14">
        <v>-28.15</v>
      </c>
      <c r="P4" s="15" t="s">
        <v>501</v>
      </c>
      <c r="Q4" s="15" t="s">
        <v>502</v>
      </c>
      <c r="R4" s="15">
        <v>6.9132009999999999</v>
      </c>
      <c r="S4" s="15">
        <v>79.941010000000006</v>
      </c>
      <c r="T4" s="15">
        <v>23.17</v>
      </c>
      <c r="U4" s="15">
        <v>21840</v>
      </c>
      <c r="V4" s="15">
        <v>0.6</v>
      </c>
      <c r="W4" s="15">
        <v>360</v>
      </c>
      <c r="X4" s="15">
        <v>19</v>
      </c>
      <c r="Y4" s="78" t="s">
        <v>677</v>
      </c>
      <c r="Z4" s="22" t="s">
        <v>678</v>
      </c>
      <c r="AA4" s="22" t="s">
        <v>679</v>
      </c>
      <c r="AB4" s="22">
        <v>6.9208610000000004</v>
      </c>
      <c r="AC4" s="22">
        <v>79.940944000000002</v>
      </c>
      <c r="AD4" s="22">
        <v>21.86</v>
      </c>
      <c r="AE4" s="22">
        <v>23072</v>
      </c>
      <c r="AF4" s="22">
        <v>0.6</v>
      </c>
      <c r="AG4" s="22">
        <v>180</v>
      </c>
      <c r="AH4" s="22">
        <v>30</v>
      </c>
      <c r="AI4" s="83" t="s">
        <v>680</v>
      </c>
      <c r="AJ4" s="23" t="s">
        <v>681</v>
      </c>
      <c r="AK4" s="23" t="s">
        <v>682</v>
      </c>
      <c r="AL4" s="23" t="s">
        <v>683</v>
      </c>
      <c r="AM4" s="23" t="s">
        <v>684</v>
      </c>
      <c r="AN4" s="23" t="s">
        <v>685</v>
      </c>
      <c r="AO4" s="23" t="s">
        <v>686</v>
      </c>
      <c r="AP4" s="23"/>
      <c r="AQ4" s="23" t="s">
        <v>678</v>
      </c>
      <c r="AR4" s="23" t="s">
        <v>679</v>
      </c>
      <c r="AS4" s="23" t="s">
        <v>676</v>
      </c>
    </row>
    <row r="5" spans="1:45" s="88" customFormat="1" ht="19.95" customHeight="1">
      <c r="A5" s="241" t="s">
        <v>523</v>
      </c>
      <c r="B5" s="23" t="s">
        <v>524</v>
      </c>
      <c r="C5" s="23" t="s">
        <v>503</v>
      </c>
      <c r="D5" s="242" t="s">
        <v>8</v>
      </c>
      <c r="E5" s="23" t="s">
        <v>687</v>
      </c>
      <c r="F5" s="243"/>
      <c r="G5" s="14" t="s">
        <v>61</v>
      </c>
      <c r="H5" s="14" t="s">
        <v>59</v>
      </c>
      <c r="I5" s="14">
        <v>400</v>
      </c>
      <c r="J5" s="14"/>
      <c r="K5" s="14" t="s">
        <v>60</v>
      </c>
      <c r="L5" s="14" t="s">
        <v>688</v>
      </c>
      <c r="M5" s="14">
        <v>0.42</v>
      </c>
      <c r="N5" s="14">
        <v>17</v>
      </c>
      <c r="O5" s="14">
        <v>-27.03</v>
      </c>
      <c r="P5" s="15" t="s">
        <v>523</v>
      </c>
      <c r="Q5" s="15" t="s">
        <v>524</v>
      </c>
      <c r="R5" s="15">
        <v>6.9248000000000003</v>
      </c>
      <c r="S5" s="15">
        <v>79.919600000000003</v>
      </c>
      <c r="T5" s="15">
        <v>19.37</v>
      </c>
      <c r="U5" s="15">
        <v>21840</v>
      </c>
      <c r="V5" s="15">
        <v>0.6</v>
      </c>
      <c r="W5" s="15">
        <v>17</v>
      </c>
      <c r="X5" s="15">
        <v>19</v>
      </c>
      <c r="Y5" s="78" t="s">
        <v>689</v>
      </c>
      <c r="Z5" s="22" t="s">
        <v>690</v>
      </c>
      <c r="AA5" s="22" t="s">
        <v>691</v>
      </c>
      <c r="AB5" s="22">
        <v>6.9284379999999999</v>
      </c>
      <c r="AC5" s="22">
        <v>79.920715999999999</v>
      </c>
      <c r="AD5" s="22">
        <v>20.61</v>
      </c>
      <c r="AE5" s="22">
        <v>23072</v>
      </c>
      <c r="AF5" s="22">
        <v>0.6</v>
      </c>
      <c r="AG5" s="22">
        <v>197</v>
      </c>
      <c r="AH5" s="22">
        <v>11</v>
      </c>
      <c r="AI5" s="83" t="s">
        <v>692</v>
      </c>
      <c r="AJ5" s="23" t="s">
        <v>693</v>
      </c>
      <c r="AK5" s="23" t="s">
        <v>694</v>
      </c>
      <c r="AL5" s="23" t="s">
        <v>695</v>
      </c>
      <c r="AM5" s="23" t="s">
        <v>696</v>
      </c>
      <c r="AN5" s="23" t="s">
        <v>697</v>
      </c>
      <c r="AO5" s="23" t="s">
        <v>686</v>
      </c>
      <c r="AP5" s="23"/>
      <c r="AQ5" s="23" t="s">
        <v>690</v>
      </c>
      <c r="AR5" s="23" t="s">
        <v>691</v>
      </c>
      <c r="AS5" s="23" t="s">
        <v>688</v>
      </c>
    </row>
    <row r="6" spans="1:45" s="88" customFormat="1" ht="19.95" customHeight="1">
      <c r="A6" s="241" t="s">
        <v>538</v>
      </c>
      <c r="B6" s="23" t="s">
        <v>539</v>
      </c>
      <c r="C6" s="23" t="s">
        <v>503</v>
      </c>
      <c r="D6" s="242" t="s">
        <v>10</v>
      </c>
      <c r="E6" s="23" t="s">
        <v>698</v>
      </c>
      <c r="F6" s="243"/>
      <c r="G6" s="14" t="s">
        <v>92</v>
      </c>
      <c r="H6" s="14"/>
      <c r="I6" s="14"/>
      <c r="J6" s="14"/>
      <c r="K6" s="14" t="s">
        <v>60</v>
      </c>
      <c r="L6" s="14" t="s">
        <v>699</v>
      </c>
      <c r="M6" s="14"/>
      <c r="N6" s="14">
        <v>20</v>
      </c>
      <c r="O6" s="14"/>
      <c r="P6" s="15" t="s">
        <v>538</v>
      </c>
      <c r="Q6" s="15" t="s">
        <v>539</v>
      </c>
      <c r="R6" s="15">
        <v>8.8242130000000003</v>
      </c>
      <c r="S6" s="15">
        <v>80.429464999999993</v>
      </c>
      <c r="T6" s="15"/>
      <c r="U6" s="15">
        <v>10217</v>
      </c>
      <c r="V6" s="15">
        <v>0.3</v>
      </c>
      <c r="W6" s="15">
        <v>137</v>
      </c>
      <c r="X6" s="15">
        <v>19</v>
      </c>
      <c r="Y6" s="78" t="s">
        <v>700</v>
      </c>
      <c r="Z6" s="22" t="s">
        <v>701</v>
      </c>
      <c r="AA6" s="22" t="s">
        <v>702</v>
      </c>
      <c r="AB6" s="22">
        <v>8.8051739999999992</v>
      </c>
      <c r="AC6" s="22">
        <v>80.447406000000001</v>
      </c>
      <c r="AD6" s="22"/>
      <c r="AE6" s="22">
        <v>10567</v>
      </c>
      <c r="AF6" s="22">
        <v>0.6</v>
      </c>
      <c r="AG6" s="22">
        <v>317</v>
      </c>
      <c r="AH6" s="22">
        <v>25</v>
      </c>
      <c r="AI6" s="83" t="s">
        <v>703</v>
      </c>
      <c r="AJ6" s="23" t="s">
        <v>704</v>
      </c>
      <c r="AK6" s="23"/>
      <c r="AL6" s="23" t="s">
        <v>705</v>
      </c>
      <c r="AM6" s="23" t="s">
        <v>706</v>
      </c>
      <c r="AN6" s="23" t="s">
        <v>707</v>
      </c>
      <c r="AO6" s="23" t="s">
        <v>686</v>
      </c>
      <c r="AP6" s="23"/>
      <c r="AQ6" s="23" t="s">
        <v>701</v>
      </c>
      <c r="AR6" s="23" t="s">
        <v>702</v>
      </c>
      <c r="AS6" s="23" t="s">
        <v>699</v>
      </c>
    </row>
    <row r="7" spans="1:45" s="88" customFormat="1" ht="19.95" customHeight="1">
      <c r="A7" s="241" t="s">
        <v>532</v>
      </c>
      <c r="B7" s="23" t="s">
        <v>533</v>
      </c>
      <c r="C7" s="23" t="s">
        <v>503</v>
      </c>
      <c r="D7" s="242" t="s">
        <v>8</v>
      </c>
      <c r="E7" s="23" t="s">
        <v>708</v>
      </c>
      <c r="F7" s="243"/>
      <c r="G7" s="14" t="s">
        <v>61</v>
      </c>
      <c r="H7" s="245" t="s">
        <v>59</v>
      </c>
      <c r="I7" s="14">
        <v>200</v>
      </c>
      <c r="J7" s="245" t="s">
        <v>709</v>
      </c>
      <c r="K7" s="14" t="s">
        <v>60</v>
      </c>
      <c r="L7" s="245" t="s">
        <v>710</v>
      </c>
      <c r="M7" s="245">
        <v>2.62</v>
      </c>
      <c r="N7" s="245">
        <v>18</v>
      </c>
      <c r="O7" s="245">
        <v>-32.270000000000003</v>
      </c>
      <c r="P7" s="246" t="s">
        <v>532</v>
      </c>
      <c r="Q7" s="246" t="s">
        <v>533</v>
      </c>
      <c r="R7" s="246">
        <v>9.7334219999999991</v>
      </c>
      <c r="S7" s="246">
        <v>79.965716999999998</v>
      </c>
      <c r="T7" s="246">
        <v>8.64</v>
      </c>
      <c r="U7" s="246">
        <v>18250</v>
      </c>
      <c r="V7" s="246">
        <v>0.6</v>
      </c>
      <c r="W7" s="246">
        <v>336.63</v>
      </c>
      <c r="X7" s="246">
        <v>19</v>
      </c>
      <c r="Y7" s="247" t="s">
        <v>711</v>
      </c>
      <c r="Z7" s="248" t="s">
        <v>712</v>
      </c>
      <c r="AA7" s="248" t="s">
        <v>713</v>
      </c>
      <c r="AB7" s="248">
        <v>9.7551310000000004</v>
      </c>
      <c r="AC7" s="248">
        <v>79.956258000000005</v>
      </c>
      <c r="AD7" s="248">
        <v>11.83</v>
      </c>
      <c r="AE7" s="248">
        <v>19260</v>
      </c>
      <c r="AF7" s="248">
        <v>0.6</v>
      </c>
      <c r="AG7" s="248">
        <v>156.62</v>
      </c>
      <c r="AH7" s="248">
        <v>35</v>
      </c>
      <c r="AI7" s="249" t="s">
        <v>714</v>
      </c>
      <c r="AJ7" s="250" t="s">
        <v>715</v>
      </c>
      <c r="AK7" s="250" t="s">
        <v>716</v>
      </c>
      <c r="AL7" s="250" t="s">
        <v>717</v>
      </c>
      <c r="AM7" s="250" t="s">
        <v>718</v>
      </c>
      <c r="AN7" s="250" t="s">
        <v>719</v>
      </c>
      <c r="AO7" s="250" t="s">
        <v>720</v>
      </c>
      <c r="AP7" s="250"/>
      <c r="AQ7" s="250" t="s">
        <v>712</v>
      </c>
      <c r="AR7" s="250" t="s">
        <v>713</v>
      </c>
      <c r="AS7" s="250" t="s">
        <v>710</v>
      </c>
    </row>
    <row r="8" spans="1:45" s="88" customFormat="1" ht="19.95" customHeight="1">
      <c r="A8" s="241" t="s">
        <v>519</v>
      </c>
      <c r="B8" s="23" t="s">
        <v>520</v>
      </c>
      <c r="C8" s="23" t="s">
        <v>503</v>
      </c>
      <c r="D8" s="242" t="s">
        <v>8</v>
      </c>
      <c r="E8" s="23" t="s">
        <v>721</v>
      </c>
      <c r="F8" s="243"/>
      <c r="G8" s="14" t="s">
        <v>61</v>
      </c>
      <c r="H8" s="14" t="s">
        <v>59</v>
      </c>
      <c r="I8" s="14">
        <v>400</v>
      </c>
      <c r="J8" s="14"/>
      <c r="K8" s="14" t="s">
        <v>60</v>
      </c>
      <c r="L8" s="14" t="s">
        <v>722</v>
      </c>
      <c r="M8" s="14">
        <v>3.8</v>
      </c>
      <c r="N8" s="14">
        <v>20</v>
      </c>
      <c r="O8" s="14">
        <v>-32.57</v>
      </c>
      <c r="P8" s="15" t="s">
        <v>519</v>
      </c>
      <c r="Q8" s="15" t="s">
        <v>520</v>
      </c>
      <c r="R8" s="15">
        <v>7.1864400000000002</v>
      </c>
      <c r="S8" s="15">
        <v>80.112718999999998</v>
      </c>
      <c r="T8" s="15">
        <v>45.03</v>
      </c>
      <c r="U8" s="15">
        <v>17975</v>
      </c>
      <c r="V8" s="15">
        <v>0.6</v>
      </c>
      <c r="W8" s="15">
        <v>230</v>
      </c>
      <c r="X8" s="15">
        <v>20</v>
      </c>
      <c r="Y8" s="78" t="s">
        <v>723</v>
      </c>
      <c r="Z8" s="22" t="s">
        <v>724</v>
      </c>
      <c r="AA8" s="22" t="s">
        <v>725</v>
      </c>
      <c r="AB8" s="22">
        <v>7.1644439999999996</v>
      </c>
      <c r="AC8" s="22">
        <v>80.086387999999999</v>
      </c>
      <c r="AD8" s="22">
        <v>43.19</v>
      </c>
      <c r="AE8" s="22">
        <v>18985</v>
      </c>
      <c r="AF8" s="22">
        <v>1.2</v>
      </c>
      <c r="AG8" s="22">
        <v>50</v>
      </c>
      <c r="AH8" s="22">
        <v>30</v>
      </c>
      <c r="AI8" s="83" t="s">
        <v>726</v>
      </c>
      <c r="AJ8" s="23" t="s">
        <v>727</v>
      </c>
      <c r="AK8" s="23" t="s">
        <v>728</v>
      </c>
      <c r="AL8" s="23" t="s">
        <v>729</v>
      </c>
      <c r="AM8" s="23" t="s">
        <v>730</v>
      </c>
      <c r="AN8" s="23" t="s">
        <v>731</v>
      </c>
      <c r="AO8" s="23" t="s">
        <v>85</v>
      </c>
      <c r="AP8" s="23"/>
      <c r="AQ8" s="23" t="s">
        <v>724</v>
      </c>
      <c r="AR8" s="23" t="s">
        <v>725</v>
      </c>
      <c r="AS8" s="23" t="s">
        <v>722</v>
      </c>
    </row>
    <row r="9" spans="1:45" s="88" customFormat="1" ht="19.95" customHeight="1">
      <c r="A9" s="241" t="s">
        <v>528</v>
      </c>
      <c r="B9" s="23" t="s">
        <v>529</v>
      </c>
      <c r="C9" s="23" t="s">
        <v>503</v>
      </c>
      <c r="D9" s="242" t="s">
        <v>10</v>
      </c>
      <c r="E9" s="23" t="s">
        <v>732</v>
      </c>
      <c r="F9" s="243"/>
      <c r="G9" s="14" t="s">
        <v>92</v>
      </c>
      <c r="H9" s="14"/>
      <c r="I9" s="14"/>
      <c r="J9" s="14"/>
      <c r="K9" s="14" t="s">
        <v>60</v>
      </c>
      <c r="L9" s="14" t="s">
        <v>733</v>
      </c>
      <c r="M9" s="14"/>
      <c r="N9" s="14">
        <v>7</v>
      </c>
      <c r="O9" s="14">
        <v>-50.78</v>
      </c>
      <c r="P9" s="15" t="s">
        <v>528</v>
      </c>
      <c r="Q9" s="15" t="s">
        <v>529</v>
      </c>
      <c r="R9" s="15">
        <v>7.50868</v>
      </c>
      <c r="S9" s="15">
        <v>80.378242</v>
      </c>
      <c r="T9" s="15"/>
      <c r="U9" s="15">
        <v>10217</v>
      </c>
      <c r="V9" s="15">
        <v>0.3</v>
      </c>
      <c r="W9" s="15">
        <v>145.13999999999999</v>
      </c>
      <c r="X9" s="15">
        <v>19</v>
      </c>
      <c r="Y9" s="78" t="s">
        <v>734</v>
      </c>
      <c r="Z9" s="22" t="s">
        <v>735</v>
      </c>
      <c r="AA9" s="22" t="s">
        <v>736</v>
      </c>
      <c r="AB9" s="22">
        <v>7.4714799999999997</v>
      </c>
      <c r="AC9" s="22">
        <v>80.404574999999994</v>
      </c>
      <c r="AD9" s="22"/>
      <c r="AE9" s="22">
        <v>10567</v>
      </c>
      <c r="AF9" s="22">
        <v>0.6</v>
      </c>
      <c r="AG9" s="22">
        <v>325.14</v>
      </c>
      <c r="AH9" s="22">
        <v>25</v>
      </c>
      <c r="AI9" s="83" t="s">
        <v>737</v>
      </c>
      <c r="AJ9" s="23" t="s">
        <v>738</v>
      </c>
      <c r="AK9" s="23"/>
      <c r="AL9" s="23" t="s">
        <v>739</v>
      </c>
      <c r="AM9" s="23" t="s">
        <v>740</v>
      </c>
      <c r="AN9" s="23" t="s">
        <v>741</v>
      </c>
      <c r="AO9" s="23" t="s">
        <v>742</v>
      </c>
      <c r="AP9" s="23"/>
      <c r="AQ9" s="23" t="s">
        <v>735</v>
      </c>
      <c r="AR9" s="23" t="s">
        <v>736</v>
      </c>
      <c r="AS9" s="23" t="s">
        <v>733</v>
      </c>
    </row>
    <row r="10" spans="1:45" s="88" customFormat="1" ht="19.95" customHeight="1">
      <c r="A10" s="241" t="s">
        <v>548</v>
      </c>
      <c r="B10" s="23" t="s">
        <v>549</v>
      </c>
      <c r="C10" s="23" t="s">
        <v>503</v>
      </c>
      <c r="D10" s="242" t="s">
        <v>8</v>
      </c>
      <c r="E10" s="23" t="s">
        <v>743</v>
      </c>
      <c r="F10" s="243"/>
      <c r="G10" s="14" t="s">
        <v>61</v>
      </c>
      <c r="H10" s="14" t="s">
        <v>59</v>
      </c>
      <c r="I10" s="14">
        <v>400</v>
      </c>
      <c r="J10" s="14"/>
      <c r="K10" s="14" t="s">
        <v>60</v>
      </c>
      <c r="L10" s="14" t="s">
        <v>744</v>
      </c>
      <c r="M10" s="14">
        <v>1.1499999999999999</v>
      </c>
      <c r="N10" s="14">
        <v>19.5</v>
      </c>
      <c r="O10" s="14">
        <v>-29.62</v>
      </c>
      <c r="P10" s="15" t="s">
        <v>548</v>
      </c>
      <c r="Q10" s="15" t="s">
        <v>549</v>
      </c>
      <c r="R10" s="15">
        <v>7.3432919999999999</v>
      </c>
      <c r="S10" s="15">
        <v>79.851557</v>
      </c>
      <c r="T10" s="15">
        <v>8.5299999999999994</v>
      </c>
      <c r="U10" s="15">
        <v>21462</v>
      </c>
      <c r="V10" s="15">
        <v>0.3</v>
      </c>
      <c r="W10" s="15">
        <v>280</v>
      </c>
      <c r="X10" s="15">
        <v>19</v>
      </c>
      <c r="Y10" s="78" t="s">
        <v>745</v>
      </c>
      <c r="Z10" s="22" t="s">
        <v>746</v>
      </c>
      <c r="AA10" s="22" t="s">
        <v>747</v>
      </c>
      <c r="AB10" s="22">
        <v>7.345078</v>
      </c>
      <c r="AC10" s="22">
        <v>79.841268999999997</v>
      </c>
      <c r="AD10" s="22">
        <v>16.760000000000002</v>
      </c>
      <c r="AE10" s="22">
        <v>22694</v>
      </c>
      <c r="AF10" s="22">
        <v>0.6</v>
      </c>
      <c r="AG10" s="22">
        <v>100</v>
      </c>
      <c r="AH10" s="22">
        <v>25</v>
      </c>
      <c r="AI10" s="83" t="s">
        <v>748</v>
      </c>
      <c r="AJ10" s="23" t="s">
        <v>749</v>
      </c>
      <c r="AK10" s="23" t="s">
        <v>750</v>
      </c>
      <c r="AL10" s="23" t="s">
        <v>751</v>
      </c>
      <c r="AM10" s="23" t="s">
        <v>752</v>
      </c>
      <c r="AN10" s="23" t="s">
        <v>753</v>
      </c>
      <c r="AO10" s="23" t="s">
        <v>686</v>
      </c>
      <c r="AP10" s="23"/>
      <c r="AQ10" s="23" t="s">
        <v>746</v>
      </c>
      <c r="AR10" s="23" t="s">
        <v>747</v>
      </c>
      <c r="AS10" s="23" t="s">
        <v>744</v>
      </c>
    </row>
    <row r="11" spans="1:45" s="88" customFormat="1" ht="19.95" customHeight="1">
      <c r="A11" s="241" t="s">
        <v>512</v>
      </c>
      <c r="B11" s="23" t="s">
        <v>513</v>
      </c>
      <c r="C11" s="23" t="s">
        <v>503</v>
      </c>
      <c r="D11" s="242" t="s">
        <v>10</v>
      </c>
      <c r="E11" s="23" t="s">
        <v>754</v>
      </c>
      <c r="F11" s="243"/>
      <c r="G11" s="14" t="s">
        <v>92</v>
      </c>
      <c r="H11" s="14"/>
      <c r="I11" s="14">
        <v>200</v>
      </c>
      <c r="J11" s="14"/>
      <c r="K11" s="14"/>
      <c r="L11" s="14" t="s">
        <v>755</v>
      </c>
      <c r="M11" s="14"/>
      <c r="N11" s="14">
        <v>15</v>
      </c>
      <c r="O11" s="14"/>
      <c r="P11" s="15" t="s">
        <v>512</v>
      </c>
      <c r="Q11" s="15" t="s">
        <v>513</v>
      </c>
      <c r="R11" s="15">
        <v>9.0631120000000003</v>
      </c>
      <c r="S11" s="15">
        <v>79.844524000000007</v>
      </c>
      <c r="T11" s="15"/>
      <c r="U11" s="15">
        <v>10567</v>
      </c>
      <c r="V11" s="15">
        <v>0.3</v>
      </c>
      <c r="W11" s="15">
        <v>146</v>
      </c>
      <c r="X11" s="15">
        <v>19</v>
      </c>
      <c r="Y11" s="78" t="s">
        <v>756</v>
      </c>
      <c r="Z11" s="22" t="s">
        <v>757</v>
      </c>
      <c r="AA11" s="22" t="s">
        <v>758</v>
      </c>
      <c r="AB11" s="22">
        <v>9.0280079999999998</v>
      </c>
      <c r="AC11" s="22">
        <v>79.868706000000003</v>
      </c>
      <c r="AD11" s="22"/>
      <c r="AE11" s="22">
        <v>10217</v>
      </c>
      <c r="AF11" s="22">
        <v>0.6</v>
      </c>
      <c r="AG11" s="22">
        <v>326</v>
      </c>
      <c r="AH11" s="22">
        <v>27</v>
      </c>
      <c r="AI11" s="83"/>
      <c r="AJ11" s="23" t="s">
        <v>759</v>
      </c>
      <c r="AK11" s="23"/>
      <c r="AL11" s="23" t="s">
        <v>760</v>
      </c>
      <c r="AM11" s="23" t="s">
        <v>761</v>
      </c>
      <c r="AN11" s="23" t="s">
        <v>762</v>
      </c>
      <c r="AO11" s="23" t="s">
        <v>130</v>
      </c>
      <c r="AP11" s="23"/>
      <c r="AQ11" s="23" t="s">
        <v>757</v>
      </c>
      <c r="AR11" s="23" t="s">
        <v>758</v>
      </c>
      <c r="AS11" s="23" t="s">
        <v>755</v>
      </c>
    </row>
    <row r="12" spans="1:45" s="88" customFormat="1" ht="19.95" customHeight="1">
      <c r="A12" s="241" t="s">
        <v>544</v>
      </c>
      <c r="B12" s="23" t="s">
        <v>545</v>
      </c>
      <c r="C12" s="23" t="s">
        <v>503</v>
      </c>
      <c r="D12" s="242" t="s">
        <v>7</v>
      </c>
      <c r="E12" s="23" t="s">
        <v>7</v>
      </c>
      <c r="F12" s="243"/>
      <c r="G12" s="14" t="s">
        <v>7</v>
      </c>
      <c r="H12" s="14"/>
      <c r="I12" s="14"/>
      <c r="J12" s="14"/>
      <c r="K12" s="14"/>
      <c r="L12" s="14"/>
      <c r="M12" s="14"/>
      <c r="N12" s="14"/>
      <c r="O12" s="14"/>
      <c r="P12" s="15" t="s">
        <v>544</v>
      </c>
      <c r="Q12" s="15" t="s">
        <v>545</v>
      </c>
      <c r="R12" s="15">
        <v>8.9566409999999994</v>
      </c>
      <c r="S12" s="15">
        <v>79.963121000000001</v>
      </c>
      <c r="T12" s="15"/>
      <c r="U12" s="15"/>
      <c r="V12" s="15"/>
      <c r="W12" s="15"/>
      <c r="X12" s="15"/>
      <c r="Y12" s="78"/>
      <c r="Z12" s="251" t="s">
        <v>763</v>
      </c>
      <c r="AA12" s="251" t="s">
        <v>764</v>
      </c>
      <c r="AB12" s="22"/>
      <c r="AC12" s="22"/>
      <c r="AD12" s="22"/>
      <c r="AE12" s="22"/>
      <c r="AF12" s="22"/>
      <c r="AG12" s="22"/>
      <c r="AH12" s="22"/>
      <c r="AI12" s="83"/>
      <c r="AJ12" s="23"/>
      <c r="AK12" s="23"/>
      <c r="AL12" s="23"/>
      <c r="AM12" s="23"/>
      <c r="AN12" s="21" t="s">
        <v>765</v>
      </c>
      <c r="AO12" s="85" t="s">
        <v>471</v>
      </c>
      <c r="AP12" s="85" t="s">
        <v>766</v>
      </c>
      <c r="AQ12" s="23" t="s">
        <v>763</v>
      </c>
      <c r="AR12" s="23" t="s">
        <v>764</v>
      </c>
      <c r="AS12" s="244" t="s">
        <v>767</v>
      </c>
    </row>
    <row r="13" spans="1:45" s="24" customFormat="1" ht="19.95" customHeight="1">
      <c r="A13" s="252" t="s">
        <v>604</v>
      </c>
      <c r="B13" s="21" t="s">
        <v>605</v>
      </c>
      <c r="C13" s="23" t="s">
        <v>606</v>
      </c>
      <c r="D13" s="242" t="s">
        <v>8</v>
      </c>
      <c r="E13" s="21" t="s">
        <v>768</v>
      </c>
      <c r="F13" s="21"/>
      <c r="G13" s="14" t="s">
        <v>61</v>
      </c>
      <c r="H13" s="14" t="s">
        <v>59</v>
      </c>
      <c r="I13" s="14">
        <v>400</v>
      </c>
      <c r="J13" s="14"/>
      <c r="K13" s="14" t="s">
        <v>60</v>
      </c>
      <c r="L13" s="14" t="s">
        <v>769</v>
      </c>
      <c r="M13" s="14">
        <v>1.66</v>
      </c>
      <c r="N13" s="14">
        <v>19.5</v>
      </c>
      <c r="O13" s="14">
        <v>-27.6</v>
      </c>
      <c r="P13" s="15" t="s">
        <v>604</v>
      </c>
      <c r="Q13" s="15" t="s">
        <v>605</v>
      </c>
      <c r="R13" s="15">
        <v>7.5305986000000003</v>
      </c>
      <c r="S13" s="15">
        <v>80.341147399999997</v>
      </c>
      <c r="T13" s="15">
        <v>130.47999999999999</v>
      </c>
      <c r="U13" s="15">
        <v>21882</v>
      </c>
      <c r="V13" s="15">
        <v>0.6</v>
      </c>
      <c r="W13" s="15">
        <v>265</v>
      </c>
      <c r="X13" s="15">
        <v>19</v>
      </c>
      <c r="Y13" s="78" t="s">
        <v>770</v>
      </c>
      <c r="Z13" s="22" t="s">
        <v>771</v>
      </c>
      <c r="AA13" s="22" t="s">
        <v>772</v>
      </c>
      <c r="AB13" s="22">
        <v>7.5291790000000001</v>
      </c>
      <c r="AC13" s="22">
        <v>80.326121999999998</v>
      </c>
      <c r="AD13" s="22">
        <v>112.81</v>
      </c>
      <c r="AE13" s="22">
        <v>23114</v>
      </c>
      <c r="AF13" s="22">
        <v>0.6</v>
      </c>
      <c r="AG13" s="22">
        <v>85</v>
      </c>
      <c r="AH13" s="22">
        <v>30</v>
      </c>
      <c r="AI13" s="83" t="s">
        <v>773</v>
      </c>
      <c r="AJ13" s="23" t="s">
        <v>774</v>
      </c>
      <c r="AK13" s="23" t="s">
        <v>775</v>
      </c>
      <c r="AL13" s="23" t="s">
        <v>776</v>
      </c>
      <c r="AM13" s="23" t="s">
        <v>777</v>
      </c>
      <c r="AN13" s="23" t="s">
        <v>778</v>
      </c>
      <c r="AO13" s="23" t="s">
        <v>686</v>
      </c>
      <c r="AP13" s="23"/>
      <c r="AQ13" s="23" t="s">
        <v>771</v>
      </c>
      <c r="AR13" s="23" t="s">
        <v>772</v>
      </c>
      <c r="AS13" s="23" t="s">
        <v>769</v>
      </c>
    </row>
    <row r="14" spans="1:45" s="24" customFormat="1" ht="19.95" customHeight="1">
      <c r="A14" s="252" t="s">
        <v>624</v>
      </c>
      <c r="B14" s="21" t="s">
        <v>625</v>
      </c>
      <c r="C14" s="23" t="s">
        <v>554</v>
      </c>
      <c r="D14" s="242" t="s">
        <v>8</v>
      </c>
      <c r="E14" s="21" t="s">
        <v>779</v>
      </c>
      <c r="F14" s="21"/>
      <c r="G14" s="245" t="s">
        <v>61</v>
      </c>
      <c r="H14" s="14" t="s">
        <v>59</v>
      </c>
      <c r="I14" s="14">
        <v>400</v>
      </c>
      <c r="J14" s="14"/>
      <c r="K14" s="14" t="s">
        <v>60</v>
      </c>
      <c r="L14" s="14" t="s">
        <v>780</v>
      </c>
      <c r="M14" s="14">
        <v>1.5</v>
      </c>
      <c r="N14" s="14">
        <v>19.5</v>
      </c>
      <c r="O14" s="14">
        <v>-31.92</v>
      </c>
      <c r="P14" s="15" t="s">
        <v>624</v>
      </c>
      <c r="Q14" s="15" t="s">
        <v>625</v>
      </c>
      <c r="R14" s="15">
        <v>6.7926880000000001</v>
      </c>
      <c r="S14" s="15">
        <v>79.880419000000003</v>
      </c>
      <c r="T14" s="15">
        <v>7.11</v>
      </c>
      <c r="U14" s="15">
        <v>21868</v>
      </c>
      <c r="V14" s="15">
        <v>0.3</v>
      </c>
      <c r="W14" s="15">
        <v>15</v>
      </c>
      <c r="X14" s="15">
        <v>19</v>
      </c>
      <c r="Y14" s="78" t="s">
        <v>781</v>
      </c>
      <c r="Z14" s="22" t="s">
        <v>782</v>
      </c>
      <c r="AA14" s="22" t="s">
        <v>783</v>
      </c>
      <c r="AB14" s="22">
        <v>6.8057660000000002</v>
      </c>
      <c r="AC14" s="22">
        <v>79.883878999999993</v>
      </c>
      <c r="AD14" s="22">
        <v>12</v>
      </c>
      <c r="AE14" s="22">
        <v>23100</v>
      </c>
      <c r="AF14" s="22">
        <v>0.6</v>
      </c>
      <c r="AG14" s="22">
        <v>195</v>
      </c>
      <c r="AH14" s="22">
        <v>30</v>
      </c>
      <c r="AI14" s="83" t="s">
        <v>784</v>
      </c>
      <c r="AJ14" s="23" t="s">
        <v>785</v>
      </c>
      <c r="AK14" s="23" t="s">
        <v>786</v>
      </c>
      <c r="AL14" s="23" t="s">
        <v>787</v>
      </c>
      <c r="AM14" s="23" t="s">
        <v>788</v>
      </c>
      <c r="AN14" s="23" t="s">
        <v>789</v>
      </c>
      <c r="AO14" s="23" t="s">
        <v>495</v>
      </c>
      <c r="AP14" s="23"/>
      <c r="AQ14" s="23" t="s">
        <v>782</v>
      </c>
      <c r="AR14" s="23" t="s">
        <v>783</v>
      </c>
      <c r="AS14" s="23" t="s">
        <v>780</v>
      </c>
    </row>
    <row r="15" spans="1:45" s="24" customFormat="1" ht="19.95" customHeight="1">
      <c r="A15" s="252" t="s">
        <v>558</v>
      </c>
      <c r="B15" s="21" t="s">
        <v>559</v>
      </c>
      <c r="C15" s="23" t="s">
        <v>554</v>
      </c>
      <c r="D15" s="242" t="s">
        <v>8</v>
      </c>
      <c r="E15" s="21" t="s">
        <v>790</v>
      </c>
      <c r="F15" s="21"/>
      <c r="G15" s="245" t="s">
        <v>61</v>
      </c>
      <c r="H15" s="14" t="s">
        <v>59</v>
      </c>
      <c r="I15" s="14">
        <v>400</v>
      </c>
      <c r="J15" s="14"/>
      <c r="K15" s="14" t="s">
        <v>60</v>
      </c>
      <c r="L15" s="14" t="s">
        <v>791</v>
      </c>
      <c r="M15" s="14">
        <v>1.19</v>
      </c>
      <c r="N15" s="14">
        <v>19.5</v>
      </c>
      <c r="O15" s="14">
        <v>-29.91</v>
      </c>
      <c r="P15" s="15" t="s">
        <v>558</v>
      </c>
      <c r="Q15" s="15" t="s">
        <v>559</v>
      </c>
      <c r="R15" s="15">
        <v>6.9061079999999997</v>
      </c>
      <c r="S15" s="15">
        <v>80.041439999999994</v>
      </c>
      <c r="T15" s="15">
        <v>22.85</v>
      </c>
      <c r="U15" s="15">
        <v>21854</v>
      </c>
      <c r="V15" s="15">
        <v>0.3</v>
      </c>
      <c r="W15" s="15">
        <v>183</v>
      </c>
      <c r="X15" s="15">
        <v>25</v>
      </c>
      <c r="Y15" s="78" t="s">
        <v>792</v>
      </c>
      <c r="Z15" s="22" t="s">
        <v>793</v>
      </c>
      <c r="AA15" s="22" t="s">
        <v>794</v>
      </c>
      <c r="AB15" s="22">
        <v>6.8954339999999998</v>
      </c>
      <c r="AC15" s="22">
        <v>80.040794000000005</v>
      </c>
      <c r="AD15" s="22">
        <v>29.35</v>
      </c>
      <c r="AE15" s="22">
        <v>23086</v>
      </c>
      <c r="AF15" s="22">
        <v>0.6</v>
      </c>
      <c r="AG15" s="22">
        <v>3</v>
      </c>
      <c r="AH15" s="22">
        <v>25</v>
      </c>
      <c r="AI15" s="83" t="s">
        <v>795</v>
      </c>
      <c r="AJ15" s="23" t="s">
        <v>796</v>
      </c>
      <c r="AK15" s="23" t="s">
        <v>797</v>
      </c>
      <c r="AL15" s="23" t="s">
        <v>798</v>
      </c>
      <c r="AM15" s="23" t="s">
        <v>799</v>
      </c>
      <c r="AN15" s="23" t="s">
        <v>800</v>
      </c>
      <c r="AO15" s="23" t="s">
        <v>801</v>
      </c>
      <c r="AP15" s="23"/>
      <c r="AQ15" s="23" t="s">
        <v>793</v>
      </c>
      <c r="AR15" s="23" t="s">
        <v>794</v>
      </c>
      <c r="AS15" s="23" t="s">
        <v>791</v>
      </c>
    </row>
    <row r="16" spans="1:45" s="24" customFormat="1" ht="19.95" customHeight="1">
      <c r="A16" s="252" t="s">
        <v>564</v>
      </c>
      <c r="B16" s="21" t="s">
        <v>565</v>
      </c>
      <c r="C16" s="23" t="s">
        <v>554</v>
      </c>
      <c r="D16" s="242" t="s">
        <v>8</v>
      </c>
      <c r="E16" s="21" t="s">
        <v>802</v>
      </c>
      <c r="F16" s="21"/>
      <c r="G16" s="245" t="s">
        <v>61</v>
      </c>
      <c r="H16" s="14" t="s">
        <v>59</v>
      </c>
      <c r="I16" s="14">
        <v>400</v>
      </c>
      <c r="J16" s="245"/>
      <c r="K16" s="14" t="s">
        <v>60</v>
      </c>
      <c r="L16" s="245" t="s">
        <v>803</v>
      </c>
      <c r="M16" s="245">
        <v>2.81</v>
      </c>
      <c r="N16" s="245">
        <v>20</v>
      </c>
      <c r="O16" s="245">
        <v>-32.950000000000003</v>
      </c>
      <c r="P16" s="246" t="s">
        <v>564</v>
      </c>
      <c r="Q16" s="246" t="s">
        <v>565</v>
      </c>
      <c r="R16" s="246">
        <v>7.9681649999999999</v>
      </c>
      <c r="S16" s="246">
        <v>79.806162</v>
      </c>
      <c r="T16" s="246">
        <v>3.85</v>
      </c>
      <c r="U16" s="246">
        <v>17920</v>
      </c>
      <c r="V16" s="246">
        <v>0.6</v>
      </c>
      <c r="W16" s="246">
        <v>93</v>
      </c>
      <c r="X16" s="246">
        <v>19</v>
      </c>
      <c r="Y16" s="247" t="s">
        <v>804</v>
      </c>
      <c r="Z16" s="248" t="s">
        <v>805</v>
      </c>
      <c r="AA16" s="248" t="s">
        <v>806</v>
      </c>
      <c r="AB16" s="248">
        <v>7.966666</v>
      </c>
      <c r="AC16" s="248">
        <v>79.831665999999998</v>
      </c>
      <c r="AD16" s="248">
        <v>2.4700000000000002</v>
      </c>
      <c r="AE16" s="248">
        <v>18930</v>
      </c>
      <c r="AF16" s="248">
        <v>1.2</v>
      </c>
      <c r="AG16" s="248">
        <v>273</v>
      </c>
      <c r="AH16" s="248">
        <v>35</v>
      </c>
      <c r="AI16" s="249" t="s">
        <v>807</v>
      </c>
      <c r="AJ16" s="250" t="s">
        <v>808</v>
      </c>
      <c r="AK16" s="250" t="s">
        <v>809</v>
      </c>
      <c r="AL16" s="250" t="s">
        <v>810</v>
      </c>
      <c r="AM16" s="250" t="s">
        <v>811</v>
      </c>
      <c r="AN16" s="250" t="s">
        <v>812</v>
      </c>
      <c r="AO16" s="250" t="s">
        <v>813</v>
      </c>
      <c r="AP16" s="250"/>
      <c r="AQ16" s="250" t="s">
        <v>805</v>
      </c>
      <c r="AR16" s="250" t="s">
        <v>806</v>
      </c>
      <c r="AS16" s="250" t="s">
        <v>803</v>
      </c>
    </row>
    <row r="17" spans="1:45" s="24" customFormat="1" ht="19.95" customHeight="1">
      <c r="A17" s="252" t="s">
        <v>588</v>
      </c>
      <c r="B17" s="21" t="s">
        <v>589</v>
      </c>
      <c r="C17" s="23" t="s">
        <v>554</v>
      </c>
      <c r="D17" s="242" t="s">
        <v>8</v>
      </c>
      <c r="E17" s="21" t="s">
        <v>814</v>
      </c>
      <c r="F17" s="21"/>
      <c r="G17" s="245" t="s">
        <v>61</v>
      </c>
      <c r="H17" s="14" t="s">
        <v>59</v>
      </c>
      <c r="I17" s="14">
        <v>400</v>
      </c>
      <c r="J17" s="14"/>
      <c r="K17" s="14" t="s">
        <v>60</v>
      </c>
      <c r="L17" s="14" t="s">
        <v>815</v>
      </c>
      <c r="M17" s="14">
        <v>0.68</v>
      </c>
      <c r="N17" s="14">
        <v>17</v>
      </c>
      <c r="O17" s="14"/>
      <c r="P17" s="15" t="s">
        <v>588</v>
      </c>
      <c r="Q17" s="15" t="s">
        <v>589</v>
      </c>
      <c r="R17" s="15">
        <v>6.8096129999999997</v>
      </c>
      <c r="S17" s="15">
        <v>79.869150000000005</v>
      </c>
      <c r="T17" s="15">
        <v>6.54</v>
      </c>
      <c r="U17" s="15">
        <v>21840</v>
      </c>
      <c r="V17" s="15">
        <v>0.6</v>
      </c>
      <c r="W17" s="15">
        <v>347</v>
      </c>
      <c r="X17" s="15">
        <v>18</v>
      </c>
      <c r="Y17" s="78" t="s">
        <v>816</v>
      </c>
      <c r="Z17" s="22" t="s">
        <v>817</v>
      </c>
      <c r="AA17" s="22" t="s">
        <v>818</v>
      </c>
      <c r="AB17" s="22">
        <v>6.8155559999999999</v>
      </c>
      <c r="AC17" s="22">
        <v>79.867778000000001</v>
      </c>
      <c r="AD17" s="22">
        <v>6.87</v>
      </c>
      <c r="AE17" s="22">
        <v>23072</v>
      </c>
      <c r="AF17" s="22">
        <v>0.6</v>
      </c>
      <c r="AG17" s="22">
        <v>167</v>
      </c>
      <c r="AH17" s="22">
        <v>25</v>
      </c>
      <c r="AI17" s="83" t="s">
        <v>819</v>
      </c>
      <c r="AJ17" s="23" t="s">
        <v>820</v>
      </c>
      <c r="AK17" s="23" t="s">
        <v>821</v>
      </c>
      <c r="AL17" s="23" t="s">
        <v>822</v>
      </c>
      <c r="AM17" s="23" t="s">
        <v>823</v>
      </c>
      <c r="AN17" s="23" t="s">
        <v>824</v>
      </c>
      <c r="AO17" s="23" t="s">
        <v>495</v>
      </c>
      <c r="AP17" s="23"/>
      <c r="AQ17" s="23" t="s">
        <v>817</v>
      </c>
      <c r="AR17" s="23" t="s">
        <v>818</v>
      </c>
      <c r="AS17" s="23" t="s">
        <v>815</v>
      </c>
    </row>
    <row r="18" spans="1:45" s="24" customFormat="1" ht="19.95" customHeight="1">
      <c r="A18" s="252" t="s">
        <v>650</v>
      </c>
      <c r="B18" s="253" t="s">
        <v>651</v>
      </c>
      <c r="C18" s="254" t="s">
        <v>554</v>
      </c>
      <c r="D18" s="255" t="s">
        <v>8</v>
      </c>
      <c r="E18" s="253" t="s">
        <v>825</v>
      </c>
      <c r="F18" s="253" t="s">
        <v>826</v>
      </c>
      <c r="G18" s="245" t="s">
        <v>87</v>
      </c>
      <c r="H18" s="14" t="s">
        <v>59</v>
      </c>
      <c r="I18" s="14">
        <v>400</v>
      </c>
      <c r="J18" s="14"/>
      <c r="K18" s="14" t="s">
        <v>60</v>
      </c>
      <c r="L18" s="14" t="s">
        <v>827</v>
      </c>
      <c r="M18" s="14">
        <v>1.51</v>
      </c>
      <c r="N18" s="14">
        <v>19.5</v>
      </c>
      <c r="O18" s="14">
        <v>-31.98</v>
      </c>
      <c r="P18" s="15" t="s">
        <v>650</v>
      </c>
      <c r="Q18" s="15" t="s">
        <v>651</v>
      </c>
      <c r="R18" s="15">
        <v>7.1356260000000002</v>
      </c>
      <c r="S18" s="15">
        <v>79.912265000000005</v>
      </c>
      <c r="T18" s="15">
        <v>15.69</v>
      </c>
      <c r="U18" s="15">
        <v>21840</v>
      </c>
      <c r="V18" s="15">
        <v>0.3</v>
      </c>
      <c r="W18" s="15">
        <v>257</v>
      </c>
      <c r="X18" s="15">
        <v>25</v>
      </c>
      <c r="Y18" s="78" t="s">
        <v>828</v>
      </c>
      <c r="Z18" s="22" t="s">
        <v>829</v>
      </c>
      <c r="AA18" s="22" t="s">
        <v>830</v>
      </c>
      <c r="AB18" s="22">
        <v>7.1326799999999997</v>
      </c>
      <c r="AC18" s="22">
        <v>79.898899999999998</v>
      </c>
      <c r="AD18" s="22">
        <v>25.59</v>
      </c>
      <c r="AE18" s="22">
        <v>23072</v>
      </c>
      <c r="AF18" s="22">
        <v>0.6</v>
      </c>
      <c r="AG18" s="22">
        <v>77</v>
      </c>
      <c r="AH18" s="22">
        <v>30</v>
      </c>
      <c r="AI18" s="83" t="s">
        <v>831</v>
      </c>
      <c r="AJ18" s="23" t="s">
        <v>832</v>
      </c>
      <c r="AK18" s="23"/>
      <c r="AL18" s="23" t="s">
        <v>833</v>
      </c>
      <c r="AM18" s="23" t="s">
        <v>834</v>
      </c>
      <c r="AN18" s="23" t="s">
        <v>835</v>
      </c>
      <c r="AO18" s="23" t="s">
        <v>836</v>
      </c>
      <c r="AP18" s="23"/>
      <c r="AQ18" s="23" t="s">
        <v>829</v>
      </c>
      <c r="AR18" s="23" t="s">
        <v>830</v>
      </c>
      <c r="AS18" s="23" t="s">
        <v>827</v>
      </c>
    </row>
    <row r="19" spans="1:45" s="24" customFormat="1" ht="20.399999999999999" customHeight="1">
      <c r="A19" s="252" t="s">
        <v>593</v>
      </c>
      <c r="B19" s="253" t="s">
        <v>594</v>
      </c>
      <c r="C19" s="254" t="s">
        <v>554</v>
      </c>
      <c r="D19" s="255" t="s">
        <v>8</v>
      </c>
      <c r="E19" s="253" t="s">
        <v>837</v>
      </c>
      <c r="F19" s="253" t="s">
        <v>826</v>
      </c>
      <c r="G19" s="245" t="s">
        <v>87</v>
      </c>
      <c r="H19" s="14" t="s">
        <v>59</v>
      </c>
      <c r="I19" s="14">
        <v>400</v>
      </c>
      <c r="J19" s="14"/>
      <c r="K19" s="14" t="s">
        <v>60</v>
      </c>
      <c r="L19" s="14" t="s">
        <v>838</v>
      </c>
      <c r="M19" s="14">
        <v>0.57999999999999996</v>
      </c>
      <c r="N19" s="14">
        <v>17</v>
      </c>
      <c r="O19" s="14">
        <v>-32.840000000000003</v>
      </c>
      <c r="P19" s="15" t="s">
        <v>593</v>
      </c>
      <c r="Q19" s="15" t="s">
        <v>594</v>
      </c>
      <c r="R19" s="15">
        <v>6.990183</v>
      </c>
      <c r="S19" s="15">
        <v>79.878434999999996</v>
      </c>
      <c r="T19" s="15">
        <v>12.09</v>
      </c>
      <c r="U19" s="15">
        <v>21840</v>
      </c>
      <c r="V19" s="15">
        <v>0.3</v>
      </c>
      <c r="W19" s="15">
        <v>153</v>
      </c>
      <c r="X19" s="15">
        <v>25</v>
      </c>
      <c r="Y19" s="78" t="s">
        <v>839</v>
      </c>
      <c r="Z19" s="22" t="s">
        <v>840</v>
      </c>
      <c r="AA19" s="22" t="s">
        <v>841</v>
      </c>
      <c r="AB19" s="22">
        <v>6.9855549999999997</v>
      </c>
      <c r="AC19" s="22">
        <v>79.880832999999996</v>
      </c>
      <c r="AD19" s="22">
        <v>12.37</v>
      </c>
      <c r="AE19" s="22">
        <v>23072</v>
      </c>
      <c r="AF19" s="22">
        <v>0.3</v>
      </c>
      <c r="AG19" s="22">
        <v>333</v>
      </c>
      <c r="AH19" s="22">
        <v>25</v>
      </c>
      <c r="AI19" s="83" t="s">
        <v>842</v>
      </c>
      <c r="AJ19" s="23" t="s">
        <v>843</v>
      </c>
      <c r="AK19" s="23"/>
      <c r="AL19" s="23" t="s">
        <v>844</v>
      </c>
      <c r="AM19" s="23" t="s">
        <v>845</v>
      </c>
      <c r="AN19" s="23" t="s">
        <v>846</v>
      </c>
      <c r="AO19" s="23" t="s">
        <v>847</v>
      </c>
      <c r="AP19" s="23"/>
      <c r="AQ19" s="23" t="s">
        <v>840</v>
      </c>
      <c r="AR19" s="23" t="s">
        <v>841</v>
      </c>
      <c r="AS19" s="23" t="s">
        <v>838</v>
      </c>
    </row>
    <row r="20" spans="1:45" s="24" customFormat="1" ht="19.95" customHeight="1">
      <c r="A20" s="252" t="s">
        <v>580</v>
      </c>
      <c r="B20" s="21" t="s">
        <v>581</v>
      </c>
      <c r="C20" s="23" t="s">
        <v>554</v>
      </c>
      <c r="D20" s="242" t="s">
        <v>8</v>
      </c>
      <c r="E20" s="21" t="s">
        <v>848</v>
      </c>
      <c r="F20" s="21" t="s">
        <v>849</v>
      </c>
      <c r="G20" s="245" t="s">
        <v>61</v>
      </c>
      <c r="H20" s="14" t="s">
        <v>59</v>
      </c>
      <c r="I20" s="14">
        <v>400</v>
      </c>
      <c r="J20" s="14"/>
      <c r="K20" s="14" t="s">
        <v>60</v>
      </c>
      <c r="L20" s="14" t="s">
        <v>850</v>
      </c>
      <c r="M20" s="14">
        <v>1.22</v>
      </c>
      <c r="N20" s="14">
        <v>19.5</v>
      </c>
      <c r="O20" s="14">
        <v>-32.130000000000003</v>
      </c>
      <c r="P20" s="15" t="s">
        <v>580</v>
      </c>
      <c r="Q20" s="15" t="s">
        <v>581</v>
      </c>
      <c r="R20" s="15">
        <v>6.9698919999999998</v>
      </c>
      <c r="S20" s="15">
        <v>79.931933000000001</v>
      </c>
      <c r="T20" s="15">
        <v>6.45</v>
      </c>
      <c r="U20" s="15">
        <v>21840</v>
      </c>
      <c r="V20" s="15">
        <v>0.3</v>
      </c>
      <c r="W20" s="15">
        <v>104</v>
      </c>
      <c r="X20" s="15">
        <v>28</v>
      </c>
      <c r="Y20" s="78" t="s">
        <v>851</v>
      </c>
      <c r="Z20" s="22" t="s">
        <v>852</v>
      </c>
      <c r="AA20" s="22" t="s">
        <v>853</v>
      </c>
      <c r="AB20" s="22">
        <v>6.9672080000000003</v>
      </c>
      <c r="AC20" s="22">
        <v>79.942673999999997</v>
      </c>
      <c r="AD20" s="22">
        <v>25.82</v>
      </c>
      <c r="AE20" s="22">
        <v>23072</v>
      </c>
      <c r="AF20" s="22">
        <v>0.6</v>
      </c>
      <c r="AG20" s="22">
        <v>284</v>
      </c>
      <c r="AH20" s="22">
        <v>30</v>
      </c>
      <c r="AI20" s="83" t="s">
        <v>854</v>
      </c>
      <c r="AJ20" s="256" t="s">
        <v>855</v>
      </c>
      <c r="AK20" s="256" t="s">
        <v>856</v>
      </c>
      <c r="AL20" s="256" t="s">
        <v>857</v>
      </c>
      <c r="AM20" s="256" t="s">
        <v>858</v>
      </c>
      <c r="AN20" s="256" t="s">
        <v>859</v>
      </c>
      <c r="AO20" s="256" t="s">
        <v>85</v>
      </c>
      <c r="AP20" s="23"/>
      <c r="AQ20" s="23" t="s">
        <v>852</v>
      </c>
      <c r="AR20" s="23" t="s">
        <v>853</v>
      </c>
      <c r="AS20" s="23" t="s">
        <v>850</v>
      </c>
    </row>
    <row r="21" spans="1:45" s="24" customFormat="1" ht="19.95" customHeight="1">
      <c r="A21" s="252" t="s">
        <v>584</v>
      </c>
      <c r="B21" s="21" t="s">
        <v>585</v>
      </c>
      <c r="C21" s="23" t="s">
        <v>554</v>
      </c>
      <c r="D21" s="242" t="s">
        <v>8</v>
      </c>
      <c r="E21" s="21" t="s">
        <v>860</v>
      </c>
      <c r="F21" s="21"/>
      <c r="G21" s="245" t="s">
        <v>61</v>
      </c>
      <c r="H21" s="14" t="s">
        <v>59</v>
      </c>
      <c r="I21" s="14">
        <v>400</v>
      </c>
      <c r="J21" s="14"/>
      <c r="K21" s="14" t="s">
        <v>60</v>
      </c>
      <c r="L21" s="14" t="s">
        <v>861</v>
      </c>
      <c r="M21" s="14">
        <v>1.01</v>
      </c>
      <c r="N21" s="14">
        <v>19.5</v>
      </c>
      <c r="O21" s="14">
        <v>-32.49</v>
      </c>
      <c r="P21" s="15" t="s">
        <v>584</v>
      </c>
      <c r="Q21" s="15" t="s">
        <v>585</v>
      </c>
      <c r="R21" s="15">
        <v>6.8551000000000002</v>
      </c>
      <c r="S21" s="15">
        <v>79.902299999999997</v>
      </c>
      <c r="T21" s="15">
        <v>16.239999999999998</v>
      </c>
      <c r="U21" s="15">
        <v>21840</v>
      </c>
      <c r="V21" s="15">
        <v>0.3</v>
      </c>
      <c r="W21" s="15">
        <v>265</v>
      </c>
      <c r="X21" s="15">
        <v>23</v>
      </c>
      <c r="Y21" s="78" t="s">
        <v>862</v>
      </c>
      <c r="Z21" s="22" t="s">
        <v>863</v>
      </c>
      <c r="AA21" s="22" t="s">
        <v>864</v>
      </c>
      <c r="AB21" s="22">
        <v>6.854241</v>
      </c>
      <c r="AC21" s="22">
        <v>79.893212000000005</v>
      </c>
      <c r="AD21" s="22">
        <v>22.14</v>
      </c>
      <c r="AE21" s="22">
        <v>23072</v>
      </c>
      <c r="AF21" s="22">
        <v>0.6</v>
      </c>
      <c r="AG21" s="22">
        <v>85</v>
      </c>
      <c r="AH21" s="22">
        <v>19</v>
      </c>
      <c r="AI21" s="83" t="s">
        <v>865</v>
      </c>
      <c r="AJ21" s="23" t="s">
        <v>866</v>
      </c>
      <c r="AK21" s="23" t="s">
        <v>867</v>
      </c>
      <c r="AL21" s="23" t="s">
        <v>868</v>
      </c>
      <c r="AM21" s="23" t="s">
        <v>869</v>
      </c>
      <c r="AN21" s="23" t="s">
        <v>870</v>
      </c>
      <c r="AO21" s="23" t="s">
        <v>495</v>
      </c>
      <c r="AP21" s="23"/>
      <c r="AQ21" s="23" t="s">
        <v>863</v>
      </c>
      <c r="AR21" s="23" t="s">
        <v>864</v>
      </c>
      <c r="AS21" s="23" t="s">
        <v>861</v>
      </c>
    </row>
    <row r="22" spans="1:45" s="24" customFormat="1" ht="19.95" customHeight="1">
      <c r="A22" s="252" t="s">
        <v>600</v>
      </c>
      <c r="B22" s="253" t="s">
        <v>601</v>
      </c>
      <c r="C22" s="254" t="s">
        <v>554</v>
      </c>
      <c r="D22" s="255" t="s">
        <v>8</v>
      </c>
      <c r="E22" s="253" t="s">
        <v>871</v>
      </c>
      <c r="F22" s="253" t="s">
        <v>826</v>
      </c>
      <c r="G22" s="245" t="s">
        <v>87</v>
      </c>
      <c r="H22" s="14" t="s">
        <v>59</v>
      </c>
      <c r="I22" s="14">
        <v>400</v>
      </c>
      <c r="J22" s="14"/>
      <c r="K22" s="14" t="s">
        <v>60</v>
      </c>
      <c r="L22" s="14" t="s">
        <v>872</v>
      </c>
      <c r="M22" s="14">
        <v>1.1000000000000001</v>
      </c>
      <c r="N22" s="14">
        <v>19.5</v>
      </c>
      <c r="O22" s="14">
        <v>-29.23</v>
      </c>
      <c r="P22" s="15" t="s">
        <v>600</v>
      </c>
      <c r="Q22" s="15" t="s">
        <v>601</v>
      </c>
      <c r="R22" s="15">
        <v>7.1198069999999998</v>
      </c>
      <c r="S22" s="15">
        <v>80.047507999999993</v>
      </c>
      <c r="T22" s="15">
        <v>38.840000000000003</v>
      </c>
      <c r="U22" s="15">
        <v>21840</v>
      </c>
      <c r="V22" s="15">
        <v>0.3</v>
      </c>
      <c r="W22" s="15">
        <v>102</v>
      </c>
      <c r="X22" s="15">
        <v>25</v>
      </c>
      <c r="Y22" s="78" t="s">
        <v>873</v>
      </c>
      <c r="Z22" s="22" t="s">
        <v>874</v>
      </c>
      <c r="AA22" s="22" t="s">
        <v>875</v>
      </c>
      <c r="AB22" s="22">
        <v>7.1177770000000002</v>
      </c>
      <c r="AC22" s="22">
        <v>80.057221999999996</v>
      </c>
      <c r="AD22" s="22">
        <v>35.619999999999997</v>
      </c>
      <c r="AE22" s="22">
        <v>23072</v>
      </c>
      <c r="AF22" s="22">
        <v>0.6</v>
      </c>
      <c r="AG22" s="22">
        <v>282</v>
      </c>
      <c r="AH22" s="22">
        <v>25</v>
      </c>
      <c r="AI22" s="83" t="s">
        <v>876</v>
      </c>
      <c r="AJ22" s="23" t="s">
        <v>877</v>
      </c>
      <c r="AK22" s="23"/>
      <c r="AL22" s="23" t="s">
        <v>878</v>
      </c>
      <c r="AM22" s="23" t="s">
        <v>879</v>
      </c>
      <c r="AN22" s="23" t="s">
        <v>880</v>
      </c>
      <c r="AO22" s="23" t="s">
        <v>686</v>
      </c>
      <c r="AP22" s="23"/>
      <c r="AQ22" s="23" t="s">
        <v>874</v>
      </c>
      <c r="AR22" s="23" t="s">
        <v>875</v>
      </c>
      <c r="AS22" s="23" t="s">
        <v>872</v>
      </c>
    </row>
    <row r="23" spans="1:45" s="24" customFormat="1" ht="19.95" customHeight="1">
      <c r="A23" s="252" t="s">
        <v>569</v>
      </c>
      <c r="B23" s="253" t="s">
        <v>570</v>
      </c>
      <c r="C23" s="254" t="s">
        <v>554</v>
      </c>
      <c r="D23" s="255" t="s">
        <v>8</v>
      </c>
      <c r="E23" s="253" t="s">
        <v>881</v>
      </c>
      <c r="F23" s="253" t="s">
        <v>826</v>
      </c>
      <c r="G23" s="245" t="s">
        <v>87</v>
      </c>
      <c r="H23" s="14" t="s">
        <v>59</v>
      </c>
      <c r="I23" s="14">
        <v>400</v>
      </c>
      <c r="J23" s="14"/>
      <c r="K23" s="14" t="s">
        <v>60</v>
      </c>
      <c r="L23" s="14" t="s">
        <v>882</v>
      </c>
      <c r="M23" s="14">
        <v>1.61</v>
      </c>
      <c r="N23" s="14">
        <v>19.5</v>
      </c>
      <c r="O23" s="14">
        <v>-27.34</v>
      </c>
      <c r="P23" s="15" t="s">
        <v>569</v>
      </c>
      <c r="Q23" s="15" t="s">
        <v>883</v>
      </c>
      <c r="R23" s="15">
        <v>7.1953100000000001</v>
      </c>
      <c r="S23" s="15">
        <v>79.936378000000005</v>
      </c>
      <c r="T23" s="15">
        <v>23.02</v>
      </c>
      <c r="U23" s="15">
        <v>21840</v>
      </c>
      <c r="V23" s="15">
        <v>0.6</v>
      </c>
      <c r="W23" s="15">
        <v>356</v>
      </c>
      <c r="X23" s="15">
        <v>25</v>
      </c>
      <c r="Y23" s="78" t="s">
        <v>884</v>
      </c>
      <c r="Z23" s="22" t="s">
        <v>885</v>
      </c>
      <c r="AA23" s="22" t="s">
        <v>886</v>
      </c>
      <c r="AB23" s="22">
        <v>7.2097220000000002</v>
      </c>
      <c r="AC23" s="22">
        <v>79.935276999999999</v>
      </c>
      <c r="AD23" s="22">
        <v>19.59</v>
      </c>
      <c r="AE23" s="22">
        <v>23072</v>
      </c>
      <c r="AF23" s="22">
        <v>0.6</v>
      </c>
      <c r="AG23" s="22">
        <v>176</v>
      </c>
      <c r="AH23" s="22">
        <v>25</v>
      </c>
      <c r="AI23" s="83" t="s">
        <v>887</v>
      </c>
      <c r="AJ23" s="23" t="s">
        <v>888</v>
      </c>
      <c r="AK23" s="23"/>
      <c r="AL23" s="23" t="s">
        <v>889</v>
      </c>
      <c r="AM23" s="23" t="s">
        <v>890</v>
      </c>
      <c r="AN23" s="23" t="s">
        <v>891</v>
      </c>
      <c r="AO23" s="23" t="s">
        <v>836</v>
      </c>
      <c r="AP23" s="23"/>
      <c r="AQ23" s="23" t="s">
        <v>885</v>
      </c>
      <c r="AR23" s="23" t="s">
        <v>886</v>
      </c>
      <c r="AS23" s="23" t="s">
        <v>882</v>
      </c>
    </row>
    <row r="24" spans="1:45" s="24" customFormat="1" ht="19.95" customHeight="1">
      <c r="A24" s="252" t="s">
        <v>575</v>
      </c>
      <c r="B24" s="21" t="s">
        <v>576</v>
      </c>
      <c r="C24" s="23" t="s">
        <v>554</v>
      </c>
      <c r="D24" s="242" t="s">
        <v>8</v>
      </c>
      <c r="E24" s="21" t="s">
        <v>892</v>
      </c>
      <c r="F24" s="21" t="s">
        <v>893</v>
      </c>
      <c r="G24" s="245" t="s">
        <v>61</v>
      </c>
      <c r="H24" s="14" t="s">
        <v>59</v>
      </c>
      <c r="I24" s="14">
        <v>400</v>
      </c>
      <c r="J24" s="14"/>
      <c r="K24" s="14" t="s">
        <v>60</v>
      </c>
      <c r="L24" s="14" t="s">
        <v>894</v>
      </c>
      <c r="M24" s="14">
        <v>1.67</v>
      </c>
      <c r="N24" s="14">
        <v>19.5</v>
      </c>
      <c r="O24" s="14">
        <v>-27.66</v>
      </c>
      <c r="P24" s="15" t="s">
        <v>575</v>
      </c>
      <c r="Q24" s="15" t="s">
        <v>576</v>
      </c>
      <c r="R24" s="15">
        <v>6.9820549999999999</v>
      </c>
      <c r="S24" s="15">
        <v>79.944918000000001</v>
      </c>
      <c r="T24" s="15">
        <v>20.34</v>
      </c>
      <c r="U24" s="15">
        <v>23114</v>
      </c>
      <c r="V24" s="15">
        <v>0.6</v>
      </c>
      <c r="W24" s="15">
        <v>189</v>
      </c>
      <c r="X24" s="15">
        <v>29</v>
      </c>
      <c r="Y24" s="78" t="s">
        <v>895</v>
      </c>
      <c r="Z24" s="22" t="s">
        <v>852</v>
      </c>
      <c r="AA24" s="22" t="s">
        <v>853</v>
      </c>
      <c r="AB24" s="22">
        <v>6.9672080000000003</v>
      </c>
      <c r="AC24" s="22">
        <v>79.942673999999997</v>
      </c>
      <c r="AD24" s="22">
        <v>25.82</v>
      </c>
      <c r="AE24" s="22">
        <v>21882</v>
      </c>
      <c r="AF24" s="22">
        <v>0.6</v>
      </c>
      <c r="AG24" s="22">
        <v>9</v>
      </c>
      <c r="AH24" s="22">
        <v>35</v>
      </c>
      <c r="AI24" s="83" t="s">
        <v>896</v>
      </c>
      <c r="AJ24" s="257" t="s">
        <v>897</v>
      </c>
      <c r="AK24" s="257" t="s">
        <v>898</v>
      </c>
      <c r="AL24" s="257" t="s">
        <v>899</v>
      </c>
      <c r="AM24" s="257" t="s">
        <v>900</v>
      </c>
      <c r="AN24" s="257" t="s">
        <v>859</v>
      </c>
      <c r="AO24" s="257" t="s">
        <v>85</v>
      </c>
      <c r="AP24" s="258"/>
      <c r="AQ24" s="23" t="s">
        <v>852</v>
      </c>
      <c r="AR24" s="23" t="s">
        <v>853</v>
      </c>
      <c r="AS24" s="23" t="s">
        <v>894</v>
      </c>
    </row>
    <row r="25" spans="1:45" s="24" customFormat="1" ht="19.95" customHeight="1">
      <c r="A25" s="252" t="s">
        <v>634</v>
      </c>
      <c r="B25" s="21" t="s">
        <v>635</v>
      </c>
      <c r="C25" s="23" t="s">
        <v>554</v>
      </c>
      <c r="D25" s="242" t="s">
        <v>10</v>
      </c>
      <c r="E25" s="21" t="s">
        <v>901</v>
      </c>
      <c r="F25" s="21"/>
      <c r="G25" s="14" t="s">
        <v>92</v>
      </c>
      <c r="H25" s="14" t="s">
        <v>59</v>
      </c>
      <c r="I25" s="14">
        <v>200</v>
      </c>
      <c r="J25" s="14"/>
      <c r="K25" s="14" t="s">
        <v>60</v>
      </c>
      <c r="L25" s="14" t="s">
        <v>902</v>
      </c>
      <c r="M25" s="14">
        <v>0.92</v>
      </c>
      <c r="N25" s="14">
        <v>17</v>
      </c>
      <c r="O25" s="14">
        <v>-50</v>
      </c>
      <c r="P25" s="15" t="s">
        <v>634</v>
      </c>
      <c r="Q25" s="15" t="s">
        <v>635</v>
      </c>
      <c r="R25" s="15">
        <v>7.481948</v>
      </c>
      <c r="S25" s="15">
        <v>80.344674999999995</v>
      </c>
      <c r="T25" s="15">
        <v>117.36</v>
      </c>
      <c r="U25" s="15">
        <v>10217</v>
      </c>
      <c r="V25" s="15">
        <v>0.3</v>
      </c>
      <c r="W25" s="15">
        <v>22</v>
      </c>
      <c r="X25" s="15">
        <v>19</v>
      </c>
      <c r="Y25" s="78" t="s">
        <v>903</v>
      </c>
      <c r="Z25" s="22" t="s">
        <v>904</v>
      </c>
      <c r="AA25" s="22" t="s">
        <v>905</v>
      </c>
      <c r="AB25" s="22">
        <v>7.48963</v>
      </c>
      <c r="AC25" s="22">
        <v>80.347700000000003</v>
      </c>
      <c r="AD25" s="22">
        <v>112.28</v>
      </c>
      <c r="AE25" s="22">
        <v>10567</v>
      </c>
      <c r="AF25" s="22">
        <v>0.6</v>
      </c>
      <c r="AG25" s="22">
        <v>202</v>
      </c>
      <c r="AH25" s="22">
        <v>30</v>
      </c>
      <c r="AI25" s="83" t="s">
        <v>906</v>
      </c>
      <c r="AJ25" s="23" t="s">
        <v>907</v>
      </c>
      <c r="AK25" s="23"/>
      <c r="AL25" s="23" t="s">
        <v>908</v>
      </c>
      <c r="AM25" s="23" t="s">
        <v>909</v>
      </c>
      <c r="AN25" s="23" t="s">
        <v>910</v>
      </c>
      <c r="AO25" s="23" t="s">
        <v>911</v>
      </c>
      <c r="AP25" s="23"/>
      <c r="AQ25" s="23" t="s">
        <v>904</v>
      </c>
      <c r="AR25" s="23" t="s">
        <v>905</v>
      </c>
      <c r="AS25" s="23" t="s">
        <v>902</v>
      </c>
    </row>
    <row r="26" spans="1:45" s="24" customFormat="1" ht="19.95" customHeight="1">
      <c r="A26" s="252" t="s">
        <v>614</v>
      </c>
      <c r="B26" s="21" t="s">
        <v>615</v>
      </c>
      <c r="C26" s="23" t="s">
        <v>554</v>
      </c>
      <c r="D26" s="242" t="s">
        <v>10</v>
      </c>
      <c r="E26" s="21" t="s">
        <v>912</v>
      </c>
      <c r="F26" s="21"/>
      <c r="G26" s="14" t="s">
        <v>92</v>
      </c>
      <c r="H26" s="14" t="s">
        <v>59</v>
      </c>
      <c r="I26" s="14">
        <v>200</v>
      </c>
      <c r="J26" s="14"/>
      <c r="K26" s="14" t="s">
        <v>60</v>
      </c>
      <c r="L26" s="14" t="s">
        <v>913</v>
      </c>
      <c r="M26" s="14"/>
      <c r="N26" s="14">
        <v>17</v>
      </c>
      <c r="O26" s="14">
        <v>-50</v>
      </c>
      <c r="P26" s="15" t="s">
        <v>614</v>
      </c>
      <c r="Q26" s="15" t="s">
        <v>615</v>
      </c>
      <c r="R26" s="15">
        <v>6.9402749999999997</v>
      </c>
      <c r="S26" s="15">
        <v>80.009293999999997</v>
      </c>
      <c r="T26" s="15">
        <v>25.65</v>
      </c>
      <c r="U26" s="15">
        <v>10217</v>
      </c>
      <c r="V26" s="15">
        <v>0.3</v>
      </c>
      <c r="W26" s="15">
        <v>213</v>
      </c>
      <c r="X26" s="15">
        <v>25</v>
      </c>
      <c r="Y26" s="78" t="s">
        <v>914</v>
      </c>
      <c r="Z26" s="22" t="s">
        <v>915</v>
      </c>
      <c r="AA26" s="22" t="s">
        <v>916</v>
      </c>
      <c r="AB26" s="22">
        <v>6.9337749999999998</v>
      </c>
      <c r="AC26" s="22">
        <v>80.005054000000001</v>
      </c>
      <c r="AD26" s="22">
        <v>19.47</v>
      </c>
      <c r="AE26" s="22">
        <v>10567</v>
      </c>
      <c r="AF26" s="22">
        <v>0.6</v>
      </c>
      <c r="AG26" s="22">
        <v>33</v>
      </c>
      <c r="AH26" s="22">
        <v>25</v>
      </c>
      <c r="AI26" s="83" t="s">
        <v>917</v>
      </c>
      <c r="AJ26" s="23" t="s">
        <v>918</v>
      </c>
      <c r="AK26" s="23"/>
      <c r="AL26" s="23" t="s">
        <v>919</v>
      </c>
      <c r="AM26" s="23" t="s">
        <v>920</v>
      </c>
      <c r="AN26" s="23" t="s">
        <v>921</v>
      </c>
      <c r="AO26" s="23" t="s">
        <v>922</v>
      </c>
      <c r="AP26" s="23"/>
      <c r="AQ26" s="23" t="s">
        <v>915</v>
      </c>
      <c r="AR26" s="23" t="s">
        <v>916</v>
      </c>
      <c r="AS26" s="23" t="s">
        <v>913</v>
      </c>
    </row>
    <row r="27" spans="1:45" s="24" customFormat="1" ht="19.95" customHeight="1">
      <c r="A27" s="252" t="s">
        <v>641</v>
      </c>
      <c r="B27" s="21" t="s">
        <v>642</v>
      </c>
      <c r="C27" s="23" t="s">
        <v>643</v>
      </c>
      <c r="D27" s="242" t="s">
        <v>10</v>
      </c>
      <c r="E27" s="21" t="s">
        <v>923</v>
      </c>
      <c r="F27" s="21"/>
      <c r="G27" s="14" t="s">
        <v>92</v>
      </c>
      <c r="H27" s="14" t="s">
        <v>59</v>
      </c>
      <c r="I27" s="14">
        <v>200</v>
      </c>
      <c r="J27" s="86" t="s">
        <v>132</v>
      </c>
      <c r="K27" s="14" t="s">
        <v>60</v>
      </c>
      <c r="L27" s="86" t="s">
        <v>924</v>
      </c>
      <c r="M27" s="86">
        <v>1.22</v>
      </c>
      <c r="N27" s="86">
        <v>5</v>
      </c>
      <c r="O27" s="86">
        <v>-54</v>
      </c>
      <c r="P27" s="87" t="s">
        <v>641</v>
      </c>
      <c r="Q27" s="87" t="s">
        <v>642</v>
      </c>
      <c r="R27" s="87">
        <v>6.1414920000000004</v>
      </c>
      <c r="S27" s="87">
        <v>80.443175999999994</v>
      </c>
      <c r="T27" s="87">
        <v>157</v>
      </c>
      <c r="U27" s="87">
        <v>10217</v>
      </c>
      <c r="V27" s="87">
        <v>0.3</v>
      </c>
      <c r="W27" s="87">
        <v>68</v>
      </c>
      <c r="X27" s="87">
        <v>19</v>
      </c>
      <c r="Y27" s="259" t="s">
        <v>925</v>
      </c>
      <c r="Z27" s="260" t="s">
        <v>926</v>
      </c>
      <c r="AA27" s="260" t="s">
        <v>927</v>
      </c>
      <c r="AB27" s="260">
        <v>6.1454760000000004</v>
      </c>
      <c r="AC27" s="260">
        <v>80.453418999999997</v>
      </c>
      <c r="AD27" s="260">
        <v>268.68</v>
      </c>
      <c r="AE27" s="260">
        <v>10567</v>
      </c>
      <c r="AF27" s="260">
        <v>0.6</v>
      </c>
      <c r="AG27" s="260">
        <v>248</v>
      </c>
      <c r="AH27" s="260">
        <v>40</v>
      </c>
      <c r="AI27" s="261" t="s">
        <v>928</v>
      </c>
      <c r="AJ27" s="23" t="s">
        <v>929</v>
      </c>
      <c r="AK27" s="23"/>
      <c r="AL27" s="23" t="s">
        <v>930</v>
      </c>
      <c r="AM27" s="23" t="s">
        <v>931</v>
      </c>
      <c r="AN27" s="23" t="s">
        <v>932</v>
      </c>
      <c r="AO27" s="23" t="s">
        <v>686</v>
      </c>
      <c r="AP27" s="23"/>
      <c r="AQ27" s="23" t="s">
        <v>926</v>
      </c>
      <c r="AR27" s="23" t="s">
        <v>927</v>
      </c>
      <c r="AS27" s="23" t="s">
        <v>924</v>
      </c>
    </row>
    <row r="28" spans="1:45" s="24" customFormat="1" ht="19.95" customHeight="1">
      <c r="A28" s="262" t="s">
        <v>552</v>
      </c>
      <c r="B28" s="85" t="s">
        <v>553</v>
      </c>
      <c r="C28" s="23" t="s">
        <v>554</v>
      </c>
      <c r="D28" s="242" t="s">
        <v>7</v>
      </c>
      <c r="E28" s="23" t="s">
        <v>7</v>
      </c>
      <c r="F28" s="21"/>
      <c r="G28" s="14" t="s">
        <v>7</v>
      </c>
      <c r="H28" s="14"/>
      <c r="I28" s="14"/>
      <c r="J28" s="14"/>
      <c r="K28" s="14"/>
      <c r="L28" s="14"/>
      <c r="M28" s="14"/>
      <c r="N28" s="14"/>
      <c r="O28" s="14"/>
      <c r="P28" s="87" t="s">
        <v>552</v>
      </c>
      <c r="Q28" s="87" t="s">
        <v>553</v>
      </c>
      <c r="R28" s="13">
        <v>6.852786</v>
      </c>
      <c r="S28" s="13">
        <v>79.934460000000001</v>
      </c>
      <c r="T28" s="15"/>
      <c r="U28" s="15"/>
      <c r="V28" s="15"/>
      <c r="W28" s="15"/>
      <c r="X28" s="15"/>
      <c r="Y28" s="78"/>
      <c r="Z28" s="263" t="s">
        <v>933</v>
      </c>
      <c r="AA28" s="263" t="s">
        <v>934</v>
      </c>
      <c r="AB28" s="22"/>
      <c r="AC28" s="22"/>
      <c r="AD28" s="22"/>
      <c r="AE28" s="22"/>
      <c r="AF28" s="22"/>
      <c r="AG28" s="22"/>
      <c r="AH28" s="22"/>
      <c r="AI28" s="83"/>
      <c r="AJ28" s="23"/>
      <c r="AK28" s="23"/>
      <c r="AL28" s="23"/>
      <c r="AM28" s="23"/>
      <c r="AN28" s="144" t="s">
        <v>935</v>
      </c>
      <c r="AO28" s="144" t="s">
        <v>471</v>
      </c>
      <c r="AP28" s="144" t="s">
        <v>936</v>
      </c>
      <c r="AQ28" s="144" t="s">
        <v>933</v>
      </c>
      <c r="AR28" s="144" t="s">
        <v>934</v>
      </c>
      <c r="AS28" s="23" t="s">
        <v>937</v>
      </c>
    </row>
    <row r="29" spans="1:45" s="24" customFormat="1" ht="19.95" customHeight="1">
      <c r="A29" s="262" t="s">
        <v>596</v>
      </c>
      <c r="B29" s="85" t="s">
        <v>597</v>
      </c>
      <c r="C29" s="23" t="s">
        <v>554</v>
      </c>
      <c r="D29" s="242" t="s">
        <v>7</v>
      </c>
      <c r="E29" s="23" t="s">
        <v>7</v>
      </c>
      <c r="F29" s="21"/>
      <c r="G29" s="14" t="s">
        <v>7</v>
      </c>
      <c r="H29" s="14"/>
      <c r="I29" s="14"/>
      <c r="J29" s="14"/>
      <c r="K29" s="14"/>
      <c r="L29" s="14"/>
      <c r="M29" s="14"/>
      <c r="N29" s="14"/>
      <c r="O29" s="14"/>
      <c r="P29" s="87" t="s">
        <v>596</v>
      </c>
      <c r="Q29" s="87" t="s">
        <v>597</v>
      </c>
      <c r="R29" s="13">
        <v>6.9480599999999999</v>
      </c>
      <c r="S29" s="13">
        <v>79.893600000000006</v>
      </c>
      <c r="T29" s="15"/>
      <c r="U29" s="15"/>
      <c r="V29" s="15"/>
      <c r="W29" s="15"/>
      <c r="X29" s="15"/>
      <c r="Y29" s="78"/>
      <c r="Z29" s="263" t="s">
        <v>938</v>
      </c>
      <c r="AA29" s="263" t="s">
        <v>939</v>
      </c>
      <c r="AB29" s="22"/>
      <c r="AC29" s="22"/>
      <c r="AD29" s="22"/>
      <c r="AE29" s="22"/>
      <c r="AF29" s="22"/>
      <c r="AG29" s="22"/>
      <c r="AH29" s="22"/>
      <c r="AI29" s="83"/>
      <c r="AJ29" s="23"/>
      <c r="AK29" s="23"/>
      <c r="AL29" s="23"/>
      <c r="AM29" s="23"/>
      <c r="AN29" s="144" t="s">
        <v>940</v>
      </c>
      <c r="AO29" s="264" t="s">
        <v>941</v>
      </c>
      <c r="AP29" s="144" t="s">
        <v>942</v>
      </c>
      <c r="AQ29" s="144" t="s">
        <v>938</v>
      </c>
      <c r="AR29" s="144" t="s">
        <v>939</v>
      </c>
      <c r="AS29" s="23" t="s">
        <v>943</v>
      </c>
    </row>
    <row r="30" spans="1:45" s="24" customFormat="1" ht="19.95" customHeight="1">
      <c r="A30" s="262" t="s">
        <v>653</v>
      </c>
      <c r="B30" s="85" t="s">
        <v>654</v>
      </c>
      <c r="C30" s="23" t="s">
        <v>554</v>
      </c>
      <c r="D30" s="242" t="s">
        <v>7</v>
      </c>
      <c r="E30" s="23" t="s">
        <v>7</v>
      </c>
      <c r="F30" s="21"/>
      <c r="G30" s="14" t="s">
        <v>7</v>
      </c>
      <c r="H30" s="14"/>
      <c r="I30" s="14"/>
      <c r="J30" s="14"/>
      <c r="K30" s="14"/>
      <c r="L30" s="14"/>
      <c r="M30" s="14"/>
      <c r="N30" s="14"/>
      <c r="O30" s="14"/>
      <c r="P30" s="87" t="s">
        <v>653</v>
      </c>
      <c r="Q30" s="87" t="s">
        <v>654</v>
      </c>
      <c r="R30" s="13">
        <v>7.491047</v>
      </c>
      <c r="S30" s="13">
        <v>79.826479000000006</v>
      </c>
      <c r="T30" s="15"/>
      <c r="U30" s="15"/>
      <c r="V30" s="15"/>
      <c r="W30" s="15"/>
      <c r="X30" s="15"/>
      <c r="Y30" s="78"/>
      <c r="Z30" s="22" t="s">
        <v>944</v>
      </c>
      <c r="AA30" s="22" t="s">
        <v>945</v>
      </c>
      <c r="AB30" s="22"/>
      <c r="AC30" s="22"/>
      <c r="AD30" s="22"/>
      <c r="AE30" s="22"/>
      <c r="AF30" s="22"/>
      <c r="AG30" s="22"/>
      <c r="AH30" s="22"/>
      <c r="AI30" s="83"/>
      <c r="AJ30" s="23"/>
      <c r="AK30" s="23"/>
      <c r="AL30" s="23"/>
      <c r="AM30" s="23"/>
      <c r="AN30" s="265" t="s">
        <v>946</v>
      </c>
      <c r="AO30" s="265" t="s">
        <v>174</v>
      </c>
      <c r="AP30" s="265" t="s">
        <v>947</v>
      </c>
      <c r="AQ30" s="23" t="s">
        <v>944</v>
      </c>
      <c r="AR30" s="23" t="s">
        <v>945</v>
      </c>
      <c r="AS30" s="23" t="s">
        <v>948</v>
      </c>
    </row>
    <row r="31" spans="1:45" s="24" customFormat="1" ht="19.95" customHeight="1">
      <c r="A31" s="252" t="s">
        <v>610</v>
      </c>
      <c r="B31" s="21" t="s">
        <v>611</v>
      </c>
      <c r="C31" s="23" t="s">
        <v>554</v>
      </c>
      <c r="D31" s="242" t="s">
        <v>7</v>
      </c>
      <c r="E31" s="23" t="s">
        <v>7</v>
      </c>
      <c r="F31" s="21"/>
      <c r="G31" s="14" t="s">
        <v>7</v>
      </c>
      <c r="H31" s="14"/>
      <c r="I31" s="14"/>
      <c r="J31" s="14"/>
      <c r="K31" s="14"/>
      <c r="L31" s="14"/>
      <c r="M31" s="14"/>
      <c r="N31" s="14"/>
      <c r="O31" s="14"/>
      <c r="P31" s="266" t="s">
        <v>610</v>
      </c>
      <c r="Q31" s="266" t="s">
        <v>611</v>
      </c>
      <c r="R31" s="13">
        <v>6.9173900000000001</v>
      </c>
      <c r="S31" s="13">
        <v>79.978099999999998</v>
      </c>
      <c r="T31" s="15"/>
      <c r="U31" s="15"/>
      <c r="V31" s="15"/>
      <c r="W31" s="15"/>
      <c r="X31" s="15"/>
      <c r="Y31" s="78"/>
      <c r="Z31" s="22"/>
      <c r="AA31" s="22"/>
      <c r="AB31" s="22"/>
      <c r="AC31" s="22"/>
      <c r="AD31" s="22"/>
      <c r="AE31" s="22"/>
      <c r="AF31" s="22"/>
      <c r="AG31" s="22"/>
      <c r="AH31" s="22"/>
      <c r="AI31" s="83"/>
      <c r="AJ31" s="23"/>
      <c r="AK31" s="23"/>
      <c r="AL31" s="23"/>
      <c r="AM31" s="23"/>
      <c r="AN31" s="23" t="s">
        <v>949</v>
      </c>
      <c r="AO31" s="23" t="s">
        <v>471</v>
      </c>
      <c r="AP31" s="23" t="s">
        <v>950</v>
      </c>
      <c r="AQ31" s="23" t="s">
        <v>951</v>
      </c>
      <c r="AR31" s="23" t="s">
        <v>952</v>
      </c>
      <c r="AS31" s="23" t="s">
        <v>953</v>
      </c>
    </row>
    <row r="32" spans="1:45" s="24" customFormat="1" ht="19.95" customHeight="1">
      <c r="A32" s="262" t="s">
        <v>620</v>
      </c>
      <c r="B32" s="85" t="s">
        <v>621</v>
      </c>
      <c r="C32" s="23" t="s">
        <v>554</v>
      </c>
      <c r="D32" s="242" t="s">
        <v>8</v>
      </c>
      <c r="E32" s="23" t="s">
        <v>954</v>
      </c>
      <c r="F32" s="21" t="s">
        <v>955</v>
      </c>
      <c r="G32" s="245" t="s">
        <v>61</v>
      </c>
      <c r="H32" s="14"/>
      <c r="I32" s="14"/>
      <c r="J32" s="14"/>
      <c r="K32" s="14"/>
      <c r="L32" s="14"/>
      <c r="M32" s="14"/>
      <c r="N32" s="14"/>
      <c r="O32" s="14"/>
      <c r="P32" s="87" t="s">
        <v>620</v>
      </c>
      <c r="Q32" s="87" t="s">
        <v>621</v>
      </c>
      <c r="R32" s="13">
        <v>6.9265759999999998</v>
      </c>
      <c r="S32" s="13">
        <v>79.999728000000005</v>
      </c>
      <c r="T32" s="15"/>
      <c r="U32" s="15"/>
      <c r="V32" s="15"/>
      <c r="W32" s="15"/>
      <c r="X32" s="15"/>
      <c r="Y32" s="78"/>
      <c r="Z32" s="22"/>
      <c r="AA32" s="22"/>
      <c r="AB32" s="22"/>
      <c r="AC32" s="22"/>
      <c r="AD32" s="22"/>
      <c r="AE32" s="22"/>
      <c r="AF32" s="22"/>
      <c r="AG32" s="22"/>
      <c r="AH32" s="22"/>
      <c r="AI32" s="83"/>
      <c r="AJ32" s="23"/>
      <c r="AK32" s="23"/>
      <c r="AL32" s="23"/>
      <c r="AM32" s="23"/>
      <c r="AN32" s="23"/>
      <c r="AO32" s="23"/>
      <c r="AP32" s="23"/>
      <c r="AQ32" s="23"/>
      <c r="AR32" s="23"/>
      <c r="AS32" s="23"/>
    </row>
    <row r="33" spans="1:45" s="24" customFormat="1" ht="19.95" customHeight="1">
      <c r="A33" s="252" t="s">
        <v>662</v>
      </c>
      <c r="B33" s="21" t="s">
        <v>663</v>
      </c>
      <c r="C33" s="23" t="s">
        <v>554</v>
      </c>
      <c r="D33" s="242" t="s">
        <v>8</v>
      </c>
      <c r="E33" s="23" t="s">
        <v>956</v>
      </c>
      <c r="F33" s="21"/>
      <c r="G33" s="14" t="s">
        <v>61</v>
      </c>
      <c r="H33" s="14" t="s">
        <v>59</v>
      </c>
      <c r="I33" s="14">
        <v>400</v>
      </c>
      <c r="J33" s="14"/>
      <c r="K33" s="14" t="s">
        <v>60</v>
      </c>
      <c r="L33" s="14" t="s">
        <v>957</v>
      </c>
      <c r="M33" s="14">
        <v>1.22</v>
      </c>
      <c r="N33" s="14">
        <v>19.5</v>
      </c>
      <c r="O33" s="14">
        <v>-30.13</v>
      </c>
      <c r="P33" s="266" t="s">
        <v>662</v>
      </c>
      <c r="Q33" s="266" t="s">
        <v>663</v>
      </c>
      <c r="R33" s="13">
        <v>7.0565825999999996</v>
      </c>
      <c r="S33" s="13">
        <v>79.891580000000005</v>
      </c>
      <c r="T33" s="15">
        <v>0</v>
      </c>
      <c r="U33" s="15">
        <v>21840</v>
      </c>
      <c r="V33" s="15">
        <v>0.3</v>
      </c>
      <c r="W33" s="15">
        <v>284</v>
      </c>
      <c r="X33" s="15">
        <v>27</v>
      </c>
      <c r="Y33" s="78" t="s">
        <v>958</v>
      </c>
      <c r="Z33" s="22" t="s">
        <v>959</v>
      </c>
      <c r="AA33" s="22" t="s">
        <v>960</v>
      </c>
      <c r="AB33" s="22">
        <v>7.0591660000000003</v>
      </c>
      <c r="AC33" s="22">
        <v>79.880832999999996</v>
      </c>
      <c r="AD33" s="22">
        <v>0</v>
      </c>
      <c r="AE33" s="22">
        <v>23072</v>
      </c>
      <c r="AF33" s="22">
        <v>0.6</v>
      </c>
      <c r="AG33" s="22">
        <v>104</v>
      </c>
      <c r="AH33" s="22">
        <v>30</v>
      </c>
      <c r="AI33" s="83" t="s">
        <v>961</v>
      </c>
      <c r="AJ33" s="23" t="s">
        <v>962</v>
      </c>
      <c r="AK33" s="23" t="s">
        <v>963</v>
      </c>
      <c r="AL33" s="23" t="s">
        <v>964</v>
      </c>
      <c r="AM33" s="23" t="s">
        <v>965</v>
      </c>
      <c r="AN33" s="23" t="s">
        <v>966</v>
      </c>
      <c r="AO33" s="23" t="s">
        <v>85</v>
      </c>
      <c r="AP33" s="23"/>
      <c r="AQ33" s="36" t="s">
        <v>959</v>
      </c>
      <c r="AR33" s="36" t="s">
        <v>960</v>
      </c>
      <c r="AS33" s="36" t="s">
        <v>957</v>
      </c>
    </row>
    <row r="34" spans="1:45" s="24" customFormat="1" ht="19.95" customHeight="1">
      <c r="A34" s="252" t="s">
        <v>638</v>
      </c>
      <c r="B34" s="21" t="s">
        <v>639</v>
      </c>
      <c r="C34" s="23" t="s">
        <v>554</v>
      </c>
      <c r="D34" s="242" t="s">
        <v>8</v>
      </c>
      <c r="E34" s="23" t="s">
        <v>967</v>
      </c>
      <c r="F34" s="21"/>
      <c r="G34" s="245" t="s">
        <v>61</v>
      </c>
      <c r="H34" s="14" t="s">
        <v>59</v>
      </c>
      <c r="I34" s="14">
        <v>400</v>
      </c>
      <c r="J34" s="14"/>
      <c r="K34" s="14" t="s">
        <v>60</v>
      </c>
      <c r="L34" s="14" t="s">
        <v>968</v>
      </c>
      <c r="M34" s="14">
        <v>1.35</v>
      </c>
      <c r="N34" s="14">
        <v>19.5</v>
      </c>
      <c r="O34" s="14">
        <v>-31.01</v>
      </c>
      <c r="P34" s="266" t="s">
        <v>638</v>
      </c>
      <c r="Q34" s="266" t="s">
        <v>639</v>
      </c>
      <c r="R34" s="13">
        <v>7.2252219999999996</v>
      </c>
      <c r="S34" s="13">
        <v>79.900797999999995</v>
      </c>
      <c r="T34" s="15">
        <v>0</v>
      </c>
      <c r="U34" s="15">
        <v>21840</v>
      </c>
      <c r="V34" s="15">
        <v>0.3</v>
      </c>
      <c r="W34" s="15">
        <v>283</v>
      </c>
      <c r="X34" s="15">
        <v>27</v>
      </c>
      <c r="Y34" s="78" t="s">
        <v>969</v>
      </c>
      <c r="Z34" s="22" t="s">
        <v>970</v>
      </c>
      <c r="AA34" s="22" t="s">
        <v>971</v>
      </c>
      <c r="AB34" s="22">
        <v>7.2280550000000003</v>
      </c>
      <c r="AC34" s="22">
        <v>79.888887999999994</v>
      </c>
      <c r="AD34" s="22">
        <v>0</v>
      </c>
      <c r="AE34" s="22">
        <v>23072</v>
      </c>
      <c r="AF34" s="260">
        <v>0.6</v>
      </c>
      <c r="AG34" s="22">
        <v>103</v>
      </c>
      <c r="AH34" s="22">
        <v>27</v>
      </c>
      <c r="AI34" s="83" t="s">
        <v>972</v>
      </c>
      <c r="AJ34" s="23" t="s">
        <v>973</v>
      </c>
      <c r="AK34" s="23" t="s">
        <v>974</v>
      </c>
      <c r="AL34" s="23" t="s">
        <v>975</v>
      </c>
      <c r="AM34" s="23" t="s">
        <v>976</v>
      </c>
      <c r="AN34" s="23" t="s">
        <v>977</v>
      </c>
      <c r="AO34" s="23" t="s">
        <v>911</v>
      </c>
      <c r="AP34" s="23"/>
      <c r="AQ34" s="23" t="s">
        <v>970</v>
      </c>
      <c r="AR34" s="23" t="s">
        <v>971</v>
      </c>
      <c r="AS34" s="23" t="s">
        <v>968</v>
      </c>
    </row>
    <row r="35" spans="1:45" s="24" customFormat="1" ht="19.95" customHeight="1">
      <c r="A35" s="149" t="s">
        <v>630</v>
      </c>
      <c r="B35" s="85" t="s">
        <v>631</v>
      </c>
      <c r="C35" s="23" t="s">
        <v>554</v>
      </c>
      <c r="D35" s="242" t="s">
        <v>8</v>
      </c>
      <c r="E35" s="23" t="s">
        <v>954</v>
      </c>
      <c r="F35" s="21" t="s">
        <v>955</v>
      </c>
      <c r="G35" s="245" t="s">
        <v>61</v>
      </c>
      <c r="H35" s="14"/>
      <c r="I35" s="14"/>
      <c r="J35" s="14"/>
      <c r="K35" s="14"/>
      <c r="L35" s="14"/>
      <c r="M35" s="14"/>
      <c r="N35" s="14"/>
      <c r="O35" s="14"/>
      <c r="P35" s="87" t="s">
        <v>630</v>
      </c>
      <c r="Q35" s="87" t="s">
        <v>631</v>
      </c>
      <c r="R35" s="13">
        <v>6.9009299999999998</v>
      </c>
      <c r="S35" s="13">
        <v>79.962833000000003</v>
      </c>
      <c r="T35" s="15"/>
      <c r="U35" s="15"/>
      <c r="V35" s="15"/>
      <c r="W35" s="15"/>
      <c r="X35" s="15"/>
      <c r="Y35" s="78"/>
      <c r="Z35" s="22"/>
      <c r="AA35" s="22"/>
      <c r="AB35" s="22"/>
      <c r="AC35" s="22"/>
      <c r="AD35" s="22"/>
      <c r="AE35" s="22"/>
      <c r="AF35" s="22"/>
      <c r="AG35" s="22"/>
      <c r="AH35" s="22"/>
      <c r="AI35" s="83"/>
      <c r="AJ35" s="23"/>
      <c r="AK35" s="23"/>
      <c r="AL35" s="23"/>
      <c r="AM35" s="23"/>
      <c r="AN35" s="23"/>
      <c r="AO35" s="23"/>
      <c r="AP35" s="23"/>
      <c r="AQ35" s="23"/>
      <c r="AR35" s="23"/>
      <c r="AS35" s="23"/>
    </row>
    <row r="36" spans="1:45" s="24" customFormat="1" ht="19.95" customHeight="1">
      <c r="A36" s="149" t="s">
        <v>664</v>
      </c>
      <c r="B36" s="85" t="s">
        <v>665</v>
      </c>
      <c r="C36" s="37" t="s">
        <v>643</v>
      </c>
      <c r="D36" s="242" t="s">
        <v>7</v>
      </c>
      <c r="E36" s="23" t="s">
        <v>7</v>
      </c>
      <c r="F36" s="21"/>
      <c r="G36" s="14" t="s">
        <v>7</v>
      </c>
      <c r="H36" s="14"/>
      <c r="I36" s="14"/>
      <c r="J36" s="14"/>
      <c r="K36" s="14"/>
      <c r="L36" s="14"/>
      <c r="M36" s="14"/>
      <c r="N36" s="14"/>
      <c r="O36" s="14"/>
      <c r="P36" s="87"/>
      <c r="Q36" s="87"/>
      <c r="R36" s="13"/>
      <c r="S36" s="13"/>
      <c r="T36" s="15"/>
      <c r="U36" s="15"/>
      <c r="V36" s="15"/>
      <c r="W36" s="15"/>
      <c r="X36" s="15"/>
      <c r="Y36" s="78"/>
      <c r="Z36" s="22"/>
      <c r="AA36" s="22"/>
      <c r="AB36" s="22"/>
      <c r="AC36" s="22"/>
      <c r="AD36" s="22"/>
      <c r="AE36" s="22"/>
      <c r="AF36" s="22"/>
      <c r="AG36" s="22"/>
      <c r="AH36" s="22"/>
      <c r="AI36" s="83"/>
      <c r="AJ36" s="23"/>
      <c r="AK36" s="23"/>
      <c r="AL36" s="23"/>
      <c r="AM36" s="23"/>
      <c r="AN36" s="23"/>
      <c r="AO36" s="23"/>
      <c r="AP36" s="23"/>
      <c r="AQ36" s="23"/>
      <c r="AR36" s="23"/>
      <c r="AS36" s="23"/>
    </row>
    <row r="37" spans="1:45" ht="19.95" customHeight="1">
      <c r="A37" s="151" t="s">
        <v>159</v>
      </c>
      <c r="B37" s="21" t="s">
        <v>160</v>
      </c>
      <c r="C37" s="21" t="s">
        <v>181</v>
      </c>
      <c r="D37" s="40" t="s">
        <v>8</v>
      </c>
      <c r="E37" s="23" t="s">
        <v>191</v>
      </c>
      <c r="F37" s="21" t="s">
        <v>168</v>
      </c>
      <c r="G37" s="14" t="s">
        <v>61</v>
      </c>
      <c r="H37" s="14" t="s">
        <v>59</v>
      </c>
      <c r="I37" s="14">
        <v>400</v>
      </c>
      <c r="J37" s="14"/>
      <c r="K37" s="14" t="s">
        <v>60</v>
      </c>
      <c r="L37" s="14" t="s">
        <v>242</v>
      </c>
      <c r="M37" s="14">
        <v>3.58</v>
      </c>
      <c r="N37" s="14">
        <v>20</v>
      </c>
      <c r="O37" s="14">
        <v>-29.05</v>
      </c>
      <c r="P37" s="87" t="s">
        <v>159</v>
      </c>
      <c r="Q37" s="87" t="s">
        <v>160</v>
      </c>
      <c r="R37" s="13">
        <v>9.4768559999999997</v>
      </c>
      <c r="S37" s="13">
        <v>80.190871999999999</v>
      </c>
      <c r="T37" s="15">
        <v>0</v>
      </c>
      <c r="U37" s="15">
        <v>17920</v>
      </c>
      <c r="V37" s="15">
        <v>0.6</v>
      </c>
      <c r="W37" s="15">
        <v>46</v>
      </c>
      <c r="X37" s="15">
        <v>27</v>
      </c>
      <c r="Y37" s="78" t="s">
        <v>243</v>
      </c>
      <c r="Z37" s="22" t="s">
        <v>244</v>
      </c>
      <c r="AA37" s="22" t="s">
        <v>245</v>
      </c>
      <c r="AB37" s="22">
        <v>9.4992400000000004</v>
      </c>
      <c r="AC37" s="22">
        <v>80.214393000000001</v>
      </c>
      <c r="AD37" s="22">
        <v>0</v>
      </c>
      <c r="AE37" s="22">
        <v>18930</v>
      </c>
      <c r="AF37" s="22">
        <v>1.2</v>
      </c>
      <c r="AG37" s="22">
        <v>226</v>
      </c>
      <c r="AH37" s="22">
        <v>30</v>
      </c>
      <c r="AI37" s="83" t="s">
        <v>246</v>
      </c>
      <c r="AJ37" s="23" t="s">
        <v>250</v>
      </c>
      <c r="AK37" s="23" t="s">
        <v>248</v>
      </c>
      <c r="AL37" s="23" t="s">
        <v>249</v>
      </c>
      <c r="AM37" s="23" t="s">
        <v>247</v>
      </c>
      <c r="AN37" s="23" t="s">
        <v>251</v>
      </c>
      <c r="AO37" s="23" t="s">
        <v>252</v>
      </c>
      <c r="AP37" s="23"/>
      <c r="AQ37" s="36" t="str">
        <f>Z37</f>
        <v>KI0023</v>
      </c>
      <c r="AR37" s="36" t="str">
        <f>AA37</f>
        <v>Pooneryne_DTL</v>
      </c>
      <c r="AS37" s="36" t="str">
        <f>L37</f>
        <v>18G3920</v>
      </c>
    </row>
    <row r="38" spans="1:45" ht="19.95" customHeight="1">
      <c r="A38" s="151" t="s">
        <v>161</v>
      </c>
      <c r="B38" s="21" t="s">
        <v>162</v>
      </c>
      <c r="C38" s="21" t="s">
        <v>181</v>
      </c>
      <c r="D38" s="40" t="s">
        <v>8</v>
      </c>
      <c r="E38" s="23" t="s">
        <v>192</v>
      </c>
      <c r="F38" s="21" t="s">
        <v>168</v>
      </c>
      <c r="G38" s="14" t="s">
        <v>61</v>
      </c>
      <c r="H38" s="14" t="s">
        <v>59</v>
      </c>
      <c r="I38" s="14">
        <v>400</v>
      </c>
      <c r="J38" s="14"/>
      <c r="K38" s="14" t="s">
        <v>60</v>
      </c>
      <c r="L38" s="14" t="s">
        <v>253</v>
      </c>
      <c r="M38" s="14">
        <v>3.17</v>
      </c>
      <c r="N38" s="14">
        <v>20</v>
      </c>
      <c r="O38" s="14">
        <v>-27.99</v>
      </c>
      <c r="P38" s="87" t="s">
        <v>161</v>
      </c>
      <c r="Q38" s="87" t="s">
        <v>162</v>
      </c>
      <c r="R38" s="13">
        <v>9.4910460000000008</v>
      </c>
      <c r="S38" s="13">
        <v>80.186674999999994</v>
      </c>
      <c r="T38" s="15">
        <v>0</v>
      </c>
      <c r="U38" s="15">
        <v>17920</v>
      </c>
      <c r="V38" s="15">
        <v>0.6</v>
      </c>
      <c r="W38" s="15">
        <v>73</v>
      </c>
      <c r="X38" s="15">
        <v>27</v>
      </c>
      <c r="Y38" s="78" t="s">
        <v>254</v>
      </c>
      <c r="Z38" s="22" t="s">
        <v>244</v>
      </c>
      <c r="AA38" s="22" t="s">
        <v>245</v>
      </c>
      <c r="AB38" s="22">
        <v>9.4992400000000004</v>
      </c>
      <c r="AC38" s="22">
        <v>80.214393000000001</v>
      </c>
      <c r="AD38" s="22">
        <v>0</v>
      </c>
      <c r="AE38" s="22">
        <v>18930</v>
      </c>
      <c r="AF38" s="22">
        <v>1.2</v>
      </c>
      <c r="AG38" s="22">
        <v>253</v>
      </c>
      <c r="AH38" s="22">
        <v>35</v>
      </c>
      <c r="AI38" s="83" t="s">
        <v>255</v>
      </c>
      <c r="AJ38" s="23" t="s">
        <v>259</v>
      </c>
      <c r="AK38" s="23" t="s">
        <v>257</v>
      </c>
      <c r="AL38" s="23" t="s">
        <v>258</v>
      </c>
      <c r="AM38" s="23" t="s">
        <v>256</v>
      </c>
      <c r="AN38" s="23" t="s">
        <v>251</v>
      </c>
      <c r="AO38" s="23" t="s">
        <v>262</v>
      </c>
      <c r="AP38" s="23"/>
      <c r="AQ38" s="36" t="str">
        <f t="shared" ref="AQ38:AR68" si="1">Z38</f>
        <v>KI0023</v>
      </c>
      <c r="AR38" s="36" t="str">
        <f t="shared" si="1"/>
        <v>Pooneryne_DTL</v>
      </c>
      <c r="AS38" s="36" t="str">
        <f t="shared" ref="AS38:AS68" si="2">L38</f>
        <v>18G3921</v>
      </c>
    </row>
    <row r="39" spans="1:45" ht="19.95" customHeight="1">
      <c r="A39" s="151" t="s">
        <v>163</v>
      </c>
      <c r="B39" s="85" t="s">
        <v>164</v>
      </c>
      <c r="C39" s="21" t="s">
        <v>181</v>
      </c>
      <c r="D39" s="40" t="s">
        <v>8</v>
      </c>
      <c r="E39" s="23" t="s">
        <v>193</v>
      </c>
      <c r="F39" s="21"/>
      <c r="G39" s="14" t="s">
        <v>61</v>
      </c>
      <c r="H39" s="14" t="s">
        <v>59</v>
      </c>
      <c r="I39" s="14">
        <v>400</v>
      </c>
      <c r="J39" s="14"/>
      <c r="K39" s="14" t="s">
        <v>60</v>
      </c>
      <c r="L39" s="14" t="s">
        <v>229</v>
      </c>
      <c r="M39" s="14">
        <v>3.16</v>
      </c>
      <c r="N39" s="14">
        <v>20</v>
      </c>
      <c r="O39" s="14">
        <v>-32.97</v>
      </c>
      <c r="P39" s="87" t="s">
        <v>163</v>
      </c>
      <c r="Q39" s="87" t="s">
        <v>164</v>
      </c>
      <c r="R39" s="13">
        <v>8.7992709999999992</v>
      </c>
      <c r="S39" s="13">
        <v>79.982692</v>
      </c>
      <c r="T39" s="15">
        <v>7.44</v>
      </c>
      <c r="U39" s="15">
        <v>17920</v>
      </c>
      <c r="V39" s="15">
        <v>0.6</v>
      </c>
      <c r="W39" s="15">
        <v>111</v>
      </c>
      <c r="X39" s="15">
        <v>25</v>
      </c>
      <c r="Y39" s="78" t="s">
        <v>230</v>
      </c>
      <c r="Z39" s="22" t="s">
        <v>231</v>
      </c>
      <c r="AA39" s="22" t="s">
        <v>232</v>
      </c>
      <c r="AB39" s="22">
        <v>8.7889119999999998</v>
      </c>
      <c r="AC39" s="22">
        <v>80.009517000000002</v>
      </c>
      <c r="AD39" s="22">
        <v>11.3</v>
      </c>
      <c r="AE39" s="22">
        <v>18930</v>
      </c>
      <c r="AF39" s="22">
        <v>0.6</v>
      </c>
      <c r="AG39" s="22">
        <v>291</v>
      </c>
      <c r="AH39" s="22">
        <v>25</v>
      </c>
      <c r="AI39" s="83" t="s">
        <v>233</v>
      </c>
      <c r="AJ39" s="23" t="s">
        <v>237</v>
      </c>
      <c r="AK39" s="23" t="s">
        <v>236</v>
      </c>
      <c r="AL39" s="23" t="s">
        <v>235</v>
      </c>
      <c r="AM39" s="23" t="s">
        <v>234</v>
      </c>
      <c r="AN39" s="23" t="s">
        <v>472</v>
      </c>
      <c r="AO39" s="23" t="s">
        <v>471</v>
      </c>
      <c r="AP39" s="23"/>
      <c r="AQ39" s="36" t="str">
        <f t="shared" si="1"/>
        <v>MA0035</v>
      </c>
      <c r="AR39" s="36" t="str">
        <f t="shared" si="1"/>
        <v>Veppankulam</v>
      </c>
      <c r="AS39" s="36" t="str">
        <f t="shared" si="2"/>
        <v>18G3917</v>
      </c>
    </row>
    <row r="40" spans="1:45" ht="19.95" customHeight="1">
      <c r="A40" s="151" t="s">
        <v>178</v>
      </c>
      <c r="B40" s="21" t="s">
        <v>186</v>
      </c>
      <c r="C40" s="21" t="s">
        <v>183</v>
      </c>
      <c r="D40" s="40" t="s">
        <v>8</v>
      </c>
      <c r="E40" s="23" t="s">
        <v>194</v>
      </c>
      <c r="F40" s="21"/>
      <c r="G40" s="14" t="s">
        <v>61</v>
      </c>
      <c r="H40" s="14" t="s">
        <v>59</v>
      </c>
      <c r="I40" s="14">
        <v>400</v>
      </c>
      <c r="J40" s="14"/>
      <c r="K40" s="14" t="s">
        <v>60</v>
      </c>
      <c r="L40" s="14" t="s">
        <v>266</v>
      </c>
      <c r="M40" s="14">
        <v>2.5299999999999998</v>
      </c>
      <c r="N40" s="14">
        <v>20</v>
      </c>
      <c r="O40" s="14">
        <v>-31.83</v>
      </c>
      <c r="P40" s="87" t="s">
        <v>178</v>
      </c>
      <c r="Q40" s="87" t="s">
        <v>186</v>
      </c>
      <c r="R40" s="13">
        <v>9.2157149999999994</v>
      </c>
      <c r="S40" s="13">
        <v>80.635919999999999</v>
      </c>
      <c r="T40" s="15">
        <v>0</v>
      </c>
      <c r="U40" s="15">
        <v>17920</v>
      </c>
      <c r="V40" s="15">
        <v>0.6</v>
      </c>
      <c r="W40" s="15">
        <v>120</v>
      </c>
      <c r="X40" s="15">
        <v>27</v>
      </c>
      <c r="Y40" s="78" t="s">
        <v>267</v>
      </c>
      <c r="Z40" s="22" t="s">
        <v>268</v>
      </c>
      <c r="AA40" s="22" t="s">
        <v>269</v>
      </c>
      <c r="AB40" s="22">
        <v>9.2043300000000006</v>
      </c>
      <c r="AC40" s="22">
        <v>80.655900000000003</v>
      </c>
      <c r="AD40" s="22">
        <v>0</v>
      </c>
      <c r="AE40" s="22">
        <v>18930</v>
      </c>
      <c r="AF40" s="22">
        <v>0.6</v>
      </c>
      <c r="AG40" s="22">
        <v>300</v>
      </c>
      <c r="AH40" s="22">
        <v>30</v>
      </c>
      <c r="AI40" s="83" t="s">
        <v>270</v>
      </c>
      <c r="AJ40" s="23" t="s">
        <v>276</v>
      </c>
      <c r="AK40" s="23" t="s">
        <v>277</v>
      </c>
      <c r="AL40" s="23" t="s">
        <v>275</v>
      </c>
      <c r="AM40" s="23" t="s">
        <v>274</v>
      </c>
      <c r="AN40" s="23" t="s">
        <v>278</v>
      </c>
      <c r="AO40" s="23" t="s">
        <v>130</v>
      </c>
      <c r="AP40" s="23"/>
      <c r="AQ40" s="36" t="str">
        <f t="shared" si="1"/>
        <v>MU0052</v>
      </c>
      <c r="AR40" s="36" t="str">
        <f t="shared" si="1"/>
        <v>Muthiankattu</v>
      </c>
      <c r="AS40" s="36" t="str">
        <f t="shared" si="2"/>
        <v>18G3922</v>
      </c>
    </row>
    <row r="41" spans="1:45" ht="19.95" customHeight="1">
      <c r="A41" s="151" t="s">
        <v>166</v>
      </c>
      <c r="B41" s="21" t="s">
        <v>167</v>
      </c>
      <c r="C41" s="21" t="s">
        <v>183</v>
      </c>
      <c r="D41" s="40" t="s">
        <v>10</v>
      </c>
      <c r="E41" s="23" t="s">
        <v>195</v>
      </c>
      <c r="F41" s="23"/>
      <c r="G41" s="14" t="s">
        <v>92</v>
      </c>
      <c r="H41" s="14" t="s">
        <v>59</v>
      </c>
      <c r="I41" s="14">
        <v>200</v>
      </c>
      <c r="J41" s="86" t="s">
        <v>132</v>
      </c>
      <c r="K41" s="14" t="s">
        <v>60</v>
      </c>
      <c r="L41" s="14" t="s">
        <v>288</v>
      </c>
      <c r="M41" s="14">
        <v>4.8</v>
      </c>
      <c r="N41" s="14">
        <v>20</v>
      </c>
      <c r="O41" s="14">
        <v>-50</v>
      </c>
      <c r="P41" s="15" t="s">
        <v>166</v>
      </c>
      <c r="Q41" s="15" t="s">
        <v>167</v>
      </c>
      <c r="R41" s="15">
        <v>9.4291820000000008</v>
      </c>
      <c r="S41" s="15">
        <v>80.572123000000005</v>
      </c>
      <c r="T41" s="15">
        <v>7.92</v>
      </c>
      <c r="U41" s="15">
        <v>10567</v>
      </c>
      <c r="V41" s="15">
        <v>0.3</v>
      </c>
      <c r="W41" s="15">
        <v>248</v>
      </c>
      <c r="X41" s="15">
        <v>19</v>
      </c>
      <c r="Y41" s="78" t="s">
        <v>457</v>
      </c>
      <c r="Z41" s="22" t="s">
        <v>451</v>
      </c>
      <c r="AA41" s="22" t="s">
        <v>455</v>
      </c>
      <c r="AB41" s="22">
        <v>9.4107299999999992</v>
      </c>
      <c r="AC41" s="22">
        <v>80.522099999999995</v>
      </c>
      <c r="AD41" s="22">
        <v>0</v>
      </c>
      <c r="AE41" s="22">
        <v>10217</v>
      </c>
      <c r="AF41" s="22">
        <v>0.6</v>
      </c>
      <c r="AG41" s="22">
        <v>67</v>
      </c>
      <c r="AH41" s="22">
        <v>30</v>
      </c>
      <c r="AI41" s="83" t="s">
        <v>456</v>
      </c>
      <c r="AJ41" s="173" t="s">
        <v>287</v>
      </c>
      <c r="AK41" s="173"/>
      <c r="AL41" s="173" t="s">
        <v>286</v>
      </c>
      <c r="AM41" s="173" t="s">
        <v>452</v>
      </c>
      <c r="AN41" s="173" t="s">
        <v>453</v>
      </c>
      <c r="AO41" s="173" t="s">
        <v>454</v>
      </c>
      <c r="AP41" s="23"/>
      <c r="AQ41" s="36" t="str">
        <f t="shared" si="1"/>
        <v>KI0034</v>
      </c>
      <c r="AR41" s="36" t="str">
        <f t="shared" si="1"/>
        <v>Dharmapuram</v>
      </c>
      <c r="AS41" s="36" t="str">
        <f t="shared" si="2"/>
        <v>10G1549</v>
      </c>
    </row>
    <row r="42" spans="1:45" ht="19.95" customHeight="1">
      <c r="A42" s="151" t="s">
        <v>176</v>
      </c>
      <c r="B42" s="21" t="s">
        <v>184</v>
      </c>
      <c r="C42" s="21" t="s">
        <v>183</v>
      </c>
      <c r="D42" s="40" t="s">
        <v>8</v>
      </c>
      <c r="E42" s="23" t="s">
        <v>315</v>
      </c>
      <c r="F42" s="23"/>
      <c r="G42" s="14" t="s">
        <v>61</v>
      </c>
      <c r="H42" s="14" t="s">
        <v>59</v>
      </c>
      <c r="I42" s="14">
        <v>400</v>
      </c>
      <c r="J42" s="14"/>
      <c r="K42" s="14" t="s">
        <v>60</v>
      </c>
      <c r="L42" s="14" t="s">
        <v>430</v>
      </c>
      <c r="M42" s="14">
        <v>4.5599999999999996</v>
      </c>
      <c r="N42" s="14">
        <v>20</v>
      </c>
      <c r="O42" s="14">
        <v>-31.15</v>
      </c>
      <c r="P42" s="15" t="s">
        <v>176</v>
      </c>
      <c r="Q42" s="15" t="s">
        <v>184</v>
      </c>
      <c r="R42" s="15">
        <v>9.2143449999999998</v>
      </c>
      <c r="S42" s="15">
        <v>80.324506999999997</v>
      </c>
      <c r="T42" s="15">
        <v>0</v>
      </c>
      <c r="U42" s="15">
        <v>17920</v>
      </c>
      <c r="V42" s="15">
        <v>0.6</v>
      </c>
      <c r="W42" s="15">
        <v>307</v>
      </c>
      <c r="X42" s="15">
        <v>19</v>
      </c>
      <c r="Y42" s="78" t="s">
        <v>431</v>
      </c>
      <c r="Z42" s="22" t="s">
        <v>432</v>
      </c>
      <c r="AA42" s="22" t="s">
        <v>434</v>
      </c>
      <c r="AB42" s="22">
        <v>9.2392249999999994</v>
      </c>
      <c r="AC42" s="22">
        <v>80.291433330000004</v>
      </c>
      <c r="AD42" s="22">
        <v>0</v>
      </c>
      <c r="AE42" s="22">
        <v>18930</v>
      </c>
      <c r="AF42" s="22">
        <v>1.2</v>
      </c>
      <c r="AG42" s="22">
        <v>127</v>
      </c>
      <c r="AH42" s="22">
        <v>30</v>
      </c>
      <c r="AI42" s="83" t="s">
        <v>433</v>
      </c>
      <c r="AJ42" s="173" t="s">
        <v>458</v>
      </c>
      <c r="AK42" s="173" t="s">
        <v>459</v>
      </c>
      <c r="AL42" s="173" t="s">
        <v>436</v>
      </c>
      <c r="AM42" s="173" t="s">
        <v>435</v>
      </c>
      <c r="AN42" s="173" t="s">
        <v>437</v>
      </c>
      <c r="AO42" s="173" t="s">
        <v>438</v>
      </c>
      <c r="AP42" s="23"/>
      <c r="AQ42" s="36" t="str">
        <f t="shared" si="1"/>
        <v>MU0045</v>
      </c>
      <c r="AR42" s="36" t="str">
        <f t="shared" si="1"/>
        <v>Thunukkai_North</v>
      </c>
      <c r="AS42" s="36" t="str">
        <f t="shared" si="2"/>
        <v>18G3926</v>
      </c>
    </row>
    <row r="43" spans="1:45" ht="19.95" customHeight="1">
      <c r="A43" s="129" t="s">
        <v>207</v>
      </c>
      <c r="B43" s="21" t="s">
        <v>208</v>
      </c>
      <c r="C43" s="21" t="s">
        <v>225</v>
      </c>
      <c r="D43" s="111" t="s">
        <v>8</v>
      </c>
      <c r="E43" s="23"/>
      <c r="F43" s="23"/>
      <c r="G43" s="14" t="s">
        <v>61</v>
      </c>
      <c r="H43" s="14"/>
      <c r="I43" s="14"/>
      <c r="J43" s="14"/>
      <c r="K43" s="14"/>
      <c r="L43" s="14"/>
      <c r="M43" s="14"/>
      <c r="N43" s="14"/>
      <c r="O43" s="14"/>
      <c r="P43" s="15"/>
      <c r="Q43" s="15"/>
      <c r="R43" s="15"/>
      <c r="S43" s="15"/>
      <c r="T43" s="15"/>
      <c r="U43" s="15"/>
      <c r="V43" s="15"/>
      <c r="W43" s="15"/>
      <c r="X43" s="15"/>
      <c r="Y43" s="78"/>
      <c r="Z43" s="22"/>
      <c r="AA43" s="22"/>
      <c r="AB43" s="22"/>
      <c r="AC43" s="22"/>
      <c r="AD43" s="22"/>
      <c r="AE43" s="22"/>
      <c r="AF43" s="22"/>
      <c r="AG43" s="22"/>
      <c r="AH43" s="22"/>
      <c r="AI43" s="83"/>
      <c r="AJ43" s="23"/>
      <c r="AK43" s="23"/>
      <c r="AL43" s="23"/>
      <c r="AM43" s="23"/>
      <c r="AN43" s="23"/>
      <c r="AO43" s="23"/>
      <c r="AP43" s="23"/>
      <c r="AQ43" s="36">
        <f t="shared" si="1"/>
        <v>0</v>
      </c>
      <c r="AR43" s="36">
        <f t="shared" si="1"/>
        <v>0</v>
      </c>
      <c r="AS43" s="36">
        <f t="shared" si="2"/>
        <v>0</v>
      </c>
    </row>
    <row r="44" spans="1:45" ht="19.95" customHeight="1">
      <c r="A44" s="129" t="s">
        <v>209</v>
      </c>
      <c r="B44" s="21" t="s">
        <v>210</v>
      </c>
      <c r="C44" s="21" t="s">
        <v>225</v>
      </c>
      <c r="D44" s="111" t="s">
        <v>8</v>
      </c>
      <c r="E44" s="23"/>
      <c r="F44" s="23"/>
      <c r="G44" s="14" t="s">
        <v>61</v>
      </c>
      <c r="H44" s="14"/>
      <c r="I44" s="14"/>
      <c r="J44" s="14"/>
      <c r="K44" s="14"/>
      <c r="L44" s="14"/>
      <c r="M44" s="14"/>
      <c r="N44" s="14"/>
      <c r="O44" s="14"/>
      <c r="P44" s="15"/>
      <c r="Q44" s="15"/>
      <c r="R44" s="15"/>
      <c r="S44" s="15"/>
      <c r="T44" s="15"/>
      <c r="U44" s="15"/>
      <c r="V44" s="15"/>
      <c r="W44" s="15"/>
      <c r="X44" s="15"/>
      <c r="Y44" s="78"/>
      <c r="Z44" s="22"/>
      <c r="AA44" s="22"/>
      <c r="AB44" s="22"/>
      <c r="AC44" s="22"/>
      <c r="AD44" s="22"/>
      <c r="AE44" s="22"/>
      <c r="AF44" s="22"/>
      <c r="AG44" s="22"/>
      <c r="AH44" s="22"/>
      <c r="AI44" s="83"/>
      <c r="AJ44" s="23"/>
      <c r="AK44" s="23"/>
      <c r="AL44" s="23"/>
      <c r="AM44" s="23"/>
      <c r="AN44" s="23"/>
      <c r="AO44" s="23"/>
      <c r="AP44" s="23"/>
      <c r="AQ44" s="36">
        <f t="shared" si="1"/>
        <v>0</v>
      </c>
      <c r="AR44" s="36">
        <f t="shared" si="1"/>
        <v>0</v>
      </c>
      <c r="AS44" s="36">
        <f t="shared" si="2"/>
        <v>0</v>
      </c>
    </row>
    <row r="45" spans="1:45" ht="19.95" customHeight="1">
      <c r="A45" s="129" t="s">
        <v>211</v>
      </c>
      <c r="B45" s="21" t="s">
        <v>212</v>
      </c>
      <c r="C45" s="21" t="s">
        <v>225</v>
      </c>
      <c r="D45" s="111" t="s">
        <v>8</v>
      </c>
      <c r="E45" s="23"/>
      <c r="F45" s="23"/>
      <c r="G45" s="14" t="s">
        <v>61</v>
      </c>
      <c r="H45" s="14"/>
      <c r="I45" s="14"/>
      <c r="J45" s="14"/>
      <c r="K45" s="14"/>
      <c r="L45" s="14"/>
      <c r="M45" s="14"/>
      <c r="N45" s="14"/>
      <c r="O45" s="14"/>
      <c r="P45" s="15"/>
      <c r="Q45" s="15"/>
      <c r="R45" s="15"/>
      <c r="S45" s="15"/>
      <c r="T45" s="15"/>
      <c r="U45" s="15"/>
      <c r="V45" s="15"/>
      <c r="W45" s="15"/>
      <c r="X45" s="15"/>
      <c r="Y45" s="78"/>
      <c r="Z45" s="22"/>
      <c r="AA45" s="22"/>
      <c r="AB45" s="22"/>
      <c r="AC45" s="22"/>
      <c r="AD45" s="22"/>
      <c r="AE45" s="22"/>
      <c r="AF45" s="22"/>
      <c r="AG45" s="22"/>
      <c r="AH45" s="22"/>
      <c r="AI45" s="83"/>
      <c r="AJ45" s="23"/>
      <c r="AK45" s="23"/>
      <c r="AL45" s="23"/>
      <c r="AM45" s="23"/>
      <c r="AN45" s="23"/>
      <c r="AO45" s="23"/>
      <c r="AP45" s="23"/>
      <c r="AQ45" s="36">
        <f t="shared" si="1"/>
        <v>0</v>
      </c>
      <c r="AR45" s="36">
        <f t="shared" si="1"/>
        <v>0</v>
      </c>
      <c r="AS45" s="36">
        <f t="shared" si="2"/>
        <v>0</v>
      </c>
    </row>
    <row r="46" spans="1:45" ht="19.95" customHeight="1">
      <c r="A46" s="129" t="s">
        <v>201</v>
      </c>
      <c r="B46" s="21" t="s">
        <v>202</v>
      </c>
      <c r="C46" s="21" t="s">
        <v>183</v>
      </c>
      <c r="D46" s="111" t="s">
        <v>10</v>
      </c>
      <c r="E46" s="23" t="s">
        <v>227</v>
      </c>
      <c r="F46" s="23"/>
      <c r="G46" s="14" t="s">
        <v>92</v>
      </c>
      <c r="H46" s="14"/>
      <c r="I46" s="14"/>
      <c r="J46" s="14"/>
      <c r="K46" s="14"/>
      <c r="L46" s="14" t="s">
        <v>499</v>
      </c>
      <c r="M46" s="14"/>
      <c r="N46" s="14"/>
      <c r="O46" s="14">
        <v>-50</v>
      </c>
      <c r="P46" s="15" t="s">
        <v>201</v>
      </c>
      <c r="Q46" s="15" t="s">
        <v>202</v>
      </c>
      <c r="R46" s="15"/>
      <c r="S46" s="15"/>
      <c r="T46" s="15"/>
      <c r="U46" s="15"/>
      <c r="V46" s="15"/>
      <c r="W46" s="15"/>
      <c r="X46" s="15"/>
      <c r="Y46" s="78" t="s">
        <v>334</v>
      </c>
      <c r="Z46" s="22"/>
      <c r="AA46" s="22"/>
      <c r="AB46" s="22"/>
      <c r="AC46" s="22"/>
      <c r="AD46" s="22"/>
      <c r="AE46" s="22"/>
      <c r="AF46" s="22"/>
      <c r="AG46" s="22"/>
      <c r="AH46" s="22"/>
      <c r="AI46" s="83"/>
      <c r="AJ46" s="23" t="s">
        <v>339</v>
      </c>
      <c r="AK46" s="23"/>
      <c r="AL46" s="23" t="s">
        <v>338</v>
      </c>
      <c r="AM46" s="23" t="s">
        <v>337</v>
      </c>
      <c r="AN46" s="23" t="s">
        <v>340</v>
      </c>
      <c r="AO46" s="23" t="s">
        <v>174</v>
      </c>
      <c r="AP46" s="23"/>
      <c r="AQ46" s="36">
        <f t="shared" si="1"/>
        <v>0</v>
      </c>
      <c r="AR46" s="36">
        <f t="shared" si="1"/>
        <v>0</v>
      </c>
      <c r="AS46" s="36" t="str">
        <f t="shared" si="2"/>
        <v>10G1547</v>
      </c>
    </row>
    <row r="47" spans="1:45" ht="19.95" customHeight="1">
      <c r="A47" s="128" t="s">
        <v>199</v>
      </c>
      <c r="B47" s="120" t="s">
        <v>200</v>
      </c>
      <c r="C47" s="120" t="s">
        <v>183</v>
      </c>
      <c r="D47" s="111" t="s">
        <v>8</v>
      </c>
      <c r="E47" s="23" t="s">
        <v>406</v>
      </c>
      <c r="F47" s="23"/>
      <c r="G47" s="14" t="s">
        <v>61</v>
      </c>
      <c r="H47" s="14" t="s">
        <v>59</v>
      </c>
      <c r="I47" s="14">
        <v>400</v>
      </c>
      <c r="J47" s="14"/>
      <c r="K47" s="14" t="s">
        <v>60</v>
      </c>
      <c r="L47" s="14" t="s">
        <v>439</v>
      </c>
      <c r="M47" s="14">
        <v>4.63</v>
      </c>
      <c r="N47" s="14">
        <v>20</v>
      </c>
      <c r="O47" s="14">
        <v>-31.28</v>
      </c>
      <c r="P47" s="15" t="s">
        <v>199</v>
      </c>
      <c r="Q47" s="15" t="s">
        <v>200</v>
      </c>
      <c r="R47" s="15">
        <v>9.5931999999999995</v>
      </c>
      <c r="S47" s="15">
        <v>80.324089999999998</v>
      </c>
      <c r="T47" s="15">
        <v>0</v>
      </c>
      <c r="U47" s="15">
        <v>18030</v>
      </c>
      <c r="V47" s="15">
        <v>0.6</v>
      </c>
      <c r="W47" s="15">
        <v>103</v>
      </c>
      <c r="X47" s="15">
        <v>27</v>
      </c>
      <c r="Y47" s="78" t="s">
        <v>440</v>
      </c>
      <c r="Z47" s="22" t="s">
        <v>496</v>
      </c>
      <c r="AA47" s="22" t="s">
        <v>497</v>
      </c>
      <c r="AB47" s="22">
        <v>9.5839160000000003</v>
      </c>
      <c r="AC47" s="22">
        <v>80.365220199999996</v>
      </c>
      <c r="AD47" s="22">
        <v>0</v>
      </c>
      <c r="AE47" s="22">
        <v>19040</v>
      </c>
      <c r="AF47" s="22">
        <v>1.2</v>
      </c>
      <c r="AG47" s="22">
        <v>283</v>
      </c>
      <c r="AH47" s="22">
        <v>30</v>
      </c>
      <c r="AI47" s="83" t="s">
        <v>498</v>
      </c>
      <c r="AJ47" s="23" t="s">
        <v>493</v>
      </c>
      <c r="AK47" s="23" t="s">
        <v>491</v>
      </c>
      <c r="AL47" s="23" t="s">
        <v>492</v>
      </c>
      <c r="AM47" s="23" t="s">
        <v>490</v>
      </c>
      <c r="AN47" s="23" t="s">
        <v>494</v>
      </c>
      <c r="AO47" s="23" t="s">
        <v>495</v>
      </c>
      <c r="AP47" s="23"/>
      <c r="AQ47" s="36" t="str">
        <f t="shared" si="1"/>
        <v>KI0095</v>
      </c>
      <c r="AR47" s="36" t="str">
        <f t="shared" si="1"/>
        <v>Palai_South</v>
      </c>
      <c r="AS47" s="36" t="str">
        <f t="shared" si="2"/>
        <v>18G3923</v>
      </c>
    </row>
    <row r="48" spans="1:45" ht="19.95" customHeight="1">
      <c r="A48" s="145" t="s">
        <v>179</v>
      </c>
      <c r="B48" s="120" t="s">
        <v>187</v>
      </c>
      <c r="C48" s="120" t="s">
        <v>188</v>
      </c>
      <c r="D48" s="40" t="s">
        <v>7</v>
      </c>
      <c r="E48" s="23" t="s">
        <v>7</v>
      </c>
      <c r="F48" s="21"/>
      <c r="G48" s="14" t="s">
        <v>7</v>
      </c>
      <c r="H48" s="14"/>
      <c r="I48" s="14"/>
      <c r="J48" s="14"/>
      <c r="K48" s="14"/>
      <c r="L48" s="14"/>
      <c r="M48" s="14"/>
      <c r="N48" s="14"/>
      <c r="O48" s="14"/>
      <c r="P48" s="87"/>
      <c r="Q48" s="87"/>
      <c r="R48" s="13"/>
      <c r="S48" s="13"/>
      <c r="T48" s="15"/>
      <c r="U48" s="15"/>
      <c r="V48" s="15"/>
      <c r="W48" s="15"/>
      <c r="X48" s="15"/>
      <c r="Y48" s="78"/>
      <c r="Z48" s="22"/>
      <c r="AA48" s="22"/>
      <c r="AB48" s="22"/>
      <c r="AC48" s="22"/>
      <c r="AD48" s="22"/>
      <c r="AE48" s="22"/>
      <c r="AF48" s="22"/>
      <c r="AG48" s="22"/>
      <c r="AH48" s="22"/>
      <c r="AI48" s="83"/>
      <c r="AJ48" s="23"/>
      <c r="AK48" s="23"/>
      <c r="AL48" s="23"/>
      <c r="AM48" s="23"/>
      <c r="AN48" s="23"/>
      <c r="AO48" s="23"/>
      <c r="AP48" s="23"/>
      <c r="AQ48" s="36">
        <f t="shared" si="1"/>
        <v>0</v>
      </c>
      <c r="AR48" s="36">
        <f t="shared" si="1"/>
        <v>0</v>
      </c>
      <c r="AS48" s="36">
        <f t="shared" si="2"/>
        <v>0</v>
      </c>
    </row>
    <row r="49" spans="1:45" ht="19.95" customHeight="1">
      <c r="A49" s="145" t="s">
        <v>180</v>
      </c>
      <c r="B49" s="120" t="s">
        <v>189</v>
      </c>
      <c r="C49" s="120" t="s">
        <v>188</v>
      </c>
      <c r="D49" s="40" t="s">
        <v>7</v>
      </c>
      <c r="E49" s="23" t="s">
        <v>7</v>
      </c>
      <c r="F49" s="21"/>
      <c r="G49" s="14" t="s">
        <v>7</v>
      </c>
      <c r="H49" s="14"/>
      <c r="I49" s="14"/>
      <c r="J49" s="14"/>
      <c r="K49" s="14"/>
      <c r="L49" s="14"/>
      <c r="M49" s="14"/>
      <c r="N49" s="14"/>
      <c r="O49" s="14"/>
      <c r="P49" s="87"/>
      <c r="Q49" s="87"/>
      <c r="R49" s="13"/>
      <c r="S49" s="13"/>
      <c r="T49" s="15"/>
      <c r="U49" s="15"/>
      <c r="V49" s="15"/>
      <c r="W49" s="15"/>
      <c r="X49" s="15"/>
      <c r="Y49" s="78"/>
      <c r="Z49" s="22"/>
      <c r="AA49" s="22"/>
      <c r="AB49" s="22"/>
      <c r="AC49" s="22"/>
      <c r="AD49" s="22"/>
      <c r="AE49" s="22"/>
      <c r="AF49" s="22"/>
      <c r="AG49" s="22"/>
      <c r="AH49" s="22"/>
      <c r="AI49" s="83"/>
      <c r="AJ49" s="23"/>
      <c r="AK49" s="23"/>
      <c r="AL49" s="23"/>
      <c r="AM49" s="23"/>
      <c r="AN49" s="23"/>
      <c r="AO49" s="23"/>
      <c r="AP49" s="23"/>
      <c r="AQ49" s="36">
        <f t="shared" si="1"/>
        <v>0</v>
      </c>
      <c r="AR49" s="36">
        <f t="shared" si="1"/>
        <v>0</v>
      </c>
      <c r="AS49" s="36">
        <f t="shared" si="2"/>
        <v>0</v>
      </c>
    </row>
    <row r="50" spans="1:45" ht="19.95" customHeight="1">
      <c r="A50" s="145" t="s">
        <v>177</v>
      </c>
      <c r="B50" s="120" t="s">
        <v>185</v>
      </c>
      <c r="C50" s="120" t="s">
        <v>183</v>
      </c>
      <c r="D50" s="40" t="s">
        <v>7</v>
      </c>
      <c r="E50" s="23" t="s">
        <v>7</v>
      </c>
      <c r="F50" s="21"/>
      <c r="G50" s="14" t="s">
        <v>7</v>
      </c>
      <c r="H50" s="14"/>
      <c r="I50" s="14"/>
      <c r="J50" s="14"/>
      <c r="K50" s="14"/>
      <c r="L50" s="14"/>
      <c r="M50" s="14"/>
      <c r="N50" s="14"/>
      <c r="O50" s="14"/>
      <c r="P50" s="87"/>
      <c r="Q50" s="87"/>
      <c r="R50" s="13"/>
      <c r="S50" s="13"/>
      <c r="T50" s="15"/>
      <c r="U50" s="15"/>
      <c r="V50" s="15"/>
      <c r="W50" s="15"/>
      <c r="X50" s="15"/>
      <c r="Y50" s="78"/>
      <c r="Z50" s="22"/>
      <c r="AA50" s="22"/>
      <c r="AB50" s="22"/>
      <c r="AC50" s="22"/>
      <c r="AD50" s="22"/>
      <c r="AE50" s="22"/>
      <c r="AF50" s="22"/>
      <c r="AG50" s="22"/>
      <c r="AH50" s="22"/>
      <c r="AI50" s="83"/>
      <c r="AJ50" s="23"/>
      <c r="AK50" s="23"/>
      <c r="AL50" s="23"/>
      <c r="AM50" s="23"/>
      <c r="AN50" s="23"/>
      <c r="AO50" s="23"/>
      <c r="AP50" s="23"/>
      <c r="AQ50" s="36">
        <f t="shared" si="1"/>
        <v>0</v>
      </c>
      <c r="AR50" s="36">
        <f t="shared" si="1"/>
        <v>0</v>
      </c>
      <c r="AS50" s="36">
        <f t="shared" si="2"/>
        <v>0</v>
      </c>
    </row>
    <row r="51" spans="1:45" ht="19.95" customHeight="1">
      <c r="A51" s="158" t="s">
        <v>175</v>
      </c>
      <c r="B51" s="121" t="s">
        <v>182</v>
      </c>
      <c r="C51" s="121" t="s">
        <v>183</v>
      </c>
      <c r="D51" s="40" t="s">
        <v>8</v>
      </c>
      <c r="E51" s="23" t="s">
        <v>77</v>
      </c>
      <c r="F51" s="23"/>
      <c r="G51" s="14" t="s">
        <v>61</v>
      </c>
      <c r="H51" s="14"/>
      <c r="I51" s="14"/>
      <c r="J51" s="14"/>
      <c r="K51" s="14"/>
      <c r="L51" s="14"/>
      <c r="M51" s="14"/>
      <c r="N51" s="14"/>
      <c r="O51" s="14"/>
      <c r="P51" s="15"/>
      <c r="Q51" s="15"/>
      <c r="R51" s="15"/>
      <c r="S51" s="15"/>
      <c r="T51" s="15"/>
      <c r="U51" s="15"/>
      <c r="V51" s="15"/>
      <c r="W51" s="15"/>
      <c r="X51" s="15"/>
      <c r="Y51" s="78"/>
      <c r="Z51" s="22"/>
      <c r="AA51" s="22"/>
      <c r="AB51" s="22"/>
      <c r="AC51" s="22"/>
      <c r="AD51" s="22"/>
      <c r="AE51" s="22"/>
      <c r="AF51" s="22"/>
      <c r="AG51" s="22"/>
      <c r="AH51" s="22"/>
      <c r="AI51" s="83"/>
      <c r="AJ51" s="23"/>
      <c r="AK51" s="23"/>
      <c r="AL51" s="23"/>
      <c r="AM51" s="23"/>
      <c r="AN51" s="23"/>
      <c r="AO51" s="23"/>
      <c r="AP51" s="23"/>
      <c r="AQ51" s="36">
        <f t="shared" si="1"/>
        <v>0</v>
      </c>
      <c r="AR51" s="36">
        <f t="shared" si="1"/>
        <v>0</v>
      </c>
      <c r="AS51" s="36">
        <f t="shared" si="2"/>
        <v>0</v>
      </c>
    </row>
    <row r="52" spans="1:45" ht="19.95" customHeight="1">
      <c r="A52" s="120" t="s">
        <v>203</v>
      </c>
      <c r="B52" s="120" t="s">
        <v>204</v>
      </c>
      <c r="C52" s="120" t="s">
        <v>225</v>
      </c>
      <c r="D52" s="111" t="s">
        <v>7</v>
      </c>
      <c r="E52" s="23" t="s">
        <v>7</v>
      </c>
      <c r="F52" s="23"/>
      <c r="G52" s="14" t="s">
        <v>7</v>
      </c>
      <c r="H52" s="14"/>
      <c r="I52" s="14"/>
      <c r="J52" s="14"/>
      <c r="K52" s="14"/>
      <c r="L52" s="14"/>
      <c r="M52" s="14"/>
      <c r="N52" s="14"/>
      <c r="O52" s="14"/>
      <c r="P52" s="15"/>
      <c r="Q52" s="15"/>
      <c r="R52" s="15"/>
      <c r="S52" s="15"/>
      <c r="T52" s="15"/>
      <c r="U52" s="15"/>
      <c r="V52" s="15"/>
      <c r="W52" s="15"/>
      <c r="X52" s="15"/>
      <c r="Y52" s="78"/>
      <c r="Z52" s="22"/>
      <c r="AA52" s="22"/>
      <c r="AB52" s="22"/>
      <c r="AC52" s="22"/>
      <c r="AD52" s="22"/>
      <c r="AE52" s="22"/>
      <c r="AF52" s="22"/>
      <c r="AG52" s="22"/>
      <c r="AH52" s="22"/>
      <c r="AI52" s="83"/>
      <c r="AJ52" s="23"/>
      <c r="AK52" s="23"/>
      <c r="AL52" s="23"/>
      <c r="AM52" s="23"/>
      <c r="AN52" s="23"/>
      <c r="AO52" s="23"/>
      <c r="AP52" s="23"/>
      <c r="AQ52" s="36">
        <f t="shared" si="1"/>
        <v>0</v>
      </c>
      <c r="AR52" s="36">
        <f t="shared" si="1"/>
        <v>0</v>
      </c>
      <c r="AS52" s="36">
        <f t="shared" si="2"/>
        <v>0</v>
      </c>
    </row>
    <row r="53" spans="1:45" ht="19.95" customHeight="1">
      <c r="A53" s="120" t="s">
        <v>213</v>
      </c>
      <c r="B53" s="120" t="s">
        <v>214</v>
      </c>
      <c r="C53" s="120" t="s">
        <v>225</v>
      </c>
      <c r="D53" s="111" t="s">
        <v>7</v>
      </c>
      <c r="E53" s="23" t="s">
        <v>7</v>
      </c>
      <c r="F53" s="23"/>
      <c r="G53" s="14" t="s">
        <v>7</v>
      </c>
      <c r="H53" s="14"/>
      <c r="I53" s="14"/>
      <c r="J53" s="14"/>
      <c r="K53" s="14"/>
      <c r="L53" s="14"/>
      <c r="M53" s="14"/>
      <c r="N53" s="14"/>
      <c r="O53" s="14"/>
      <c r="P53" s="15"/>
      <c r="Q53" s="15"/>
      <c r="R53" s="15"/>
      <c r="S53" s="15"/>
      <c r="T53" s="15"/>
      <c r="U53" s="15"/>
      <c r="V53" s="15"/>
      <c r="W53" s="15"/>
      <c r="X53" s="15"/>
      <c r="Y53" s="78"/>
      <c r="Z53" s="22"/>
      <c r="AA53" s="22"/>
      <c r="AB53" s="22"/>
      <c r="AC53" s="22"/>
      <c r="AD53" s="22"/>
      <c r="AE53" s="22"/>
      <c r="AF53" s="22"/>
      <c r="AG53" s="22"/>
      <c r="AH53" s="22"/>
      <c r="AI53" s="83"/>
      <c r="AJ53" s="23"/>
      <c r="AK53" s="23"/>
      <c r="AL53" s="23"/>
      <c r="AM53" s="23"/>
      <c r="AN53" s="23"/>
      <c r="AO53" s="23"/>
      <c r="AP53" s="23"/>
      <c r="AQ53" s="36">
        <f t="shared" si="1"/>
        <v>0</v>
      </c>
      <c r="AR53" s="36">
        <f t="shared" si="1"/>
        <v>0</v>
      </c>
      <c r="AS53" s="36">
        <f t="shared" si="2"/>
        <v>0</v>
      </c>
    </row>
    <row r="54" spans="1:45" ht="19.95" customHeight="1">
      <c r="A54" s="122" t="s">
        <v>215</v>
      </c>
      <c r="B54" s="122" t="s">
        <v>216</v>
      </c>
      <c r="C54" s="123" t="s">
        <v>225</v>
      </c>
      <c r="D54" s="111" t="s">
        <v>7</v>
      </c>
      <c r="E54" s="23" t="s">
        <v>7</v>
      </c>
      <c r="F54" s="23"/>
      <c r="G54" s="14" t="s">
        <v>7</v>
      </c>
      <c r="H54" s="14"/>
      <c r="I54" s="14"/>
      <c r="J54" s="14"/>
      <c r="K54" s="14"/>
      <c r="L54" s="14"/>
      <c r="M54" s="14"/>
      <c r="N54" s="14"/>
      <c r="O54" s="14"/>
      <c r="P54" s="15"/>
      <c r="Q54" s="15"/>
      <c r="R54" s="15"/>
      <c r="S54" s="15"/>
      <c r="T54" s="15"/>
      <c r="U54" s="15"/>
      <c r="V54" s="15"/>
      <c r="W54" s="15"/>
      <c r="X54" s="15"/>
      <c r="Y54" s="78"/>
      <c r="Z54" s="22"/>
      <c r="AA54" s="22"/>
      <c r="AB54" s="22"/>
      <c r="AC54" s="22"/>
      <c r="AD54" s="22"/>
      <c r="AE54" s="22"/>
      <c r="AF54" s="22"/>
      <c r="AG54" s="22"/>
      <c r="AH54" s="22"/>
      <c r="AI54" s="83"/>
      <c r="AJ54" s="23"/>
      <c r="AK54" s="23"/>
      <c r="AL54" s="23"/>
      <c r="AM54" s="23"/>
      <c r="AN54" s="23"/>
      <c r="AO54" s="23"/>
      <c r="AP54" s="23"/>
      <c r="AQ54" s="36">
        <f t="shared" si="1"/>
        <v>0</v>
      </c>
      <c r="AR54" s="36">
        <f t="shared" si="1"/>
        <v>0</v>
      </c>
      <c r="AS54" s="36">
        <f t="shared" si="2"/>
        <v>0</v>
      </c>
    </row>
    <row r="55" spans="1:45" ht="19.95" customHeight="1">
      <c r="A55" s="122" t="s">
        <v>217</v>
      </c>
      <c r="B55" s="122" t="s">
        <v>218</v>
      </c>
      <c r="C55" s="123" t="s">
        <v>225</v>
      </c>
      <c r="D55" s="111" t="s">
        <v>7</v>
      </c>
      <c r="E55" s="23" t="s">
        <v>7</v>
      </c>
      <c r="F55" s="23"/>
      <c r="G55" s="14" t="s">
        <v>7</v>
      </c>
      <c r="H55" s="14"/>
      <c r="I55" s="14"/>
      <c r="J55" s="14"/>
      <c r="K55" s="14"/>
      <c r="L55" s="14"/>
      <c r="M55" s="14"/>
      <c r="N55" s="14"/>
      <c r="O55" s="14"/>
      <c r="P55" s="15"/>
      <c r="Q55" s="15"/>
      <c r="R55" s="15"/>
      <c r="S55" s="15"/>
      <c r="T55" s="15"/>
      <c r="U55" s="15"/>
      <c r="V55" s="15"/>
      <c r="W55" s="15"/>
      <c r="X55" s="15"/>
      <c r="Y55" s="78"/>
      <c r="Z55" s="22"/>
      <c r="AA55" s="22"/>
      <c r="AB55" s="22"/>
      <c r="AC55" s="22"/>
      <c r="AD55" s="22"/>
      <c r="AE55" s="22"/>
      <c r="AF55" s="22"/>
      <c r="AG55" s="22"/>
      <c r="AH55" s="22"/>
      <c r="AI55" s="83"/>
      <c r="AJ55" s="23"/>
      <c r="AK55" s="23"/>
      <c r="AL55" s="23"/>
      <c r="AM55" s="23"/>
      <c r="AN55" s="23"/>
      <c r="AO55" s="23"/>
      <c r="AP55" s="23"/>
      <c r="AQ55" s="36">
        <f t="shared" si="1"/>
        <v>0</v>
      </c>
      <c r="AR55" s="36">
        <f t="shared" si="1"/>
        <v>0</v>
      </c>
      <c r="AS55" s="36">
        <f t="shared" si="2"/>
        <v>0</v>
      </c>
    </row>
    <row r="56" spans="1:45" ht="19.95" customHeight="1">
      <c r="A56" s="9" t="s">
        <v>219</v>
      </c>
      <c r="B56" s="9" t="s">
        <v>220</v>
      </c>
      <c r="C56" s="85" t="s">
        <v>225</v>
      </c>
      <c r="D56" s="111" t="s">
        <v>8</v>
      </c>
      <c r="E56" s="23"/>
      <c r="F56" s="23"/>
      <c r="G56" s="14" t="s">
        <v>61</v>
      </c>
      <c r="H56" s="14"/>
      <c r="I56" s="14"/>
      <c r="J56" s="14"/>
      <c r="K56" s="14"/>
      <c r="L56" s="14"/>
      <c r="M56" s="14"/>
      <c r="N56" s="14"/>
      <c r="O56" s="14"/>
      <c r="P56" s="15"/>
      <c r="Q56" s="15"/>
      <c r="R56" s="15"/>
      <c r="S56" s="15"/>
      <c r="T56" s="15"/>
      <c r="U56" s="15"/>
      <c r="V56" s="15"/>
      <c r="W56" s="15"/>
      <c r="X56" s="15"/>
      <c r="Y56" s="78"/>
      <c r="Z56" s="22"/>
      <c r="AA56" s="22"/>
      <c r="AB56" s="22"/>
      <c r="AC56" s="22"/>
      <c r="AD56" s="22"/>
      <c r="AE56" s="22"/>
      <c r="AF56" s="22"/>
      <c r="AG56" s="22"/>
      <c r="AH56" s="22"/>
      <c r="AI56" s="83"/>
      <c r="AJ56" s="23"/>
      <c r="AK56" s="23"/>
      <c r="AL56" s="23"/>
      <c r="AM56" s="23"/>
      <c r="AN56" s="23"/>
      <c r="AO56" s="23"/>
      <c r="AP56" s="23"/>
      <c r="AQ56" s="36">
        <f t="shared" si="1"/>
        <v>0</v>
      </c>
      <c r="AR56" s="36">
        <f t="shared" si="1"/>
        <v>0</v>
      </c>
      <c r="AS56" s="36">
        <f t="shared" si="2"/>
        <v>0</v>
      </c>
    </row>
    <row r="57" spans="1:45" ht="19.95" customHeight="1">
      <c r="A57" s="9" t="s">
        <v>221</v>
      </c>
      <c r="B57" s="9" t="s">
        <v>222</v>
      </c>
      <c r="C57" s="85" t="s">
        <v>225</v>
      </c>
      <c r="D57" s="111" t="s">
        <v>8</v>
      </c>
      <c r="E57" s="23"/>
      <c r="F57" s="23"/>
      <c r="G57" s="14" t="s">
        <v>61</v>
      </c>
      <c r="H57" s="14"/>
      <c r="I57" s="14"/>
      <c r="J57" s="14"/>
      <c r="K57" s="14"/>
      <c r="L57" s="14"/>
      <c r="M57" s="14"/>
      <c r="N57" s="14"/>
      <c r="O57" s="14"/>
      <c r="P57" s="15"/>
      <c r="Q57" s="15"/>
      <c r="R57" s="15"/>
      <c r="S57" s="15"/>
      <c r="T57" s="15"/>
      <c r="U57" s="15"/>
      <c r="V57" s="15"/>
      <c r="W57" s="15"/>
      <c r="X57" s="15"/>
      <c r="Y57" s="78"/>
      <c r="Z57" s="22"/>
      <c r="AA57" s="22"/>
      <c r="AB57" s="22"/>
      <c r="AC57" s="22"/>
      <c r="AD57" s="22"/>
      <c r="AE57" s="22"/>
      <c r="AF57" s="22"/>
      <c r="AG57" s="22"/>
      <c r="AH57" s="22"/>
      <c r="AI57" s="83"/>
      <c r="AJ57" s="23"/>
      <c r="AK57" s="23"/>
      <c r="AL57" s="23"/>
      <c r="AM57" s="23"/>
      <c r="AN57" s="23"/>
      <c r="AO57" s="23"/>
      <c r="AP57" s="23"/>
      <c r="AQ57" s="36">
        <f t="shared" si="1"/>
        <v>0</v>
      </c>
      <c r="AR57" s="36">
        <f t="shared" si="1"/>
        <v>0</v>
      </c>
      <c r="AS57" s="36">
        <f t="shared" si="2"/>
        <v>0</v>
      </c>
    </row>
    <row r="58" spans="1:45" ht="19.95" customHeight="1">
      <c r="A58" s="9" t="s">
        <v>223</v>
      </c>
      <c r="B58" s="9" t="s">
        <v>224</v>
      </c>
      <c r="C58" s="85" t="s">
        <v>225</v>
      </c>
      <c r="D58" s="111" t="s">
        <v>8</v>
      </c>
      <c r="E58" s="23"/>
      <c r="F58" s="23"/>
      <c r="G58" s="14" t="s">
        <v>61</v>
      </c>
      <c r="H58" s="14"/>
      <c r="I58" s="14"/>
      <c r="J58" s="14"/>
      <c r="K58" s="14"/>
      <c r="L58" s="14"/>
      <c r="M58" s="14"/>
      <c r="N58" s="14"/>
      <c r="O58" s="14"/>
      <c r="P58" s="15"/>
      <c r="Q58" s="15"/>
      <c r="R58" s="15"/>
      <c r="S58" s="15"/>
      <c r="T58" s="15"/>
      <c r="U58" s="15"/>
      <c r="V58" s="15"/>
      <c r="W58" s="15"/>
      <c r="X58" s="15"/>
      <c r="Y58" s="78"/>
      <c r="Z58" s="22"/>
      <c r="AA58" s="22"/>
      <c r="AB58" s="22"/>
      <c r="AC58" s="22"/>
      <c r="AD58" s="22"/>
      <c r="AE58" s="22"/>
      <c r="AF58" s="22"/>
      <c r="AG58" s="22"/>
      <c r="AH58" s="22"/>
      <c r="AI58" s="83"/>
      <c r="AJ58" s="23"/>
      <c r="AK58" s="23"/>
      <c r="AL58" s="23"/>
      <c r="AM58" s="23"/>
      <c r="AN58" s="23"/>
      <c r="AO58" s="23"/>
      <c r="AP58" s="23"/>
      <c r="AQ58" s="36">
        <f t="shared" si="1"/>
        <v>0</v>
      </c>
      <c r="AR58" s="36">
        <f t="shared" si="1"/>
        <v>0</v>
      </c>
      <c r="AS58" s="36">
        <f t="shared" si="2"/>
        <v>0</v>
      </c>
    </row>
    <row r="59" spans="1:45" ht="19.95" customHeight="1">
      <c r="A59" s="21" t="s">
        <v>205</v>
      </c>
      <c r="B59" s="21" t="s">
        <v>206</v>
      </c>
      <c r="C59" s="21" t="s">
        <v>225</v>
      </c>
      <c r="D59" s="111" t="s">
        <v>7</v>
      </c>
      <c r="E59" s="23" t="s">
        <v>7</v>
      </c>
      <c r="F59" s="23"/>
      <c r="G59" s="14" t="s">
        <v>7</v>
      </c>
      <c r="H59" s="14"/>
      <c r="I59" s="14"/>
      <c r="J59" s="14"/>
      <c r="K59" s="14"/>
      <c r="L59" s="14"/>
      <c r="M59" s="14"/>
      <c r="N59" s="14"/>
      <c r="O59" s="14"/>
      <c r="P59" s="15"/>
      <c r="Q59" s="15"/>
      <c r="R59" s="15"/>
      <c r="S59" s="15"/>
      <c r="T59" s="15"/>
      <c r="U59" s="15"/>
      <c r="V59" s="15"/>
      <c r="W59" s="15"/>
      <c r="X59" s="15"/>
      <c r="Y59" s="78"/>
      <c r="Z59" s="22"/>
      <c r="AA59" s="22"/>
      <c r="AB59" s="22"/>
      <c r="AC59" s="22"/>
      <c r="AD59" s="22"/>
      <c r="AE59" s="22"/>
      <c r="AF59" s="22"/>
      <c r="AG59" s="22"/>
      <c r="AH59" s="22"/>
      <c r="AI59" s="83"/>
      <c r="AJ59" s="23"/>
      <c r="AK59" s="23"/>
      <c r="AL59" s="23"/>
      <c r="AM59" s="23"/>
      <c r="AN59" s="23"/>
      <c r="AO59" s="23"/>
      <c r="AP59" s="23"/>
      <c r="AQ59" s="36">
        <f t="shared" si="1"/>
        <v>0</v>
      </c>
      <c r="AR59" s="36">
        <f t="shared" si="1"/>
        <v>0</v>
      </c>
      <c r="AS59" s="36">
        <f t="shared" si="2"/>
        <v>0</v>
      </c>
    </row>
    <row r="60" spans="1:45" ht="19.95" customHeight="1">
      <c r="A60" s="21" t="s">
        <v>197</v>
      </c>
      <c r="B60" s="21" t="s">
        <v>198</v>
      </c>
      <c r="C60" s="21" t="s">
        <v>183</v>
      </c>
      <c r="D60" s="111" t="s">
        <v>8</v>
      </c>
      <c r="E60" s="23"/>
      <c r="F60" s="23"/>
      <c r="G60" s="14" t="s">
        <v>61</v>
      </c>
      <c r="H60" s="14"/>
      <c r="I60" s="14"/>
      <c r="J60" s="14"/>
      <c r="K60" s="14"/>
      <c r="L60" s="14"/>
      <c r="M60" s="14"/>
      <c r="N60" s="14"/>
      <c r="O60" s="14"/>
      <c r="P60" s="15"/>
      <c r="Q60" s="15"/>
      <c r="R60" s="15"/>
      <c r="S60" s="15"/>
      <c r="T60" s="15"/>
      <c r="U60" s="15"/>
      <c r="V60" s="15"/>
      <c r="W60" s="15"/>
      <c r="X60" s="15"/>
      <c r="Y60" s="78"/>
      <c r="Z60" s="22"/>
      <c r="AA60" s="22"/>
      <c r="AB60" s="22"/>
      <c r="AC60" s="22"/>
      <c r="AD60" s="22"/>
      <c r="AE60" s="22"/>
      <c r="AF60" s="22"/>
      <c r="AG60" s="22"/>
      <c r="AH60" s="22"/>
      <c r="AI60" s="83"/>
      <c r="AJ60" s="23"/>
      <c r="AK60" s="23"/>
      <c r="AL60" s="23"/>
      <c r="AM60" s="23"/>
      <c r="AN60" s="23"/>
      <c r="AO60" s="23"/>
      <c r="AP60" s="23"/>
      <c r="AQ60" s="36">
        <f t="shared" si="1"/>
        <v>0</v>
      </c>
      <c r="AR60" s="36">
        <f t="shared" si="1"/>
        <v>0</v>
      </c>
      <c r="AS60" s="36">
        <f t="shared" si="2"/>
        <v>0</v>
      </c>
    </row>
    <row r="61" spans="1:45" ht="19.95" customHeight="1">
      <c r="A61" s="37" t="s">
        <v>289</v>
      </c>
      <c r="B61" s="37" t="s">
        <v>290</v>
      </c>
      <c r="C61" s="23" t="s">
        <v>307</v>
      </c>
      <c r="D61" s="40" t="s">
        <v>7</v>
      </c>
      <c r="E61" s="23" t="s">
        <v>7</v>
      </c>
      <c r="F61" s="23"/>
      <c r="G61" s="14" t="s">
        <v>7</v>
      </c>
      <c r="H61" s="14"/>
      <c r="I61" s="14"/>
      <c r="J61" s="14"/>
      <c r="K61" s="14"/>
      <c r="L61" s="14"/>
      <c r="M61" s="14"/>
      <c r="N61" s="14"/>
      <c r="O61" s="14"/>
      <c r="P61" s="15"/>
      <c r="Q61" s="15"/>
      <c r="R61" s="15"/>
      <c r="S61" s="15"/>
      <c r="T61" s="15"/>
      <c r="U61" s="15"/>
      <c r="V61" s="15"/>
      <c r="W61" s="15"/>
      <c r="X61" s="15"/>
      <c r="Y61" s="78"/>
      <c r="Z61" s="22"/>
      <c r="AA61" s="22"/>
      <c r="AB61" s="22"/>
      <c r="AC61" s="22"/>
      <c r="AD61" s="22"/>
      <c r="AE61" s="22"/>
      <c r="AF61" s="22"/>
      <c r="AG61" s="22"/>
      <c r="AH61" s="22"/>
      <c r="AI61" s="83"/>
      <c r="AJ61" s="23"/>
      <c r="AK61" s="23"/>
      <c r="AL61" s="23"/>
      <c r="AM61" s="23"/>
      <c r="AN61" s="23"/>
      <c r="AO61" s="23"/>
      <c r="AP61" s="23"/>
      <c r="AQ61" s="36">
        <f t="shared" si="1"/>
        <v>0</v>
      </c>
      <c r="AR61" s="36">
        <f t="shared" si="1"/>
        <v>0</v>
      </c>
      <c r="AS61" s="36">
        <f t="shared" si="2"/>
        <v>0</v>
      </c>
    </row>
    <row r="62" spans="1:45" ht="19.95" customHeight="1">
      <c r="A62" s="131" t="s">
        <v>292</v>
      </c>
      <c r="B62" s="132" t="s">
        <v>293</v>
      </c>
      <c r="C62" s="23" t="s">
        <v>183</v>
      </c>
      <c r="D62" s="40" t="s">
        <v>8</v>
      </c>
      <c r="E62" s="23"/>
      <c r="F62" s="23"/>
      <c r="G62" s="14" t="s">
        <v>61</v>
      </c>
      <c r="H62" s="14"/>
      <c r="I62" s="14"/>
      <c r="J62" s="14"/>
      <c r="K62" s="14"/>
      <c r="L62" s="14"/>
      <c r="M62" s="14"/>
      <c r="N62" s="14"/>
      <c r="O62" s="14"/>
      <c r="P62" s="15"/>
      <c r="Q62" s="15"/>
      <c r="R62" s="15"/>
      <c r="S62" s="15"/>
      <c r="T62" s="15"/>
      <c r="U62" s="15"/>
      <c r="V62" s="15"/>
      <c r="W62" s="15"/>
      <c r="X62" s="15"/>
      <c r="Y62" s="78"/>
      <c r="Z62" s="22"/>
      <c r="AA62" s="22"/>
      <c r="AB62" s="22"/>
      <c r="AC62" s="22"/>
      <c r="AD62" s="22"/>
      <c r="AE62" s="22"/>
      <c r="AF62" s="22"/>
      <c r="AG62" s="22"/>
      <c r="AH62" s="22"/>
      <c r="AI62" s="83"/>
      <c r="AJ62" s="23"/>
      <c r="AK62" s="23"/>
      <c r="AL62" s="23"/>
      <c r="AM62" s="23"/>
      <c r="AN62" s="23"/>
      <c r="AO62" s="23"/>
      <c r="AP62" s="23"/>
      <c r="AQ62" s="36">
        <f t="shared" si="1"/>
        <v>0</v>
      </c>
      <c r="AR62" s="36">
        <f t="shared" si="1"/>
        <v>0</v>
      </c>
      <c r="AS62" s="36">
        <f t="shared" si="2"/>
        <v>0</v>
      </c>
    </row>
    <row r="63" spans="1:45" ht="19.95" customHeight="1">
      <c r="A63" s="131" t="s">
        <v>294</v>
      </c>
      <c r="B63" s="132" t="s">
        <v>295</v>
      </c>
      <c r="C63" s="23" t="s">
        <v>183</v>
      </c>
      <c r="D63" s="40" t="s">
        <v>7</v>
      </c>
      <c r="E63" s="23" t="s">
        <v>7</v>
      </c>
      <c r="F63" s="23"/>
      <c r="G63" s="14" t="s">
        <v>7</v>
      </c>
      <c r="H63" s="14"/>
      <c r="I63" s="14"/>
      <c r="J63" s="14"/>
      <c r="K63" s="14"/>
      <c r="L63" s="14"/>
      <c r="M63" s="14"/>
      <c r="N63" s="14"/>
      <c r="O63" s="14"/>
      <c r="P63" s="15"/>
      <c r="Q63" s="15"/>
      <c r="R63" s="15"/>
      <c r="S63" s="15"/>
      <c r="T63" s="15"/>
      <c r="U63" s="15"/>
      <c r="V63" s="15"/>
      <c r="W63" s="15"/>
      <c r="X63" s="15"/>
      <c r="Y63" s="78"/>
      <c r="Z63" s="22"/>
      <c r="AA63" s="22"/>
      <c r="AB63" s="22"/>
      <c r="AC63" s="22"/>
      <c r="AD63" s="22"/>
      <c r="AE63" s="22"/>
      <c r="AF63" s="22"/>
      <c r="AG63" s="22"/>
      <c r="AH63" s="22"/>
      <c r="AI63" s="83"/>
      <c r="AJ63" s="23"/>
      <c r="AK63" s="23"/>
      <c r="AL63" s="23"/>
      <c r="AM63" s="23"/>
      <c r="AN63" s="23"/>
      <c r="AO63" s="23"/>
      <c r="AP63" s="23"/>
      <c r="AQ63" s="36">
        <f t="shared" si="1"/>
        <v>0</v>
      </c>
      <c r="AR63" s="36">
        <f t="shared" si="1"/>
        <v>0</v>
      </c>
      <c r="AS63" s="36">
        <f t="shared" si="2"/>
        <v>0</v>
      </c>
    </row>
    <row r="64" spans="1:45" ht="19.95" customHeight="1">
      <c r="A64" s="131" t="s">
        <v>296</v>
      </c>
      <c r="B64" s="132" t="s">
        <v>297</v>
      </c>
      <c r="C64" s="23" t="s">
        <v>183</v>
      </c>
      <c r="D64" s="40" t="s">
        <v>10</v>
      </c>
      <c r="E64" s="23"/>
      <c r="F64" s="23"/>
      <c r="G64" s="14" t="s">
        <v>92</v>
      </c>
      <c r="H64" s="14"/>
      <c r="I64" s="14"/>
      <c r="J64" s="14"/>
      <c r="K64" s="14"/>
      <c r="L64" s="14"/>
      <c r="M64" s="14"/>
      <c r="N64" s="14"/>
      <c r="O64" s="14"/>
      <c r="P64" s="15"/>
      <c r="Q64" s="15"/>
      <c r="R64" s="15"/>
      <c r="S64" s="15"/>
      <c r="T64" s="15"/>
      <c r="U64" s="15"/>
      <c r="V64" s="15"/>
      <c r="W64" s="15"/>
      <c r="X64" s="15"/>
      <c r="Y64" s="78"/>
      <c r="Z64" s="22"/>
      <c r="AA64" s="22"/>
      <c r="AB64" s="22"/>
      <c r="AC64" s="22"/>
      <c r="AD64" s="22"/>
      <c r="AE64" s="22"/>
      <c r="AF64" s="22"/>
      <c r="AG64" s="22"/>
      <c r="AH64" s="22"/>
      <c r="AI64" s="83"/>
      <c r="AJ64" s="23"/>
      <c r="AK64" s="23"/>
      <c r="AL64" s="23"/>
      <c r="AM64" s="23"/>
      <c r="AN64" s="23"/>
      <c r="AO64" s="23"/>
      <c r="AP64" s="23"/>
      <c r="AQ64" s="36">
        <f t="shared" si="1"/>
        <v>0</v>
      </c>
      <c r="AR64" s="36">
        <f t="shared" si="1"/>
        <v>0</v>
      </c>
      <c r="AS64" s="36">
        <f t="shared" si="2"/>
        <v>0</v>
      </c>
    </row>
    <row r="65" spans="1:45" ht="19.95" customHeight="1">
      <c r="A65" s="131" t="s">
        <v>298</v>
      </c>
      <c r="B65" s="132" t="s">
        <v>299</v>
      </c>
      <c r="C65" s="23" t="s">
        <v>183</v>
      </c>
      <c r="D65" s="40" t="s">
        <v>8</v>
      </c>
      <c r="E65" s="23" t="s">
        <v>310</v>
      </c>
      <c r="F65" s="23"/>
      <c r="G65" s="14" t="s">
        <v>61</v>
      </c>
      <c r="H65" s="14" t="s">
        <v>59</v>
      </c>
      <c r="I65" s="14">
        <v>400</v>
      </c>
      <c r="J65" s="14"/>
      <c r="K65" s="14" t="s">
        <v>60</v>
      </c>
      <c r="L65" s="14" t="s">
        <v>355</v>
      </c>
      <c r="M65" s="14">
        <v>2.2200000000000002</v>
      </c>
      <c r="N65" s="14">
        <v>19.5</v>
      </c>
      <c r="O65" s="14">
        <v>-30.13</v>
      </c>
      <c r="P65" s="15" t="s">
        <v>298</v>
      </c>
      <c r="Q65" s="15" t="s">
        <v>299</v>
      </c>
      <c r="R65" s="15">
        <v>9.7600741000000006</v>
      </c>
      <c r="S65" s="15">
        <v>80.116531199999997</v>
      </c>
      <c r="T65" s="15">
        <v>3.61</v>
      </c>
      <c r="U65" s="15">
        <v>21840</v>
      </c>
      <c r="V65" s="15">
        <v>0.6</v>
      </c>
      <c r="W65" s="15">
        <v>2</v>
      </c>
      <c r="X65" s="15">
        <v>18</v>
      </c>
      <c r="Y65" s="78" t="s">
        <v>356</v>
      </c>
      <c r="Z65" s="22" t="s">
        <v>357</v>
      </c>
      <c r="AA65" s="22" t="s">
        <v>358</v>
      </c>
      <c r="AB65" s="22">
        <v>9.7800440000000002</v>
      </c>
      <c r="AC65" s="22">
        <v>80.117343000000005</v>
      </c>
      <c r="AD65" s="22">
        <v>10.36</v>
      </c>
      <c r="AE65" s="22">
        <v>23072</v>
      </c>
      <c r="AF65" s="22">
        <v>0.6</v>
      </c>
      <c r="AG65" s="22">
        <v>182</v>
      </c>
      <c r="AH65" s="22">
        <v>25</v>
      </c>
      <c r="AI65" s="83" t="s">
        <v>359</v>
      </c>
      <c r="AJ65" s="23" t="s">
        <v>366</v>
      </c>
      <c r="AK65" s="23" t="s">
        <v>364</v>
      </c>
      <c r="AL65" s="23" t="s">
        <v>365</v>
      </c>
      <c r="AM65" s="23" t="s">
        <v>363</v>
      </c>
      <c r="AN65" s="23" t="s">
        <v>367</v>
      </c>
      <c r="AO65" s="23" t="s">
        <v>85</v>
      </c>
      <c r="AP65" s="23"/>
      <c r="AQ65" s="36" t="str">
        <f t="shared" si="1"/>
        <v>JA0191</v>
      </c>
      <c r="AR65" s="36" t="str">
        <f t="shared" si="1"/>
        <v>Achchuweli_Town</v>
      </c>
      <c r="AS65" s="36" t="str">
        <f t="shared" si="2"/>
        <v>23G3431</v>
      </c>
    </row>
    <row r="66" spans="1:45" ht="19.95" customHeight="1">
      <c r="A66" s="131" t="s">
        <v>300</v>
      </c>
      <c r="B66" s="132" t="s">
        <v>301</v>
      </c>
      <c r="C66" s="23" t="s">
        <v>183</v>
      </c>
      <c r="D66" s="40" t="s">
        <v>8</v>
      </c>
      <c r="E66" s="23" t="s">
        <v>311</v>
      </c>
      <c r="F66" s="23"/>
      <c r="G66" s="14" t="s">
        <v>61</v>
      </c>
      <c r="H66" s="14" t="s">
        <v>59</v>
      </c>
      <c r="I66" s="14">
        <v>400</v>
      </c>
      <c r="J66" s="14"/>
      <c r="K66" s="14" t="s">
        <v>60</v>
      </c>
      <c r="L66" s="14" t="s">
        <v>344</v>
      </c>
      <c r="M66" s="14">
        <v>1.24</v>
      </c>
      <c r="N66" s="14">
        <v>19.5</v>
      </c>
      <c r="O66" s="14">
        <v>-30.27</v>
      </c>
      <c r="P66" s="15" t="s">
        <v>300</v>
      </c>
      <c r="Q66" s="15" t="s">
        <v>345</v>
      </c>
      <c r="R66" s="15">
        <v>7.4615020000000003</v>
      </c>
      <c r="S66" s="15">
        <v>80.464960000000005</v>
      </c>
      <c r="T66" s="15">
        <v>0</v>
      </c>
      <c r="U66" s="15">
        <v>21840</v>
      </c>
      <c r="V66" s="15">
        <v>0.3</v>
      </c>
      <c r="W66" s="15">
        <v>21</v>
      </c>
      <c r="X66" s="15">
        <v>27</v>
      </c>
      <c r="Y66" s="78" t="s">
        <v>346</v>
      </c>
      <c r="Z66" s="22" t="s">
        <v>347</v>
      </c>
      <c r="AA66" s="22" t="s">
        <v>348</v>
      </c>
      <c r="AB66" s="22">
        <v>7.471959</v>
      </c>
      <c r="AC66" s="22">
        <v>80.468930999999998</v>
      </c>
      <c r="AD66" s="22">
        <v>0</v>
      </c>
      <c r="AE66" s="22">
        <v>23072</v>
      </c>
      <c r="AF66" s="22">
        <v>0.6</v>
      </c>
      <c r="AG66" s="22">
        <v>201</v>
      </c>
      <c r="AH66" s="22">
        <v>30</v>
      </c>
      <c r="AI66" s="83" t="s">
        <v>349</v>
      </c>
      <c r="AJ66" s="23" t="s">
        <v>353</v>
      </c>
      <c r="AK66" s="23" t="s">
        <v>351</v>
      </c>
      <c r="AL66" s="23" t="s">
        <v>352</v>
      </c>
      <c r="AM66" s="23" t="s">
        <v>350</v>
      </c>
      <c r="AN66" s="23" t="s">
        <v>354</v>
      </c>
      <c r="AO66" s="23" t="s">
        <v>130</v>
      </c>
      <c r="AP66" s="23"/>
      <c r="AQ66" s="36" t="str">
        <f t="shared" si="1"/>
        <v>KU0144</v>
      </c>
      <c r="AR66" s="36" t="str">
        <f t="shared" si="1"/>
        <v>Welagedara</v>
      </c>
      <c r="AS66" s="36" t="str">
        <f t="shared" si="2"/>
        <v>23G3461</v>
      </c>
    </row>
    <row r="67" spans="1:45" ht="19.95" customHeight="1">
      <c r="A67" s="131" t="s">
        <v>303</v>
      </c>
      <c r="B67" s="132" t="s">
        <v>304</v>
      </c>
      <c r="C67" s="23" t="s">
        <v>181</v>
      </c>
      <c r="D67" s="40" t="s">
        <v>7</v>
      </c>
      <c r="E67" s="23" t="s">
        <v>7</v>
      </c>
      <c r="F67" s="23"/>
      <c r="G67" s="14" t="s">
        <v>7</v>
      </c>
      <c r="H67" s="14"/>
      <c r="I67" s="14"/>
      <c r="J67" s="14"/>
      <c r="K67" s="14"/>
      <c r="L67" s="14"/>
      <c r="M67" s="14"/>
      <c r="N67" s="14"/>
      <c r="O67" s="14"/>
      <c r="P67" s="15"/>
      <c r="Q67" s="15"/>
      <c r="R67" s="15"/>
      <c r="S67" s="15"/>
      <c r="T67" s="15"/>
      <c r="U67" s="15"/>
      <c r="V67" s="15"/>
      <c r="W67" s="15"/>
      <c r="X67" s="15"/>
      <c r="Y67" s="78"/>
      <c r="Z67" s="22"/>
      <c r="AA67" s="22"/>
      <c r="AB67" s="22"/>
      <c r="AC67" s="22"/>
      <c r="AD67" s="22"/>
      <c r="AE67" s="22"/>
      <c r="AF67" s="22"/>
      <c r="AG67" s="22"/>
      <c r="AH67" s="22"/>
      <c r="AI67" s="83"/>
      <c r="AJ67" s="23"/>
      <c r="AK67" s="23"/>
      <c r="AL67" s="23"/>
      <c r="AM67" s="23"/>
      <c r="AN67" s="23"/>
      <c r="AO67" s="23"/>
      <c r="AP67" s="23"/>
      <c r="AQ67" s="36">
        <f t="shared" si="1"/>
        <v>0</v>
      </c>
      <c r="AR67" s="36">
        <f t="shared" si="1"/>
        <v>0</v>
      </c>
      <c r="AS67" s="36">
        <f t="shared" si="2"/>
        <v>0</v>
      </c>
    </row>
    <row r="68" spans="1:45" ht="19.95" customHeight="1">
      <c r="A68" s="131" t="s">
        <v>305</v>
      </c>
      <c r="B68" s="132" t="s">
        <v>306</v>
      </c>
      <c r="C68" s="23" t="s">
        <v>183</v>
      </c>
      <c r="D68" s="40" t="s">
        <v>10</v>
      </c>
      <c r="E68" s="23"/>
      <c r="F68" s="23"/>
      <c r="G68" s="14" t="s">
        <v>92</v>
      </c>
      <c r="H68" s="14"/>
      <c r="I68" s="14"/>
      <c r="J68" s="14"/>
      <c r="K68" s="14"/>
      <c r="L68" s="14"/>
      <c r="M68" s="14"/>
      <c r="N68" s="14"/>
      <c r="O68" s="14"/>
      <c r="P68" s="15"/>
      <c r="Q68" s="15"/>
      <c r="R68" s="15"/>
      <c r="S68" s="15"/>
      <c r="T68" s="15"/>
      <c r="U68" s="15"/>
      <c r="V68" s="15"/>
      <c r="W68" s="15"/>
      <c r="X68" s="15"/>
      <c r="Y68" s="78"/>
      <c r="Z68" s="22"/>
      <c r="AA68" s="22"/>
      <c r="AB68" s="22"/>
      <c r="AC68" s="22"/>
      <c r="AD68" s="22"/>
      <c r="AE68" s="22"/>
      <c r="AF68" s="22"/>
      <c r="AG68" s="22"/>
      <c r="AH68" s="22"/>
      <c r="AI68" s="83"/>
      <c r="AJ68" s="23"/>
      <c r="AK68" s="23"/>
      <c r="AL68" s="23"/>
      <c r="AM68" s="23"/>
      <c r="AN68" s="23"/>
      <c r="AO68" s="23"/>
      <c r="AP68" s="23"/>
      <c r="AQ68" s="36">
        <f t="shared" si="1"/>
        <v>0</v>
      </c>
      <c r="AR68" s="36">
        <f t="shared" si="1"/>
        <v>0</v>
      </c>
      <c r="AS68" s="36">
        <f t="shared" si="2"/>
        <v>0</v>
      </c>
    </row>
    <row r="69" spans="1:45" ht="19.95" customHeight="1"/>
    <row r="70" spans="1:45" ht="19.95" customHeight="1"/>
    <row r="71" spans="1:45" ht="19.95" customHeight="1"/>
    <row r="72" spans="1:45" ht="19.95" customHeight="1"/>
    <row r="73" spans="1:45" ht="19.95" customHeight="1"/>
    <row r="74" spans="1:45" ht="19.95" customHeight="1"/>
    <row r="75" spans="1:45" ht="19.95" customHeight="1"/>
    <row r="76" spans="1:45" ht="19.95" customHeight="1"/>
    <row r="77" spans="1:45" ht="19.95" customHeight="1"/>
    <row r="78" spans="1:45" ht="19.95" customHeight="1"/>
    <row r="79" spans="1:45" ht="19.95" customHeight="1"/>
    <row r="80" spans="1:45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  <row r="208" ht="19.95" customHeight="1"/>
    <row r="209" ht="19.95" customHeight="1"/>
    <row r="210" ht="19.95" customHeight="1"/>
    <row r="211" ht="19.95" customHeight="1"/>
    <row r="212" ht="19.95" customHeight="1"/>
    <row r="213" ht="19.95" customHeight="1"/>
    <row r="214" ht="19.95" customHeight="1"/>
    <row r="215" ht="19.95" customHeight="1"/>
    <row r="216" ht="19.95" customHeight="1"/>
    <row r="217" ht="19.95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9.95" customHeight="1"/>
    <row r="238" ht="19.95" customHeight="1"/>
    <row r="239" ht="19.95" customHeight="1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9.95" customHeight="1"/>
    <row r="255" ht="19.95" customHeight="1"/>
    <row r="256" ht="19.95" customHeight="1"/>
    <row r="257" ht="19.95" customHeight="1"/>
    <row r="258" ht="19.95" customHeight="1"/>
    <row r="259" ht="19.95" customHeight="1"/>
    <row r="260" ht="19.95" customHeight="1"/>
    <row r="261" ht="19.95" customHeight="1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</sheetData>
  <autoFilter ref="A2:AS34" xr:uid="{855213FB-4511-4A50-B6B8-D99725A90955}"/>
  <phoneticPr fontId="19" type="noConversion"/>
  <conditionalFormatting sqref="A1:A2 A69:A1048576">
    <cfRule type="duplicateValues" dxfId="243" priority="116"/>
  </conditionalFormatting>
  <conditionalFormatting sqref="Z17">
    <cfRule type="duplicateValues" dxfId="242" priority="115"/>
  </conditionalFormatting>
  <conditionalFormatting sqref="P25">
    <cfRule type="duplicateValues" dxfId="241" priority="111"/>
    <cfRule type="duplicateValues" dxfId="240" priority="112"/>
    <cfRule type="duplicateValues" dxfId="239" priority="114"/>
  </conditionalFormatting>
  <conditionalFormatting sqref="P25">
    <cfRule type="duplicateValues" dxfId="238" priority="113"/>
  </conditionalFormatting>
  <conditionalFormatting sqref="Q25">
    <cfRule type="duplicateValues" dxfId="237" priority="110"/>
  </conditionalFormatting>
  <conditionalFormatting sqref="P13">
    <cfRule type="duplicateValues" dxfId="236" priority="106"/>
    <cfRule type="duplicateValues" dxfId="235" priority="107"/>
    <cfRule type="duplicateValues" dxfId="234" priority="109"/>
  </conditionalFormatting>
  <conditionalFormatting sqref="P13">
    <cfRule type="duplicateValues" dxfId="233" priority="108"/>
  </conditionalFormatting>
  <conditionalFormatting sqref="Q13">
    <cfRule type="duplicateValues" dxfId="232" priority="105"/>
  </conditionalFormatting>
  <conditionalFormatting sqref="P21">
    <cfRule type="duplicateValues" dxfId="231" priority="104"/>
  </conditionalFormatting>
  <conditionalFormatting sqref="P21">
    <cfRule type="duplicateValues" dxfId="230" priority="98"/>
    <cfRule type="duplicateValues" dxfId="229" priority="99"/>
    <cfRule type="duplicateValues" dxfId="228" priority="100"/>
    <cfRule type="duplicateValues" dxfId="227" priority="101"/>
    <cfRule type="duplicateValues" dxfId="226" priority="102"/>
    <cfRule type="duplicateValues" dxfId="225" priority="103"/>
  </conditionalFormatting>
  <conditionalFormatting sqref="AQ17">
    <cfRule type="duplicateValues" dxfId="224" priority="97"/>
  </conditionalFormatting>
  <conditionalFormatting sqref="A3:A10">
    <cfRule type="duplicateValues" dxfId="223" priority="93"/>
    <cfRule type="duplicateValues" dxfId="222" priority="94"/>
    <cfRule type="duplicateValues" dxfId="221" priority="96"/>
  </conditionalFormatting>
  <conditionalFormatting sqref="A3:A12">
    <cfRule type="duplicateValues" dxfId="220" priority="95"/>
  </conditionalFormatting>
  <conditionalFormatting sqref="A11:A12">
    <cfRule type="duplicateValues" dxfId="219" priority="87"/>
    <cfRule type="duplicateValues" dxfId="218" priority="88"/>
    <cfRule type="duplicateValues" dxfId="217" priority="89"/>
    <cfRule type="duplicateValues" dxfId="216" priority="90"/>
    <cfRule type="duplicateValues" dxfId="215" priority="91"/>
    <cfRule type="duplicateValues" dxfId="214" priority="92"/>
  </conditionalFormatting>
  <conditionalFormatting sqref="B3:B10">
    <cfRule type="duplicateValues" dxfId="213" priority="86"/>
  </conditionalFormatting>
  <conditionalFormatting sqref="Z8">
    <cfRule type="duplicateValues" dxfId="212" priority="85"/>
  </conditionalFormatting>
  <conditionalFormatting sqref="P6">
    <cfRule type="duplicateValues" dxfId="211" priority="81"/>
    <cfRule type="duplicateValues" dxfId="210" priority="82"/>
    <cfRule type="duplicateValues" dxfId="209" priority="84"/>
  </conditionalFormatting>
  <conditionalFormatting sqref="P6">
    <cfRule type="duplicateValues" dxfId="208" priority="83"/>
  </conditionalFormatting>
  <conditionalFormatting sqref="Q6">
    <cfRule type="duplicateValues" dxfId="207" priority="80"/>
  </conditionalFormatting>
  <conditionalFormatting sqref="P3">
    <cfRule type="duplicateValues" dxfId="206" priority="76"/>
    <cfRule type="duplicateValues" dxfId="205" priority="77"/>
    <cfRule type="duplicateValues" dxfId="204" priority="79"/>
  </conditionalFormatting>
  <conditionalFormatting sqref="P3">
    <cfRule type="duplicateValues" dxfId="203" priority="78"/>
  </conditionalFormatting>
  <conditionalFormatting sqref="Q3">
    <cfRule type="duplicateValues" dxfId="202" priority="75"/>
  </conditionalFormatting>
  <conditionalFormatting sqref="P12">
    <cfRule type="duplicateValues" dxfId="201" priority="74"/>
  </conditionalFormatting>
  <conditionalFormatting sqref="P12">
    <cfRule type="duplicateValues" dxfId="200" priority="68"/>
    <cfRule type="duplicateValues" dxfId="199" priority="69"/>
    <cfRule type="duplicateValues" dxfId="198" priority="70"/>
    <cfRule type="duplicateValues" dxfId="197" priority="71"/>
    <cfRule type="duplicateValues" dxfId="196" priority="72"/>
    <cfRule type="duplicateValues" dxfId="195" priority="73"/>
  </conditionalFormatting>
  <conditionalFormatting sqref="AQ8">
    <cfRule type="duplicateValues" dxfId="194" priority="67"/>
  </conditionalFormatting>
  <conditionalFormatting sqref="B28">
    <cfRule type="duplicateValues" dxfId="193" priority="66"/>
  </conditionalFormatting>
  <conditionalFormatting sqref="A28">
    <cfRule type="duplicateValues" dxfId="192" priority="65"/>
  </conditionalFormatting>
  <conditionalFormatting sqref="B29:B35">
    <cfRule type="duplicateValues" dxfId="191" priority="64"/>
  </conditionalFormatting>
  <conditionalFormatting sqref="A29:A35">
    <cfRule type="duplicateValues" dxfId="190" priority="63"/>
  </conditionalFormatting>
  <conditionalFormatting sqref="Q28">
    <cfRule type="duplicateValues" dxfId="189" priority="62"/>
  </conditionalFormatting>
  <conditionalFormatting sqref="P28">
    <cfRule type="duplicateValues" dxfId="188" priority="61"/>
  </conditionalFormatting>
  <conditionalFormatting sqref="Q29:Q36">
    <cfRule type="duplicateValues" dxfId="187" priority="60"/>
  </conditionalFormatting>
  <conditionalFormatting sqref="P29:P36">
    <cfRule type="duplicateValues" dxfId="186" priority="59"/>
  </conditionalFormatting>
  <conditionalFormatting sqref="A38:A39">
    <cfRule type="duplicateValues" dxfId="185" priority="48"/>
    <cfRule type="duplicateValues" dxfId="184" priority="49"/>
  </conditionalFormatting>
  <conditionalFormatting sqref="A38:A39">
    <cfRule type="duplicateValues" dxfId="183" priority="50"/>
  </conditionalFormatting>
  <conditionalFormatting sqref="A38:A39">
    <cfRule type="duplicateValues" dxfId="182" priority="51"/>
  </conditionalFormatting>
  <conditionalFormatting sqref="A38:A39">
    <cfRule type="duplicateValues" dxfId="181" priority="52"/>
  </conditionalFormatting>
  <conditionalFormatting sqref="A39">
    <cfRule type="duplicateValues" dxfId="180" priority="45"/>
    <cfRule type="duplicateValues" dxfId="179" priority="46"/>
    <cfRule type="duplicateValues" dxfId="178" priority="47"/>
  </conditionalFormatting>
  <conditionalFormatting sqref="A37:A40 A42:A46">
    <cfRule type="duplicateValues" dxfId="177" priority="44"/>
  </conditionalFormatting>
  <conditionalFormatting sqref="A37:A39">
    <cfRule type="duplicateValues" dxfId="176" priority="53"/>
  </conditionalFormatting>
  <conditionalFormatting sqref="A37">
    <cfRule type="duplicateValues" dxfId="175" priority="54"/>
    <cfRule type="duplicateValues" dxfId="174" priority="55"/>
    <cfRule type="duplicateValues" dxfId="173" priority="56"/>
  </conditionalFormatting>
  <conditionalFormatting sqref="A50:A51">
    <cfRule type="duplicateValues" dxfId="172" priority="37"/>
    <cfRule type="duplicateValues" dxfId="171" priority="38"/>
  </conditionalFormatting>
  <conditionalFormatting sqref="A50:A51">
    <cfRule type="duplicateValues" dxfId="170" priority="39"/>
  </conditionalFormatting>
  <conditionalFormatting sqref="A50:A51">
    <cfRule type="duplicateValues" dxfId="169" priority="40"/>
  </conditionalFormatting>
  <conditionalFormatting sqref="A50:A51">
    <cfRule type="duplicateValues" dxfId="168" priority="41"/>
  </conditionalFormatting>
  <conditionalFormatting sqref="A50:A51">
    <cfRule type="duplicateValues" dxfId="167" priority="42"/>
  </conditionalFormatting>
  <conditionalFormatting sqref="A47:A49">
    <cfRule type="duplicateValues" dxfId="166" priority="34"/>
    <cfRule type="duplicateValues" dxfId="165" priority="35"/>
    <cfRule type="duplicateValues" dxfId="164" priority="36"/>
  </conditionalFormatting>
  <conditionalFormatting sqref="A47">
    <cfRule type="duplicateValues" dxfId="163" priority="33"/>
  </conditionalFormatting>
  <conditionalFormatting sqref="A51">
    <cfRule type="duplicateValues" dxfId="162" priority="30"/>
    <cfRule type="duplicateValues" dxfId="161" priority="31"/>
    <cfRule type="duplicateValues" dxfId="160" priority="32"/>
  </conditionalFormatting>
  <conditionalFormatting sqref="A52:A55">
    <cfRule type="duplicateValues" dxfId="159" priority="29"/>
  </conditionalFormatting>
  <conditionalFormatting sqref="A52">
    <cfRule type="duplicateValues" dxfId="158" priority="23"/>
    <cfRule type="duplicateValues" dxfId="157" priority="24"/>
    <cfRule type="duplicateValues" dxfId="156" priority="25"/>
  </conditionalFormatting>
  <conditionalFormatting sqref="A52">
    <cfRule type="duplicateValues" dxfId="155" priority="26"/>
  </conditionalFormatting>
  <conditionalFormatting sqref="A52">
    <cfRule type="duplicateValues" dxfId="154" priority="27"/>
  </conditionalFormatting>
  <conditionalFormatting sqref="A52:A54">
    <cfRule type="duplicateValues" dxfId="153" priority="28"/>
  </conditionalFormatting>
  <conditionalFormatting sqref="A53">
    <cfRule type="duplicateValues" dxfId="152" priority="18"/>
  </conditionalFormatting>
  <conditionalFormatting sqref="A53:A54">
    <cfRule type="duplicateValues" dxfId="151" priority="19"/>
    <cfRule type="duplicateValues" dxfId="150" priority="20"/>
    <cfRule type="duplicateValues" dxfId="149" priority="21"/>
  </conditionalFormatting>
  <conditionalFormatting sqref="A53">
    <cfRule type="duplicateValues" dxfId="148" priority="22"/>
  </conditionalFormatting>
  <conditionalFormatting sqref="A55">
    <cfRule type="duplicateValues" dxfId="147" priority="14"/>
  </conditionalFormatting>
  <conditionalFormatting sqref="A55">
    <cfRule type="duplicateValues" dxfId="146" priority="15"/>
    <cfRule type="duplicateValues" dxfId="145" priority="16"/>
    <cfRule type="duplicateValues" dxfId="144" priority="17"/>
  </conditionalFormatting>
  <conditionalFormatting sqref="B55">
    <cfRule type="duplicateValues" dxfId="143" priority="13"/>
  </conditionalFormatting>
  <conditionalFormatting sqref="A56:A60">
    <cfRule type="duplicateValues" dxfId="142" priority="3"/>
    <cfRule type="duplicateValues" dxfId="141" priority="4"/>
    <cfRule type="duplicateValues" dxfId="140" priority="5"/>
    <cfRule type="duplicateValues" dxfId="139" priority="6"/>
    <cfRule type="duplicateValues" dxfId="138" priority="7"/>
    <cfRule type="duplicateValues" dxfId="137" priority="8"/>
    <cfRule type="duplicateValues" dxfId="136" priority="9"/>
    <cfRule type="duplicateValues" dxfId="135" priority="10"/>
    <cfRule type="duplicateValues" dxfId="134" priority="11"/>
    <cfRule type="duplicateValues" dxfId="133" priority="12"/>
  </conditionalFormatting>
  <conditionalFormatting sqref="A47:A51">
    <cfRule type="duplicateValues" dxfId="132" priority="43"/>
  </conditionalFormatting>
  <conditionalFormatting sqref="Q37:Q43">
    <cfRule type="duplicateValues" dxfId="131" priority="57"/>
  </conditionalFormatting>
  <conditionalFormatting sqref="P37:P43">
    <cfRule type="duplicateValues" dxfId="130" priority="58"/>
  </conditionalFormatting>
  <conditionalFormatting sqref="A61:B68">
    <cfRule type="duplicateValues" dxfId="129" priority="2"/>
  </conditionalFormatting>
  <conditionalFormatting sqref="A37:A68">
    <cfRule type="duplicateValues" dxfId="12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A94B-C4BC-4E1D-9AF1-A221E670E616}">
  <sheetPr codeName="Sheet3"/>
  <dimension ref="A1:T131"/>
  <sheetViews>
    <sheetView zoomScale="70" zoomScaleNormal="80" workbookViewId="0">
      <pane xSplit="6" ySplit="2" topLeftCell="L45" activePane="bottomRight" state="frozen"/>
      <selection activeCell="RR41" sqref="RR41"/>
      <selection pane="topRight" activeCell="RR41" sqref="RR41"/>
      <selection pane="bottomLeft" activeCell="RR41" sqref="RR41"/>
      <selection pane="bottomRight" activeCell="C31" sqref="C31"/>
    </sheetView>
  </sheetViews>
  <sheetFormatPr defaultColWidth="8.88671875" defaultRowHeight="13.8"/>
  <cols>
    <col min="1" max="1" width="7.88671875" style="146" bestFit="1" customWidth="1"/>
    <col min="2" max="2" width="28.33203125" style="109" bestFit="1" customWidth="1"/>
    <col min="3" max="3" width="35.5546875" style="109" bestFit="1" customWidth="1"/>
    <col min="4" max="4" width="14" style="109" bestFit="1" customWidth="1"/>
    <col min="5" max="5" width="16.21875" style="109" bestFit="1" customWidth="1"/>
    <col min="6" max="6" width="14" style="109" customWidth="1"/>
    <col min="7" max="7" width="50.44140625" style="109" bestFit="1" customWidth="1"/>
    <col min="8" max="10" width="18.44140625" style="24" customWidth="1"/>
    <col min="11" max="12" width="42.33203125" style="110" customWidth="1"/>
    <col min="13" max="13" width="27.5546875" style="24" customWidth="1"/>
    <col min="14" max="14" width="7.88671875" style="109" bestFit="1" customWidth="1"/>
    <col min="15" max="15" width="29.77734375" style="109" bestFit="1" customWidth="1"/>
    <col min="16" max="16" width="12.33203125" style="109" bestFit="1" customWidth="1"/>
    <col min="17" max="17" width="7.88671875" style="109" bestFit="1" customWidth="1"/>
    <col min="18" max="18" width="26.33203125" style="109" bestFit="1" customWidth="1"/>
    <col min="19" max="19" width="14.44140625" style="109" bestFit="1" customWidth="1"/>
    <col min="20" max="20" width="8.88671875" style="108"/>
    <col min="21" max="16384" width="8.88671875" style="109"/>
  </cols>
  <sheetData>
    <row r="1" spans="1:20" s="88" customFormat="1" ht="30" customHeight="1">
      <c r="A1" s="73" t="s">
        <v>0</v>
      </c>
      <c r="B1" s="73" t="s">
        <v>18</v>
      </c>
      <c r="C1" s="101" t="s">
        <v>118</v>
      </c>
      <c r="D1" s="74" t="s">
        <v>21</v>
      </c>
      <c r="E1" s="74" t="s">
        <v>152</v>
      </c>
      <c r="F1" s="74" t="s">
        <v>3</v>
      </c>
      <c r="G1" s="75" t="s">
        <v>13</v>
      </c>
      <c r="H1" s="75" t="s">
        <v>93</v>
      </c>
      <c r="I1" s="75" t="s">
        <v>79</v>
      </c>
      <c r="J1" s="75" t="s">
        <v>75</v>
      </c>
      <c r="K1" s="75" t="s">
        <v>16</v>
      </c>
      <c r="L1" s="75" t="s">
        <v>149</v>
      </c>
      <c r="M1" s="73" t="s">
        <v>22</v>
      </c>
      <c r="N1" s="218" t="s">
        <v>23</v>
      </c>
      <c r="O1" s="218"/>
      <c r="P1" s="73" t="s">
        <v>72</v>
      </c>
      <c r="Q1" s="218" t="s">
        <v>24</v>
      </c>
      <c r="R1" s="218"/>
      <c r="S1" s="73" t="s">
        <v>72</v>
      </c>
      <c r="T1" s="107"/>
    </row>
    <row r="2" spans="1:20" s="88" customFormat="1" ht="19.95" customHeight="1">
      <c r="A2" s="166">
        <f t="shared" ref="A2:K2" si="0">SUBTOTAL(103, A3:A136)</f>
        <v>55</v>
      </c>
      <c r="B2" s="166">
        <f t="shared" si="0"/>
        <v>55</v>
      </c>
      <c r="C2" s="166">
        <f t="shared" si="0"/>
        <v>59</v>
      </c>
      <c r="D2" s="166">
        <f t="shared" si="0"/>
        <v>59</v>
      </c>
      <c r="E2" s="166">
        <f t="shared" si="0"/>
        <v>59</v>
      </c>
      <c r="F2" s="166">
        <f t="shared" si="0"/>
        <v>45</v>
      </c>
      <c r="G2" s="166">
        <f t="shared" si="0"/>
        <v>49</v>
      </c>
      <c r="H2" s="166">
        <f t="shared" si="0"/>
        <v>38</v>
      </c>
      <c r="I2" s="166">
        <f t="shared" si="0"/>
        <v>25</v>
      </c>
      <c r="J2" s="166">
        <f t="shared" si="0"/>
        <v>41</v>
      </c>
      <c r="K2" s="166">
        <f t="shared" si="0"/>
        <v>29</v>
      </c>
      <c r="L2" s="166"/>
      <c r="M2" s="166">
        <f t="shared" ref="M2:S2" si="1">SUBTOTAL(103, M3:M136)</f>
        <v>49</v>
      </c>
      <c r="N2" s="166">
        <f t="shared" si="1"/>
        <v>47</v>
      </c>
      <c r="O2" s="166">
        <f t="shared" si="1"/>
        <v>47</v>
      </c>
      <c r="P2" s="166">
        <f t="shared" si="1"/>
        <v>37</v>
      </c>
      <c r="Q2" s="166">
        <f t="shared" si="1"/>
        <v>47</v>
      </c>
      <c r="R2" s="166">
        <f t="shared" si="1"/>
        <v>47</v>
      </c>
      <c r="S2" s="166">
        <f t="shared" si="1"/>
        <v>39</v>
      </c>
      <c r="T2" s="107"/>
    </row>
    <row r="3" spans="1:20" ht="19.95" customHeight="1">
      <c r="A3" s="31" t="s">
        <v>501</v>
      </c>
      <c r="B3" s="31" t="s">
        <v>502</v>
      </c>
      <c r="C3" s="31" t="s">
        <v>503</v>
      </c>
      <c r="D3" s="267" t="s">
        <v>560</v>
      </c>
      <c r="E3" s="130" t="str">
        <f>VLOOKUP(A3,'[2]Tx Design'!A:E, 5,)</f>
        <v>MW_2026_1702</v>
      </c>
      <c r="F3" s="267" t="s">
        <v>86</v>
      </c>
      <c r="G3" s="31" t="s">
        <v>14</v>
      </c>
      <c r="H3" s="76">
        <v>46133</v>
      </c>
      <c r="I3" s="30" t="s">
        <v>978</v>
      </c>
      <c r="J3" s="30" t="s">
        <v>61</v>
      </c>
      <c r="K3" s="268"/>
      <c r="L3" s="268"/>
      <c r="M3" s="30" t="s">
        <v>979</v>
      </c>
      <c r="N3" s="31" t="s">
        <v>980</v>
      </c>
      <c r="O3" s="31" t="s">
        <v>981</v>
      </c>
      <c r="P3" s="30" t="s">
        <v>73</v>
      </c>
      <c r="Q3" s="31" t="s">
        <v>982</v>
      </c>
      <c r="R3" s="31" t="s">
        <v>983</v>
      </c>
      <c r="S3" s="30" t="s">
        <v>73</v>
      </c>
    </row>
    <row r="4" spans="1:20" ht="19.95" customHeight="1">
      <c r="A4" s="31" t="s">
        <v>532</v>
      </c>
      <c r="B4" s="31" t="s">
        <v>533</v>
      </c>
      <c r="C4" s="31" t="s">
        <v>503</v>
      </c>
      <c r="D4" s="267" t="s">
        <v>560</v>
      </c>
      <c r="E4" s="130" t="str">
        <f>VLOOKUP(A4,'[2]Tx Design'!A:E, 5,)</f>
        <v>MW_2026_1917</v>
      </c>
      <c r="F4" s="267" t="s">
        <v>410</v>
      </c>
      <c r="G4" s="31" t="s">
        <v>14</v>
      </c>
      <c r="H4" s="76">
        <v>46134</v>
      </c>
      <c r="I4" s="30" t="s">
        <v>978</v>
      </c>
      <c r="J4" s="30" t="s">
        <v>61</v>
      </c>
      <c r="K4" s="268"/>
      <c r="L4" s="268"/>
      <c r="M4" s="30" t="s">
        <v>984</v>
      </c>
      <c r="N4" s="31" t="s">
        <v>985</v>
      </c>
      <c r="O4" s="31" t="s">
        <v>986</v>
      </c>
      <c r="P4" s="30" t="s">
        <v>73</v>
      </c>
      <c r="Q4" s="31" t="s">
        <v>987</v>
      </c>
      <c r="R4" s="31" t="s">
        <v>988</v>
      </c>
      <c r="S4" s="30" t="s">
        <v>73</v>
      </c>
    </row>
    <row r="5" spans="1:20" ht="19.95" customHeight="1">
      <c r="A5" s="31" t="s">
        <v>519</v>
      </c>
      <c r="B5" s="31" t="s">
        <v>520</v>
      </c>
      <c r="C5" s="31" t="s">
        <v>503</v>
      </c>
      <c r="D5" s="267" t="s">
        <v>560</v>
      </c>
      <c r="E5" s="130" t="str">
        <f>VLOOKUP(A5,'[2]Tx Design'!A:E, 5,)</f>
        <v>MW_2026_1666</v>
      </c>
      <c r="F5" s="267" t="s">
        <v>9</v>
      </c>
      <c r="G5" s="31" t="s">
        <v>14</v>
      </c>
      <c r="H5" s="30" t="s">
        <v>989</v>
      </c>
      <c r="I5" s="30" t="s">
        <v>978</v>
      </c>
      <c r="J5" s="30" t="s">
        <v>61</v>
      </c>
      <c r="K5" s="268"/>
      <c r="L5" s="268"/>
      <c r="M5" s="30" t="s">
        <v>990</v>
      </c>
      <c r="N5" s="31" t="s">
        <v>991</v>
      </c>
      <c r="O5" s="31" t="s">
        <v>992</v>
      </c>
      <c r="P5" s="30" t="s">
        <v>73</v>
      </c>
      <c r="Q5" s="31" t="s">
        <v>993</v>
      </c>
      <c r="R5" s="31" t="s">
        <v>994</v>
      </c>
      <c r="S5" s="30" t="s">
        <v>995</v>
      </c>
    </row>
    <row r="6" spans="1:20" ht="19.95" customHeight="1">
      <c r="A6" s="31" t="s">
        <v>548</v>
      </c>
      <c r="B6" s="31" t="s">
        <v>549</v>
      </c>
      <c r="C6" s="31" t="s">
        <v>503</v>
      </c>
      <c r="D6" s="267" t="s">
        <v>560</v>
      </c>
      <c r="E6" s="130" t="str">
        <f>VLOOKUP(A6,'[2]Tx Design'!A:E, 5,)</f>
        <v>MW_2026_1723</v>
      </c>
      <c r="F6" s="267" t="s">
        <v>9</v>
      </c>
      <c r="G6" s="269" t="s">
        <v>996</v>
      </c>
      <c r="H6" s="270">
        <v>46133</v>
      </c>
      <c r="I6" s="30" t="s">
        <v>978</v>
      </c>
      <c r="J6" s="271" t="s">
        <v>61</v>
      </c>
      <c r="K6" s="272" t="s">
        <v>997</v>
      </c>
      <c r="L6" s="272"/>
      <c r="M6" s="28" t="s">
        <v>998</v>
      </c>
      <c r="N6" s="29" t="s">
        <v>999</v>
      </c>
      <c r="O6" s="29" t="s">
        <v>1000</v>
      </c>
      <c r="P6" s="28" t="s">
        <v>954</v>
      </c>
      <c r="Q6" s="31" t="s">
        <v>1001</v>
      </c>
      <c r="R6" s="31" t="s">
        <v>1002</v>
      </c>
      <c r="S6" s="30" t="s">
        <v>73</v>
      </c>
    </row>
    <row r="7" spans="1:20" ht="19.95" customHeight="1">
      <c r="A7" s="149" t="s">
        <v>523</v>
      </c>
      <c r="B7" s="149" t="s">
        <v>524</v>
      </c>
      <c r="C7" s="31" t="s">
        <v>503</v>
      </c>
      <c r="D7" s="267" t="s">
        <v>560</v>
      </c>
      <c r="E7" s="130" t="str">
        <f>VLOOKUP(A7,'[2]Tx Design'!A:E, 5,)</f>
        <v>MW_2026_1767</v>
      </c>
      <c r="F7" s="267" t="s">
        <v>9</v>
      </c>
      <c r="G7" s="31" t="s">
        <v>14</v>
      </c>
      <c r="H7" s="76">
        <v>46134</v>
      </c>
      <c r="I7" s="30" t="s">
        <v>978</v>
      </c>
      <c r="J7" s="30" t="s">
        <v>61</v>
      </c>
      <c r="K7" s="268" t="s">
        <v>1003</v>
      </c>
      <c r="L7" s="268"/>
      <c r="M7" s="30" t="s">
        <v>1004</v>
      </c>
      <c r="N7" s="149" t="s">
        <v>1005</v>
      </c>
      <c r="O7" s="31" t="s">
        <v>1006</v>
      </c>
      <c r="P7" s="30" t="s">
        <v>73</v>
      </c>
      <c r="Q7" s="149" t="s">
        <v>1007</v>
      </c>
      <c r="R7" s="31" t="s">
        <v>1008</v>
      </c>
      <c r="S7" s="30" t="s">
        <v>73</v>
      </c>
    </row>
    <row r="8" spans="1:20" ht="19.95" customHeight="1">
      <c r="A8" s="31" t="s">
        <v>512</v>
      </c>
      <c r="B8" s="31" t="s">
        <v>513</v>
      </c>
      <c r="C8" s="31" t="s">
        <v>503</v>
      </c>
      <c r="D8" s="267" t="s">
        <v>616</v>
      </c>
      <c r="E8" s="130" t="str">
        <f>VLOOKUP(A8,'[2]Tx Design'!A:E, 5,)</f>
        <v>WIBAS_2026_1602</v>
      </c>
      <c r="F8" s="267" t="s">
        <v>1009</v>
      </c>
      <c r="G8" s="31" t="s">
        <v>14</v>
      </c>
      <c r="H8" s="76">
        <v>46133</v>
      </c>
      <c r="I8" s="30" t="s">
        <v>978</v>
      </c>
      <c r="J8" s="30" t="s">
        <v>91</v>
      </c>
      <c r="K8" s="268" t="s">
        <v>1010</v>
      </c>
      <c r="L8" s="268"/>
      <c r="M8" s="30"/>
      <c r="N8" s="31" t="s">
        <v>1011</v>
      </c>
      <c r="O8" s="31" t="s">
        <v>1012</v>
      </c>
      <c r="P8" s="30" t="s">
        <v>88</v>
      </c>
      <c r="Q8" s="31" t="s">
        <v>1013</v>
      </c>
      <c r="R8" s="31" t="s">
        <v>1014</v>
      </c>
      <c r="S8" s="30" t="s">
        <v>73</v>
      </c>
    </row>
    <row r="9" spans="1:20" ht="19.95" customHeight="1">
      <c r="A9" s="29" t="s">
        <v>538</v>
      </c>
      <c r="B9" s="29" t="s">
        <v>539</v>
      </c>
      <c r="C9" s="29" t="s">
        <v>503</v>
      </c>
      <c r="D9" s="273" t="s">
        <v>616</v>
      </c>
      <c r="E9" s="125" t="str">
        <f>VLOOKUP(A9,'[2]Tx Design'!A:E, 5,)</f>
        <v>WIBAS_2026_1601</v>
      </c>
      <c r="F9" s="273"/>
      <c r="G9" s="29" t="s">
        <v>1015</v>
      </c>
      <c r="H9" s="28"/>
      <c r="I9" s="28"/>
      <c r="J9" s="28" t="s">
        <v>91</v>
      </c>
      <c r="K9" s="274" t="s">
        <v>1016</v>
      </c>
      <c r="L9" s="274"/>
      <c r="M9" s="28"/>
      <c r="N9" s="275" t="s">
        <v>1017</v>
      </c>
      <c r="O9" s="29" t="s">
        <v>1018</v>
      </c>
      <c r="P9" s="28" t="s">
        <v>954</v>
      </c>
      <c r="Q9" s="275" t="s">
        <v>1019</v>
      </c>
      <c r="R9" s="29" t="s">
        <v>1020</v>
      </c>
      <c r="S9" s="28" t="s">
        <v>1021</v>
      </c>
    </row>
    <row r="10" spans="1:20" ht="19.95" customHeight="1">
      <c r="A10" s="29" t="s">
        <v>538</v>
      </c>
      <c r="B10" s="29" t="s">
        <v>539</v>
      </c>
      <c r="C10" s="29" t="s">
        <v>503</v>
      </c>
      <c r="D10" s="273" t="s">
        <v>616</v>
      </c>
      <c r="E10" s="125" t="str">
        <f>VLOOKUP(A10,'[2]Tx Design'!A:E, 5,)</f>
        <v>WIBAS_2026_1601</v>
      </c>
      <c r="F10" s="273" t="s">
        <v>9</v>
      </c>
      <c r="G10" s="77" t="s">
        <v>1022</v>
      </c>
      <c r="H10" s="276">
        <v>46137</v>
      </c>
      <c r="I10" s="28"/>
      <c r="J10" s="277" t="s">
        <v>91</v>
      </c>
      <c r="K10" s="278" t="s">
        <v>1023</v>
      </c>
      <c r="L10" s="278"/>
      <c r="M10" s="28"/>
      <c r="N10" s="275" t="s">
        <v>1024</v>
      </c>
      <c r="O10" s="29" t="s">
        <v>1025</v>
      </c>
      <c r="P10" s="28" t="s">
        <v>88</v>
      </c>
      <c r="Q10" s="275" t="s">
        <v>1026</v>
      </c>
      <c r="R10" s="29" t="s">
        <v>1027</v>
      </c>
      <c r="S10" s="28" t="s">
        <v>1021</v>
      </c>
    </row>
    <row r="11" spans="1:20" ht="19.95" customHeight="1">
      <c r="A11" s="29" t="s">
        <v>528</v>
      </c>
      <c r="B11" s="29" t="s">
        <v>529</v>
      </c>
      <c r="C11" s="29" t="s">
        <v>503</v>
      </c>
      <c r="D11" s="273" t="s">
        <v>616</v>
      </c>
      <c r="E11" s="125" t="str">
        <f>VLOOKUP(A11,'[2]Tx Design'!A:E, 5,)</f>
        <v>WIBAS_2026_1529</v>
      </c>
      <c r="F11" s="273"/>
      <c r="G11" s="29" t="s">
        <v>1028</v>
      </c>
      <c r="H11" s="28"/>
      <c r="I11" s="28"/>
      <c r="J11" s="28" t="s">
        <v>91</v>
      </c>
      <c r="K11" s="274" t="s">
        <v>1029</v>
      </c>
      <c r="L11" s="274"/>
      <c r="M11" s="28"/>
      <c r="N11" s="275" t="s">
        <v>1030</v>
      </c>
      <c r="O11" s="29" t="s">
        <v>1031</v>
      </c>
      <c r="P11" s="28" t="s">
        <v>954</v>
      </c>
      <c r="Q11" s="275" t="s">
        <v>1032</v>
      </c>
      <c r="R11" s="29" t="s">
        <v>1033</v>
      </c>
      <c r="S11" s="28" t="s">
        <v>1021</v>
      </c>
    </row>
    <row r="12" spans="1:20" ht="19.95" customHeight="1">
      <c r="A12" s="31" t="s">
        <v>538</v>
      </c>
      <c r="B12" s="31" t="s">
        <v>539</v>
      </c>
      <c r="C12" s="31" t="s">
        <v>503</v>
      </c>
      <c r="D12" s="267" t="s">
        <v>616</v>
      </c>
      <c r="E12" s="130" t="str">
        <f>VLOOKUP(A12,'[2]Tx Design'!A:E, 5,)</f>
        <v>WIBAS_2026_1601</v>
      </c>
      <c r="F12" s="267" t="s">
        <v>9</v>
      </c>
      <c r="G12" s="31" t="s">
        <v>14</v>
      </c>
      <c r="H12" s="76">
        <v>46140</v>
      </c>
      <c r="I12" s="30" t="s">
        <v>978</v>
      </c>
      <c r="J12" s="30" t="s">
        <v>91</v>
      </c>
      <c r="K12" s="268" t="s">
        <v>1034</v>
      </c>
      <c r="L12" s="268"/>
      <c r="M12" s="30" t="s">
        <v>1035</v>
      </c>
      <c r="N12" s="149" t="s">
        <v>1036</v>
      </c>
      <c r="O12" s="31" t="s">
        <v>1037</v>
      </c>
      <c r="P12" s="30" t="s">
        <v>88</v>
      </c>
      <c r="Q12" s="149" t="s">
        <v>1038</v>
      </c>
      <c r="R12" s="31" t="s">
        <v>1039</v>
      </c>
      <c r="S12" s="30" t="s">
        <v>73</v>
      </c>
    </row>
    <row r="13" spans="1:20" ht="19.95" customHeight="1">
      <c r="A13" s="31" t="s">
        <v>528</v>
      </c>
      <c r="B13" s="31" t="s">
        <v>529</v>
      </c>
      <c r="C13" s="31" t="s">
        <v>503</v>
      </c>
      <c r="D13" s="267" t="s">
        <v>616</v>
      </c>
      <c r="E13" s="130" t="str">
        <f>VLOOKUP(A13,'[2]Tx Design'!A:E, 5,)</f>
        <v>WIBAS_2026_1529</v>
      </c>
      <c r="F13" s="267" t="s">
        <v>99</v>
      </c>
      <c r="G13" s="31" t="s">
        <v>14</v>
      </c>
      <c r="H13" s="76">
        <v>46140</v>
      </c>
      <c r="I13" s="30" t="s">
        <v>978</v>
      </c>
      <c r="J13" s="30" t="s">
        <v>91</v>
      </c>
      <c r="K13" s="268" t="s">
        <v>1040</v>
      </c>
      <c r="L13" s="268"/>
      <c r="M13" s="30" t="s">
        <v>1041</v>
      </c>
      <c r="N13" s="149" t="s">
        <v>1042</v>
      </c>
      <c r="O13" s="31" t="s">
        <v>1043</v>
      </c>
      <c r="P13" s="30" t="s">
        <v>88</v>
      </c>
      <c r="Q13" s="149" t="s">
        <v>1044</v>
      </c>
      <c r="R13" s="31" t="s">
        <v>1045</v>
      </c>
      <c r="S13" s="30" t="s">
        <v>73</v>
      </c>
    </row>
    <row r="14" spans="1:20" ht="19.95" customHeight="1">
      <c r="A14" s="31" t="s">
        <v>512</v>
      </c>
      <c r="B14" s="31" t="s">
        <v>513</v>
      </c>
      <c r="C14" s="31" t="s">
        <v>503</v>
      </c>
      <c r="D14" s="267" t="s">
        <v>616</v>
      </c>
      <c r="E14" s="130" t="str">
        <f>VLOOKUP(A14,'[2]Tx Design'!A:E, 5,)</f>
        <v>WIBAS_2026_1602</v>
      </c>
      <c r="F14" s="267" t="s">
        <v>9</v>
      </c>
      <c r="G14" s="31" t="s">
        <v>14</v>
      </c>
      <c r="H14" s="76">
        <v>46149</v>
      </c>
      <c r="I14" s="30" t="s">
        <v>978</v>
      </c>
      <c r="J14" s="30" t="s">
        <v>91</v>
      </c>
      <c r="K14" s="268" t="s">
        <v>1046</v>
      </c>
      <c r="L14" s="268"/>
      <c r="M14" s="30" t="s">
        <v>1047</v>
      </c>
      <c r="N14" s="149" t="s">
        <v>1048</v>
      </c>
      <c r="O14" s="31" t="s">
        <v>1049</v>
      </c>
      <c r="P14" s="30" t="s">
        <v>88</v>
      </c>
      <c r="Q14" s="149" t="s">
        <v>1050</v>
      </c>
      <c r="R14" s="31" t="s">
        <v>1051</v>
      </c>
      <c r="S14" s="30" t="s">
        <v>73</v>
      </c>
    </row>
    <row r="15" spans="1:20" ht="19.95" customHeight="1">
      <c r="A15" s="31" t="s">
        <v>538</v>
      </c>
      <c r="B15" s="31" t="s">
        <v>539</v>
      </c>
      <c r="C15" s="31" t="s">
        <v>503</v>
      </c>
      <c r="D15" s="267" t="s">
        <v>616</v>
      </c>
      <c r="E15" s="130" t="str">
        <f>VLOOKUP(A15,'[2]Tx Design'!A:E, 5,)</f>
        <v>WIBAS_2026_1601</v>
      </c>
      <c r="F15" s="267" t="s">
        <v>99</v>
      </c>
      <c r="G15" s="31" t="s">
        <v>14</v>
      </c>
      <c r="H15" s="76" t="s">
        <v>1052</v>
      </c>
      <c r="I15" s="30" t="s">
        <v>978</v>
      </c>
      <c r="J15" s="30" t="s">
        <v>91</v>
      </c>
      <c r="K15" s="272" t="s">
        <v>1053</v>
      </c>
      <c r="L15" s="272"/>
      <c r="M15" s="30" t="s">
        <v>1054</v>
      </c>
      <c r="N15" s="149" t="s">
        <v>1055</v>
      </c>
      <c r="O15" s="31" t="s">
        <v>1056</v>
      </c>
      <c r="P15" s="30" t="s">
        <v>88</v>
      </c>
      <c r="Q15" s="149" t="s">
        <v>128</v>
      </c>
      <c r="R15" s="31" t="s">
        <v>129</v>
      </c>
      <c r="S15" s="30" t="s">
        <v>73</v>
      </c>
    </row>
    <row r="16" spans="1:20" s="279" customFormat="1" ht="19.95" customHeight="1">
      <c r="A16" s="79" t="s">
        <v>604</v>
      </c>
      <c r="B16" s="79" t="s">
        <v>605</v>
      </c>
      <c r="C16" s="31" t="s">
        <v>606</v>
      </c>
      <c r="D16" s="267" t="s">
        <v>560</v>
      </c>
      <c r="E16" s="130" t="str">
        <f>VLOOKUP(A16,'[2]Tx Design'!A:E, 5,)</f>
        <v>MW_2026_1721</v>
      </c>
      <c r="F16" s="267" t="s">
        <v>9</v>
      </c>
      <c r="G16" s="31" t="s">
        <v>14</v>
      </c>
      <c r="H16" s="76" t="s">
        <v>1057</v>
      </c>
      <c r="I16" s="30" t="s">
        <v>1058</v>
      </c>
      <c r="J16" s="30" t="s">
        <v>61</v>
      </c>
      <c r="K16" s="268" t="s">
        <v>1059</v>
      </c>
      <c r="L16" s="268"/>
      <c r="M16" s="30" t="s">
        <v>1060</v>
      </c>
      <c r="N16" s="31" t="s">
        <v>1061</v>
      </c>
      <c r="O16" s="31" t="s">
        <v>1062</v>
      </c>
      <c r="P16" s="30" t="s">
        <v>73</v>
      </c>
      <c r="Q16" s="31" t="s">
        <v>1063</v>
      </c>
      <c r="R16" s="31" t="s">
        <v>1064</v>
      </c>
      <c r="S16" s="30" t="s">
        <v>88</v>
      </c>
      <c r="T16" s="108"/>
    </row>
    <row r="17" spans="1:20" s="279" customFormat="1" ht="19.95" customHeight="1">
      <c r="A17" s="79" t="s">
        <v>624</v>
      </c>
      <c r="B17" s="79" t="s">
        <v>625</v>
      </c>
      <c r="C17" s="31" t="s">
        <v>554</v>
      </c>
      <c r="D17" s="267" t="s">
        <v>1065</v>
      </c>
      <c r="E17" s="130" t="str">
        <f>VLOOKUP(A17,'[2]Tx Design'!A:E, 5,)</f>
        <v>MW_2026_1790</v>
      </c>
      <c r="F17" s="267" t="s">
        <v>466</v>
      </c>
      <c r="G17" s="269" t="s">
        <v>628</v>
      </c>
      <c r="H17" s="175"/>
      <c r="I17" s="175"/>
      <c r="J17" s="175"/>
      <c r="K17" s="280"/>
      <c r="L17" s="280"/>
      <c r="M17" s="175"/>
      <c r="N17" s="174"/>
      <c r="O17" s="174"/>
      <c r="P17" s="175"/>
      <c r="Q17" s="174"/>
      <c r="R17" s="174"/>
      <c r="S17" s="175"/>
      <c r="T17" s="108"/>
    </row>
    <row r="18" spans="1:20" s="279" customFormat="1" ht="19.95" customHeight="1">
      <c r="A18" s="79" t="s">
        <v>558</v>
      </c>
      <c r="B18" s="79" t="s">
        <v>559</v>
      </c>
      <c r="C18" s="31" t="s">
        <v>554</v>
      </c>
      <c r="D18" s="267" t="s">
        <v>560</v>
      </c>
      <c r="E18" s="130" t="str">
        <f>VLOOKUP(A18,'[2]Tx Design'!A:E, 5,)</f>
        <v>MW_2026_1835</v>
      </c>
      <c r="F18" s="267" t="s">
        <v>9</v>
      </c>
      <c r="G18" s="31" t="s">
        <v>14</v>
      </c>
      <c r="H18" s="76">
        <v>46149</v>
      </c>
      <c r="I18" s="30" t="s">
        <v>978</v>
      </c>
      <c r="J18" s="30" t="s">
        <v>61</v>
      </c>
      <c r="K18" s="272" t="s">
        <v>1066</v>
      </c>
      <c r="L18" s="272"/>
      <c r="M18" s="30" t="s">
        <v>1067</v>
      </c>
      <c r="N18" s="31" t="s">
        <v>1068</v>
      </c>
      <c r="O18" s="31" t="s">
        <v>1069</v>
      </c>
      <c r="P18" s="30" t="s">
        <v>88</v>
      </c>
      <c r="Q18" s="31" t="s">
        <v>1070</v>
      </c>
      <c r="R18" s="31" t="s">
        <v>1071</v>
      </c>
      <c r="S18" s="30" t="s">
        <v>88</v>
      </c>
      <c r="T18" s="108"/>
    </row>
    <row r="19" spans="1:20" s="279" customFormat="1" ht="19.95" customHeight="1">
      <c r="A19" s="79" t="s">
        <v>564</v>
      </c>
      <c r="B19" s="79" t="s">
        <v>565</v>
      </c>
      <c r="C19" s="31" t="s">
        <v>554</v>
      </c>
      <c r="D19" s="267" t="s">
        <v>560</v>
      </c>
      <c r="E19" s="130" t="str">
        <f>VLOOKUP(A19,'[2]Tx Design'!A:E, 5,)</f>
        <v>MW_2026_1664</v>
      </c>
      <c r="F19" s="267" t="s">
        <v>9</v>
      </c>
      <c r="G19" s="269" t="s">
        <v>14</v>
      </c>
      <c r="H19" s="270">
        <v>46148</v>
      </c>
      <c r="I19" s="30" t="s">
        <v>978</v>
      </c>
      <c r="J19" s="271" t="s">
        <v>61</v>
      </c>
      <c r="K19" s="272" t="s">
        <v>1072</v>
      </c>
      <c r="L19" s="272"/>
      <c r="M19" s="30" t="s">
        <v>1073</v>
      </c>
      <c r="N19" s="31" t="s">
        <v>1074</v>
      </c>
      <c r="O19" s="31" t="s">
        <v>1075</v>
      </c>
      <c r="P19" s="281" t="s">
        <v>89</v>
      </c>
      <c r="Q19" s="31" t="s">
        <v>1076</v>
      </c>
      <c r="R19" s="31" t="s">
        <v>1077</v>
      </c>
      <c r="S19" s="281" t="s">
        <v>73</v>
      </c>
      <c r="T19" s="108"/>
    </row>
    <row r="20" spans="1:20" s="279" customFormat="1" ht="19.95" customHeight="1">
      <c r="A20" s="79" t="s">
        <v>588</v>
      </c>
      <c r="B20" s="79" t="s">
        <v>589</v>
      </c>
      <c r="C20" s="31" t="s">
        <v>554</v>
      </c>
      <c r="D20" s="267" t="s">
        <v>560</v>
      </c>
      <c r="E20" s="130" t="str">
        <f>VLOOKUP(A20,'[2]Tx Design'!A:E, 5,)</f>
        <v>MW_2026_1667</v>
      </c>
      <c r="F20" s="267" t="s">
        <v>466</v>
      </c>
      <c r="G20" s="31" t="s">
        <v>1078</v>
      </c>
      <c r="H20" s="76">
        <v>46171</v>
      </c>
      <c r="I20" s="31" t="s">
        <v>1079</v>
      </c>
      <c r="J20" s="30" t="s">
        <v>61</v>
      </c>
      <c r="K20" s="280"/>
      <c r="L20" s="280"/>
      <c r="M20" s="175"/>
      <c r="N20" s="174"/>
      <c r="O20" s="174"/>
      <c r="P20" s="175"/>
      <c r="Q20" s="174"/>
      <c r="R20" s="174"/>
      <c r="S20" s="175"/>
      <c r="T20" s="108"/>
    </row>
    <row r="21" spans="1:20" s="279" customFormat="1" ht="19.95" customHeight="1">
      <c r="A21" s="79" t="s">
        <v>650</v>
      </c>
      <c r="B21" s="79" t="s">
        <v>651</v>
      </c>
      <c r="C21" s="31" t="s">
        <v>554</v>
      </c>
      <c r="D21" s="267" t="s">
        <v>560</v>
      </c>
      <c r="E21" s="130" t="str">
        <f>VLOOKUP(A21,'[2]Tx Design'!A:E, 5,)</f>
        <v>MW_2026_1915</v>
      </c>
      <c r="F21" s="267" t="s">
        <v>9</v>
      </c>
      <c r="G21" s="31" t="s">
        <v>14</v>
      </c>
      <c r="H21" s="76">
        <v>46155</v>
      </c>
      <c r="I21" s="30" t="s">
        <v>978</v>
      </c>
      <c r="J21" s="30" t="s">
        <v>87</v>
      </c>
      <c r="K21" s="272" t="s">
        <v>1080</v>
      </c>
      <c r="L21" s="272"/>
      <c r="M21" s="30" t="s">
        <v>1081</v>
      </c>
      <c r="N21" s="31" t="s">
        <v>1082</v>
      </c>
      <c r="O21" s="31" t="s">
        <v>1083</v>
      </c>
      <c r="P21" s="30" t="s">
        <v>73</v>
      </c>
      <c r="Q21" s="31" t="s">
        <v>1084</v>
      </c>
      <c r="R21" s="31" t="s">
        <v>1085</v>
      </c>
      <c r="S21" s="30" t="s">
        <v>73</v>
      </c>
      <c r="T21" s="108"/>
    </row>
    <row r="22" spans="1:20" s="279" customFormat="1" ht="19.95" customHeight="1">
      <c r="A22" s="79" t="s">
        <v>593</v>
      </c>
      <c r="B22" s="79" t="s">
        <v>594</v>
      </c>
      <c r="C22" s="31" t="s">
        <v>554</v>
      </c>
      <c r="D22" s="267" t="s">
        <v>560</v>
      </c>
      <c r="E22" s="130" t="str">
        <f>VLOOKUP(A22,'[2]Tx Design'!A:E, 5,)</f>
        <v>MW_2026_1909</v>
      </c>
      <c r="F22" s="267" t="s">
        <v>9</v>
      </c>
      <c r="G22" s="31" t="s">
        <v>14</v>
      </c>
      <c r="H22" s="76">
        <v>46158</v>
      </c>
      <c r="I22" s="30" t="s">
        <v>978</v>
      </c>
      <c r="J22" s="30" t="s">
        <v>87</v>
      </c>
      <c r="K22" s="272" t="s">
        <v>1086</v>
      </c>
      <c r="L22" s="272"/>
      <c r="M22" s="30" t="s">
        <v>1087</v>
      </c>
      <c r="N22" s="31" t="s">
        <v>1088</v>
      </c>
      <c r="O22" s="31" t="s">
        <v>1089</v>
      </c>
      <c r="P22" s="30" t="s">
        <v>73</v>
      </c>
      <c r="Q22" s="31" t="s">
        <v>1090</v>
      </c>
      <c r="R22" s="31" t="s">
        <v>1091</v>
      </c>
      <c r="S22" s="30" t="s">
        <v>88</v>
      </c>
      <c r="T22" s="108"/>
    </row>
    <row r="23" spans="1:20" s="279" customFormat="1" ht="19.95" customHeight="1">
      <c r="A23" s="79" t="s">
        <v>580</v>
      </c>
      <c r="B23" s="79" t="s">
        <v>581</v>
      </c>
      <c r="C23" s="31" t="s">
        <v>554</v>
      </c>
      <c r="D23" s="267" t="s">
        <v>560</v>
      </c>
      <c r="E23" s="130" t="str">
        <f>VLOOKUP(A23,'[2]Tx Design'!A:E, 5,)</f>
        <v>MW_2026_1908</v>
      </c>
      <c r="F23" s="267" t="s">
        <v>9</v>
      </c>
      <c r="G23" s="31" t="s">
        <v>14</v>
      </c>
      <c r="H23" s="76">
        <v>46158</v>
      </c>
      <c r="I23" s="30" t="s">
        <v>1092</v>
      </c>
      <c r="J23" s="30" t="s">
        <v>87</v>
      </c>
      <c r="K23" s="272" t="s">
        <v>1086</v>
      </c>
      <c r="L23" s="272"/>
      <c r="M23" s="30" t="s">
        <v>1093</v>
      </c>
      <c r="N23" s="31" t="s">
        <v>1094</v>
      </c>
      <c r="O23" s="31" t="s">
        <v>1095</v>
      </c>
      <c r="P23" s="30" t="s">
        <v>73</v>
      </c>
      <c r="Q23" s="31" t="s">
        <v>1096</v>
      </c>
      <c r="R23" s="31" t="s">
        <v>1097</v>
      </c>
      <c r="S23" s="30" t="s">
        <v>73</v>
      </c>
      <c r="T23" s="108"/>
    </row>
    <row r="24" spans="1:20" s="279" customFormat="1" ht="19.95" customHeight="1">
      <c r="A24" s="79" t="s">
        <v>584</v>
      </c>
      <c r="B24" s="79" t="s">
        <v>585</v>
      </c>
      <c r="C24" s="31" t="s">
        <v>554</v>
      </c>
      <c r="D24" s="267" t="s">
        <v>560</v>
      </c>
      <c r="E24" s="130" t="str">
        <f>VLOOKUP(A24,'[2]Tx Design'!A:E, 5,)</f>
        <v>MW_2026_1852</v>
      </c>
      <c r="F24" s="267" t="s">
        <v>9</v>
      </c>
      <c r="G24" s="31" t="s">
        <v>14</v>
      </c>
      <c r="H24" s="76">
        <v>46148</v>
      </c>
      <c r="I24" s="30" t="s">
        <v>978</v>
      </c>
      <c r="J24" s="30" t="s">
        <v>61</v>
      </c>
      <c r="K24" s="102" t="s">
        <v>1098</v>
      </c>
      <c r="L24" s="102"/>
      <c r="M24" s="30" t="s">
        <v>1099</v>
      </c>
      <c r="N24" s="31" t="s">
        <v>1100</v>
      </c>
      <c r="O24" s="31" t="s">
        <v>1101</v>
      </c>
      <c r="P24" s="30" t="s">
        <v>73</v>
      </c>
      <c r="Q24" s="31" t="s">
        <v>1102</v>
      </c>
      <c r="R24" s="31" t="s">
        <v>1103</v>
      </c>
      <c r="S24" s="30" t="s">
        <v>88</v>
      </c>
      <c r="T24" s="108"/>
    </row>
    <row r="25" spans="1:20" s="279" customFormat="1" ht="19.95" customHeight="1">
      <c r="A25" s="79" t="s">
        <v>600</v>
      </c>
      <c r="B25" s="79" t="s">
        <v>601</v>
      </c>
      <c r="C25" s="31" t="s">
        <v>554</v>
      </c>
      <c r="D25" s="267" t="s">
        <v>560</v>
      </c>
      <c r="E25" s="130" t="str">
        <f>VLOOKUP(A25,'[2]Tx Design'!A:E, 5,)</f>
        <v>MW_2026_1878</v>
      </c>
      <c r="F25" s="267" t="s">
        <v>9</v>
      </c>
      <c r="G25" s="31" t="s">
        <v>14</v>
      </c>
      <c r="H25" s="76">
        <v>46159</v>
      </c>
      <c r="I25" s="30" t="s">
        <v>978</v>
      </c>
      <c r="J25" s="30" t="s">
        <v>87</v>
      </c>
      <c r="K25" s="272" t="s">
        <v>1104</v>
      </c>
      <c r="L25" s="272"/>
      <c r="M25" s="30" t="s">
        <v>1105</v>
      </c>
      <c r="N25" s="31" t="s">
        <v>1106</v>
      </c>
      <c r="O25" s="31" t="s">
        <v>1107</v>
      </c>
      <c r="P25" s="30" t="s">
        <v>73</v>
      </c>
      <c r="Q25" s="31" t="s">
        <v>1108</v>
      </c>
      <c r="R25" s="31" t="s">
        <v>1109</v>
      </c>
      <c r="S25" s="30" t="s">
        <v>73</v>
      </c>
      <c r="T25" s="108"/>
    </row>
    <row r="26" spans="1:20" s="279" customFormat="1" ht="19.95" customHeight="1">
      <c r="A26" s="79" t="s">
        <v>569</v>
      </c>
      <c r="B26" s="79" t="s">
        <v>570</v>
      </c>
      <c r="C26" s="31" t="s">
        <v>554</v>
      </c>
      <c r="D26" s="267" t="s">
        <v>560</v>
      </c>
      <c r="E26" s="130" t="str">
        <f>VLOOKUP(A26,'[2]Tx Design'!A:E, 5,)</f>
        <v>MW_2026_1857</v>
      </c>
      <c r="F26" s="267" t="s">
        <v>86</v>
      </c>
      <c r="G26" s="31" t="s">
        <v>14</v>
      </c>
      <c r="H26" s="76">
        <v>46152</v>
      </c>
      <c r="I26" s="30" t="s">
        <v>978</v>
      </c>
      <c r="J26" s="30" t="s">
        <v>87</v>
      </c>
      <c r="K26" s="272" t="s">
        <v>1086</v>
      </c>
      <c r="L26" s="272"/>
      <c r="M26" s="30" t="s">
        <v>1110</v>
      </c>
      <c r="N26" s="31" t="s">
        <v>1111</v>
      </c>
      <c r="O26" s="31" t="s">
        <v>1112</v>
      </c>
      <c r="P26" s="30" t="s">
        <v>73</v>
      </c>
      <c r="Q26" s="31" t="s">
        <v>1113</v>
      </c>
      <c r="R26" s="31" t="s">
        <v>1114</v>
      </c>
      <c r="S26" s="30" t="s">
        <v>73</v>
      </c>
      <c r="T26" s="108"/>
    </row>
    <row r="27" spans="1:20" s="279" customFormat="1" ht="19.95" customHeight="1">
      <c r="A27" s="80" t="s">
        <v>575</v>
      </c>
      <c r="B27" s="80" t="s">
        <v>576</v>
      </c>
      <c r="C27" s="29" t="s">
        <v>554</v>
      </c>
      <c r="D27" s="273" t="s">
        <v>560</v>
      </c>
      <c r="E27" s="125" t="str">
        <f>VLOOKUP(A27,'[2]Tx Design'!A:E, 5,)</f>
        <v>MW_2026_1807</v>
      </c>
      <c r="F27" s="273" t="s">
        <v>9</v>
      </c>
      <c r="G27" s="29" t="s">
        <v>1028</v>
      </c>
      <c r="H27" s="28"/>
      <c r="I27" s="28"/>
      <c r="J27" s="28" t="s">
        <v>61</v>
      </c>
      <c r="K27" s="103" t="s">
        <v>1029</v>
      </c>
      <c r="L27" s="103"/>
      <c r="M27" s="28" t="s">
        <v>1115</v>
      </c>
      <c r="N27" s="29" t="s">
        <v>1116</v>
      </c>
      <c r="O27" s="29" t="s">
        <v>1117</v>
      </c>
      <c r="P27" s="28" t="s">
        <v>954</v>
      </c>
      <c r="Q27" s="29" t="s">
        <v>1118</v>
      </c>
      <c r="R27" s="29" t="s">
        <v>1119</v>
      </c>
      <c r="S27" s="28" t="s">
        <v>954</v>
      </c>
      <c r="T27" s="108"/>
    </row>
    <row r="28" spans="1:20" s="279" customFormat="1" ht="19.95" customHeight="1">
      <c r="A28" s="172" t="s">
        <v>575</v>
      </c>
      <c r="B28" s="282" t="s">
        <v>576</v>
      </c>
      <c r="C28" s="283" t="s">
        <v>554</v>
      </c>
      <c r="D28" s="284" t="s">
        <v>560</v>
      </c>
      <c r="E28" s="162" t="str">
        <f>VLOOKUP(A28,'[2]Tx Design'!A:E, 5,)</f>
        <v>MW_2026_1807</v>
      </c>
      <c r="F28" s="284" t="s">
        <v>99</v>
      </c>
      <c r="G28" s="285" t="s">
        <v>1078</v>
      </c>
      <c r="H28" s="286">
        <v>46156</v>
      </c>
      <c r="I28" s="287" t="s">
        <v>978</v>
      </c>
      <c r="J28" s="287" t="s">
        <v>61</v>
      </c>
      <c r="K28" s="288" t="s">
        <v>1120</v>
      </c>
      <c r="L28" s="288"/>
      <c r="M28" s="287" t="s">
        <v>1121</v>
      </c>
      <c r="N28" s="283" t="s">
        <v>1122</v>
      </c>
      <c r="O28" s="283" t="s">
        <v>1123</v>
      </c>
      <c r="P28" s="287"/>
      <c r="Q28" s="283" t="s">
        <v>1124</v>
      </c>
      <c r="R28" s="283" t="s">
        <v>1125</v>
      </c>
      <c r="S28" s="287"/>
      <c r="T28" s="108"/>
    </row>
    <row r="29" spans="1:20" s="279" customFormat="1" ht="19.95" customHeight="1">
      <c r="A29" s="282" t="s">
        <v>634</v>
      </c>
      <c r="B29" s="282" t="s">
        <v>635</v>
      </c>
      <c r="C29" s="283" t="s">
        <v>554</v>
      </c>
      <c r="D29" s="284" t="s">
        <v>616</v>
      </c>
      <c r="E29" s="162" t="str">
        <f>VLOOKUP(A29,'[2]Tx Design'!A:E, 5,)</f>
        <v>WIBAS_2026_1784</v>
      </c>
      <c r="F29" s="284" t="s">
        <v>9</v>
      </c>
      <c r="G29" s="283" t="s">
        <v>609</v>
      </c>
      <c r="H29" s="286">
        <v>46159</v>
      </c>
      <c r="I29" s="287"/>
      <c r="J29" s="287" t="s">
        <v>91</v>
      </c>
      <c r="K29" s="288" t="s">
        <v>1126</v>
      </c>
      <c r="L29" s="288" t="s">
        <v>1127</v>
      </c>
      <c r="M29" s="287" t="s">
        <v>1128</v>
      </c>
      <c r="N29" s="283" t="s">
        <v>1129</v>
      </c>
      <c r="O29" s="283" t="s">
        <v>1130</v>
      </c>
      <c r="P29" s="287"/>
      <c r="Q29" s="31" t="s">
        <v>1131</v>
      </c>
      <c r="R29" s="31" t="s">
        <v>1132</v>
      </c>
      <c r="S29" s="30" t="s">
        <v>73</v>
      </c>
      <c r="T29" s="108"/>
    </row>
    <row r="30" spans="1:20" s="279" customFormat="1" ht="19.95" customHeight="1">
      <c r="A30" s="79" t="s">
        <v>614</v>
      </c>
      <c r="B30" s="79" t="s">
        <v>615</v>
      </c>
      <c r="C30" s="31" t="s">
        <v>554</v>
      </c>
      <c r="D30" s="114" t="s">
        <v>616</v>
      </c>
      <c r="E30" s="130" t="str">
        <f>VLOOKUP(A30,'[2]Tx Design'!A:E, 5,)</f>
        <v>WIBAS_2026_1791</v>
      </c>
      <c r="F30" s="114" t="s">
        <v>99</v>
      </c>
      <c r="G30" s="31" t="s">
        <v>609</v>
      </c>
      <c r="H30" s="76" t="s">
        <v>1133</v>
      </c>
      <c r="I30" s="30"/>
      <c r="J30" s="30" t="s">
        <v>91</v>
      </c>
      <c r="K30" s="102" t="s">
        <v>1134</v>
      </c>
      <c r="L30" s="102" t="s">
        <v>1135</v>
      </c>
      <c r="M30" s="30" t="s">
        <v>1136</v>
      </c>
      <c r="N30" s="31" t="s">
        <v>1137</v>
      </c>
      <c r="O30" s="31" t="s">
        <v>1138</v>
      </c>
      <c r="P30" s="30" t="s">
        <v>88</v>
      </c>
      <c r="Q30" s="31" t="s">
        <v>1139</v>
      </c>
      <c r="R30" s="31" t="s">
        <v>1140</v>
      </c>
      <c r="S30" s="30" t="s">
        <v>73</v>
      </c>
      <c r="T30" s="108"/>
    </row>
    <row r="31" spans="1:20" s="279" customFormat="1" ht="19.95" customHeight="1">
      <c r="A31" s="80"/>
      <c r="B31" s="80"/>
      <c r="C31" s="29" t="s">
        <v>1141</v>
      </c>
      <c r="D31" s="113" t="s">
        <v>616</v>
      </c>
      <c r="E31" s="125" t="e">
        <f>VLOOKUP(A31,'[2]Tx Design'!A:E, 5,)</f>
        <v>#N/A</v>
      </c>
      <c r="F31" s="113" t="s">
        <v>99</v>
      </c>
      <c r="G31" s="29" t="s">
        <v>1028</v>
      </c>
      <c r="H31" s="28"/>
      <c r="I31" s="28"/>
      <c r="J31" s="28" t="s">
        <v>91</v>
      </c>
      <c r="K31" s="103" t="s">
        <v>1142</v>
      </c>
      <c r="L31" s="103"/>
      <c r="M31" s="28" t="s">
        <v>1143</v>
      </c>
      <c r="N31" s="29" t="s">
        <v>1144</v>
      </c>
      <c r="O31" s="29" t="s">
        <v>1145</v>
      </c>
      <c r="P31" s="28" t="s">
        <v>954</v>
      </c>
      <c r="Q31" s="29" t="s">
        <v>1146</v>
      </c>
      <c r="R31" s="29" t="s">
        <v>1147</v>
      </c>
      <c r="S31" s="28" t="s">
        <v>954</v>
      </c>
      <c r="T31" s="108"/>
    </row>
    <row r="32" spans="1:20" ht="19.95" customHeight="1">
      <c r="A32" s="79" t="s">
        <v>580</v>
      </c>
      <c r="B32" s="79" t="s">
        <v>581</v>
      </c>
      <c r="C32" s="31" t="s">
        <v>554</v>
      </c>
      <c r="D32" s="267" t="s">
        <v>560</v>
      </c>
      <c r="E32" s="130" t="str">
        <f>VLOOKUP(A32,'[2]Tx Design'!A:E, 5,)</f>
        <v>MW_2026_1908</v>
      </c>
      <c r="F32" s="114" t="s">
        <v>9</v>
      </c>
      <c r="G32" s="31" t="s">
        <v>14</v>
      </c>
      <c r="H32" s="76">
        <v>46180</v>
      </c>
      <c r="I32" s="30" t="s">
        <v>978</v>
      </c>
      <c r="J32" s="30" t="s">
        <v>61</v>
      </c>
      <c r="K32" s="102" t="s">
        <v>1148</v>
      </c>
      <c r="L32" s="102"/>
      <c r="M32" s="30" t="s">
        <v>1149</v>
      </c>
      <c r="N32" s="31" t="s">
        <v>1150</v>
      </c>
      <c r="O32" s="31" t="s">
        <v>1151</v>
      </c>
      <c r="P32" s="30" t="s">
        <v>73</v>
      </c>
      <c r="Q32" s="31" t="s">
        <v>1152</v>
      </c>
      <c r="R32" s="31" t="s">
        <v>1153</v>
      </c>
      <c r="S32" s="30" t="s">
        <v>73</v>
      </c>
    </row>
    <row r="33" spans="1:19" ht="19.95" customHeight="1">
      <c r="A33" s="79"/>
      <c r="B33" s="79"/>
      <c r="C33" s="31" t="s">
        <v>1141</v>
      </c>
      <c r="D33" s="267" t="s">
        <v>616</v>
      </c>
      <c r="E33" s="130" t="e">
        <f>VLOOKUP(A33,'[2]Tx Design'!A:E, 5,)</f>
        <v>#N/A</v>
      </c>
      <c r="F33" s="114" t="s">
        <v>86</v>
      </c>
      <c r="G33" s="31" t="s">
        <v>14</v>
      </c>
      <c r="H33" s="76">
        <v>46179</v>
      </c>
      <c r="I33" s="30" t="s">
        <v>1154</v>
      </c>
      <c r="J33" s="30" t="s">
        <v>91</v>
      </c>
      <c r="K33" s="102" t="s">
        <v>1155</v>
      </c>
      <c r="L33" s="102" t="s">
        <v>1156</v>
      </c>
      <c r="M33" s="30" t="s">
        <v>1157</v>
      </c>
      <c r="N33" s="31" t="s">
        <v>1158</v>
      </c>
      <c r="O33" s="31" t="s">
        <v>1159</v>
      </c>
      <c r="P33" s="30" t="s">
        <v>88</v>
      </c>
      <c r="Q33" s="31" t="s">
        <v>1160</v>
      </c>
      <c r="R33" s="31" t="s">
        <v>1161</v>
      </c>
      <c r="S33" s="30" t="s">
        <v>73</v>
      </c>
    </row>
    <row r="34" spans="1:19" ht="19.95" customHeight="1">
      <c r="A34" s="79"/>
      <c r="B34" s="79"/>
      <c r="C34" s="31" t="s">
        <v>1141</v>
      </c>
      <c r="D34" s="267" t="s">
        <v>616</v>
      </c>
      <c r="E34" s="130" t="e">
        <f>VLOOKUP(A34,'[2]Tx Design'!A:E, 5,)</f>
        <v>#N/A</v>
      </c>
      <c r="F34" s="114" t="s">
        <v>9</v>
      </c>
      <c r="G34" s="31" t="s">
        <v>14</v>
      </c>
      <c r="H34" s="76">
        <v>46181</v>
      </c>
      <c r="I34" s="30"/>
      <c r="J34" s="30" t="s">
        <v>91</v>
      </c>
      <c r="K34" s="102" t="s">
        <v>1162</v>
      </c>
      <c r="L34" s="102" t="s">
        <v>1163</v>
      </c>
      <c r="M34" s="30" t="s">
        <v>1164</v>
      </c>
      <c r="N34" s="31" t="s">
        <v>1165</v>
      </c>
      <c r="O34" s="31" t="s">
        <v>1166</v>
      </c>
      <c r="P34" s="30" t="s">
        <v>88</v>
      </c>
      <c r="Q34" s="31" t="s">
        <v>1167</v>
      </c>
      <c r="R34" s="31" t="s">
        <v>1168</v>
      </c>
      <c r="S34" s="30" t="s">
        <v>73</v>
      </c>
    </row>
    <row r="35" spans="1:19" ht="19.95" customHeight="1">
      <c r="A35" s="79"/>
      <c r="B35" s="79"/>
      <c r="C35" s="31" t="s">
        <v>1141</v>
      </c>
      <c r="D35" s="267" t="s">
        <v>616</v>
      </c>
      <c r="E35" s="130" t="e">
        <f>VLOOKUP(A35,'[2]Tx Design'!A:E, 5,)</f>
        <v>#N/A</v>
      </c>
      <c r="F35" s="114" t="s">
        <v>9</v>
      </c>
      <c r="G35" s="31" t="s">
        <v>14</v>
      </c>
      <c r="H35" s="76">
        <v>46180</v>
      </c>
      <c r="I35" s="30"/>
      <c r="J35" s="30" t="s">
        <v>91</v>
      </c>
      <c r="K35" s="102" t="s">
        <v>1169</v>
      </c>
      <c r="L35" s="102" t="s">
        <v>1170</v>
      </c>
      <c r="M35" s="30" t="s">
        <v>1171</v>
      </c>
      <c r="N35" s="31" t="s">
        <v>1172</v>
      </c>
      <c r="O35" s="31" t="s">
        <v>1173</v>
      </c>
      <c r="P35" s="30" t="s">
        <v>88</v>
      </c>
      <c r="Q35" s="31" t="s">
        <v>1174</v>
      </c>
      <c r="R35" s="31" t="s">
        <v>1175</v>
      </c>
      <c r="S35" s="30" t="s">
        <v>73</v>
      </c>
    </row>
    <row r="36" spans="1:19" ht="19.95" customHeight="1">
      <c r="A36" s="79" t="s">
        <v>614</v>
      </c>
      <c r="B36" s="79" t="s">
        <v>615</v>
      </c>
      <c r="C36" s="31" t="s">
        <v>1141</v>
      </c>
      <c r="D36" s="267" t="s">
        <v>616</v>
      </c>
      <c r="E36" s="130" t="str">
        <f>VLOOKUP(A36,'[2]Tx Design'!A:E, 5,)</f>
        <v>WIBAS_2026_1791</v>
      </c>
      <c r="F36" s="114" t="s">
        <v>9</v>
      </c>
      <c r="G36" s="31" t="s">
        <v>14</v>
      </c>
      <c r="H36" s="76">
        <v>46196</v>
      </c>
      <c r="I36" s="30"/>
      <c r="J36" s="30" t="s">
        <v>91</v>
      </c>
      <c r="K36" s="102" t="s">
        <v>1176</v>
      </c>
      <c r="L36" s="102" t="s">
        <v>1177</v>
      </c>
      <c r="M36" s="30" t="s">
        <v>1178</v>
      </c>
      <c r="N36" s="31" t="s">
        <v>1179</v>
      </c>
      <c r="O36" s="31" t="s">
        <v>1180</v>
      </c>
      <c r="P36" s="30" t="s">
        <v>88</v>
      </c>
      <c r="Q36" s="29" t="s">
        <v>1181</v>
      </c>
      <c r="R36" s="29" t="s">
        <v>1181</v>
      </c>
      <c r="S36" s="28" t="s">
        <v>1181</v>
      </c>
    </row>
    <row r="37" spans="1:19" ht="19.95" customHeight="1">
      <c r="A37" s="80" t="s">
        <v>634</v>
      </c>
      <c r="B37" s="80" t="s">
        <v>635</v>
      </c>
      <c r="C37" s="29" t="s">
        <v>554</v>
      </c>
      <c r="D37" s="273" t="s">
        <v>616</v>
      </c>
      <c r="E37" s="125" t="str">
        <f>VLOOKUP(A37,'[2]Tx Design'!A:E, 5,)</f>
        <v>WIBAS_2026_1784</v>
      </c>
      <c r="F37" s="113"/>
      <c r="G37" s="29" t="s">
        <v>1028</v>
      </c>
      <c r="H37" s="289"/>
      <c r="I37" s="28"/>
      <c r="J37" s="28" t="s">
        <v>91</v>
      </c>
      <c r="K37" s="103"/>
      <c r="L37" s="103"/>
      <c r="M37" s="28" t="s">
        <v>1182</v>
      </c>
      <c r="N37" s="29" t="s">
        <v>1183</v>
      </c>
      <c r="O37" s="29" t="s">
        <v>1184</v>
      </c>
      <c r="P37" s="28"/>
      <c r="Q37" s="29" t="s">
        <v>1185</v>
      </c>
      <c r="R37" s="29" t="s">
        <v>1186</v>
      </c>
      <c r="S37" s="28"/>
    </row>
    <row r="38" spans="1:19" ht="19.95" customHeight="1">
      <c r="A38" s="79" t="s">
        <v>638</v>
      </c>
      <c r="B38" s="79" t="s">
        <v>639</v>
      </c>
      <c r="C38" s="31" t="s">
        <v>554</v>
      </c>
      <c r="D38" s="267" t="s">
        <v>560</v>
      </c>
      <c r="E38" s="130" t="str">
        <f>VLOOKUP(A38,'[2]Tx Design'!A:E, 5,)</f>
        <v>MW_2026_2062</v>
      </c>
      <c r="F38" s="114" t="s">
        <v>9</v>
      </c>
      <c r="G38" s="31" t="s">
        <v>14</v>
      </c>
      <c r="H38" s="76">
        <v>46203</v>
      </c>
      <c r="I38" s="30" t="s">
        <v>978</v>
      </c>
      <c r="J38" s="30" t="s">
        <v>61</v>
      </c>
      <c r="K38" s="102"/>
      <c r="L38" s="102"/>
      <c r="M38" s="30" t="s">
        <v>1187</v>
      </c>
      <c r="N38" s="31" t="s">
        <v>1188</v>
      </c>
      <c r="O38" s="31" t="s">
        <v>1189</v>
      </c>
      <c r="P38" s="30" t="s">
        <v>73</v>
      </c>
      <c r="Q38" s="31" t="s">
        <v>1190</v>
      </c>
      <c r="R38" s="31" t="s">
        <v>1191</v>
      </c>
      <c r="S38" s="30" t="s">
        <v>73</v>
      </c>
    </row>
    <row r="39" spans="1:19" ht="19.95" customHeight="1">
      <c r="A39" s="79" t="s">
        <v>634</v>
      </c>
      <c r="B39" s="79" t="s">
        <v>635</v>
      </c>
      <c r="C39" s="31" t="s">
        <v>554</v>
      </c>
      <c r="D39" s="267" t="s">
        <v>616</v>
      </c>
      <c r="E39" s="130" t="str">
        <f>VLOOKUP(A39,'[2]Tx Design'!A:E, 5,)</f>
        <v>WIBAS_2026_1784</v>
      </c>
      <c r="F39" s="114" t="s">
        <v>99</v>
      </c>
      <c r="G39" s="31" t="s">
        <v>14</v>
      </c>
      <c r="H39" s="76">
        <v>46205</v>
      </c>
      <c r="I39" s="30" t="s">
        <v>978</v>
      </c>
      <c r="J39" s="30" t="s">
        <v>91</v>
      </c>
      <c r="K39" s="102"/>
      <c r="L39" s="102" t="s">
        <v>1192</v>
      </c>
      <c r="M39" s="30" t="s">
        <v>1193</v>
      </c>
      <c r="N39" s="31" t="s">
        <v>1194</v>
      </c>
      <c r="O39" s="31" t="s">
        <v>1195</v>
      </c>
      <c r="P39" s="30" t="s">
        <v>88</v>
      </c>
      <c r="Q39" s="31" t="s">
        <v>1196</v>
      </c>
      <c r="R39" s="31" t="s">
        <v>1197</v>
      </c>
      <c r="S39" s="30" t="s">
        <v>73</v>
      </c>
    </row>
    <row r="40" spans="1:19" ht="19.95" customHeight="1">
      <c r="A40" s="79" t="s">
        <v>159</v>
      </c>
      <c r="B40" s="79" t="s">
        <v>160</v>
      </c>
      <c r="C40" s="79" t="s">
        <v>181</v>
      </c>
      <c r="D40" s="130" t="s">
        <v>8</v>
      </c>
      <c r="E40" s="130" t="str">
        <f>VLOOKUP(A40,'[1]Tx Design'!A:E, 5,)</f>
        <v>MW_2026_1995</v>
      </c>
      <c r="F40" s="114" t="s">
        <v>466</v>
      </c>
      <c r="G40" s="31" t="s">
        <v>467</v>
      </c>
      <c r="H40" s="76"/>
      <c r="I40" s="30"/>
      <c r="J40" s="30"/>
      <c r="K40" s="102"/>
      <c r="L40" s="102"/>
      <c r="M40" s="30" t="s">
        <v>313</v>
      </c>
      <c r="N40" s="159"/>
      <c r="O40" s="159"/>
      <c r="P40" s="160"/>
      <c r="Q40" s="159"/>
      <c r="R40" s="159"/>
      <c r="S40" s="160"/>
    </row>
    <row r="41" spans="1:19" ht="19.95" customHeight="1">
      <c r="A41" s="142" t="s">
        <v>161</v>
      </c>
      <c r="B41" s="80" t="s">
        <v>162</v>
      </c>
      <c r="C41" s="80" t="s">
        <v>181</v>
      </c>
      <c r="D41" s="125" t="s">
        <v>8</v>
      </c>
      <c r="E41" s="125" t="str">
        <f>VLOOKUP(A41,'[1]Tx Design'!A:E, 5,)</f>
        <v>MW_2026_1994</v>
      </c>
      <c r="F41" s="113"/>
      <c r="G41" s="77" t="s">
        <v>263</v>
      </c>
      <c r="H41" s="28"/>
      <c r="I41" s="28"/>
      <c r="J41" s="28"/>
      <c r="K41" s="103"/>
      <c r="L41" s="103"/>
      <c r="M41" s="28" t="s">
        <v>313</v>
      </c>
      <c r="N41" s="29" t="s">
        <v>169</v>
      </c>
      <c r="O41" s="29" t="s">
        <v>264</v>
      </c>
      <c r="P41" s="28"/>
      <c r="Q41" s="29" t="s">
        <v>170</v>
      </c>
      <c r="R41" s="29" t="s">
        <v>265</v>
      </c>
      <c r="S41" s="28"/>
    </row>
    <row r="42" spans="1:19" ht="19.95" customHeight="1">
      <c r="A42" s="176" t="s">
        <v>161</v>
      </c>
      <c r="B42" s="79" t="s">
        <v>162</v>
      </c>
      <c r="C42" s="79" t="s">
        <v>181</v>
      </c>
      <c r="D42" s="130" t="s">
        <v>8</v>
      </c>
      <c r="E42" s="130" t="str">
        <f>VLOOKUP(A42,'[1]Tx Design'!A:E, 5,)</f>
        <v>MW_2026_1994</v>
      </c>
      <c r="F42" s="114" t="s">
        <v>466</v>
      </c>
      <c r="G42" s="31" t="s">
        <v>467</v>
      </c>
      <c r="H42" s="30"/>
      <c r="I42" s="30"/>
      <c r="J42" s="30"/>
      <c r="K42" s="102"/>
      <c r="L42" s="102"/>
      <c r="M42" s="30" t="s">
        <v>313</v>
      </c>
      <c r="N42" s="159"/>
      <c r="O42" s="159"/>
      <c r="P42" s="160"/>
      <c r="Q42" s="159"/>
      <c r="R42" s="159"/>
      <c r="S42" s="160"/>
    </row>
    <row r="43" spans="1:19" ht="19.95" customHeight="1">
      <c r="A43" s="176" t="s">
        <v>163</v>
      </c>
      <c r="B43" s="79" t="s">
        <v>164</v>
      </c>
      <c r="C43" s="79" t="s">
        <v>181</v>
      </c>
      <c r="D43" s="130" t="s">
        <v>8</v>
      </c>
      <c r="E43" s="130" t="str">
        <f>VLOOKUP(A43,'[1]Tx Design'!A:E, 5,)</f>
        <v>MW_2026_1966</v>
      </c>
      <c r="F43" s="114" t="s">
        <v>228</v>
      </c>
      <c r="G43" s="31" t="s">
        <v>14</v>
      </c>
      <c r="H43" s="76">
        <v>46219</v>
      </c>
      <c r="I43" s="30"/>
      <c r="J43" s="30" t="s">
        <v>61</v>
      </c>
      <c r="K43" s="102"/>
      <c r="L43" s="102"/>
      <c r="M43" s="30" t="s">
        <v>165</v>
      </c>
      <c r="N43" s="31" t="s">
        <v>171</v>
      </c>
      <c r="O43" s="31" t="s">
        <v>238</v>
      </c>
      <c r="P43" s="30" t="s">
        <v>89</v>
      </c>
      <c r="Q43" s="31" t="s">
        <v>172</v>
      </c>
      <c r="R43" s="31" t="s">
        <v>239</v>
      </c>
      <c r="S43" s="30" t="s">
        <v>73</v>
      </c>
    </row>
    <row r="44" spans="1:19" ht="19.95" customHeight="1">
      <c r="A44" s="176" t="s">
        <v>178</v>
      </c>
      <c r="B44" s="79" t="s">
        <v>186</v>
      </c>
      <c r="C44" s="79" t="s">
        <v>183</v>
      </c>
      <c r="D44" s="130" t="s">
        <v>8</v>
      </c>
      <c r="E44" s="130" t="str">
        <f>VLOOKUP(A44,'[1]Tx Design'!A:E, 5,)</f>
        <v>MW_2026_1992</v>
      </c>
      <c r="F44" s="114" t="s">
        <v>9</v>
      </c>
      <c r="G44" s="31" t="s">
        <v>14</v>
      </c>
      <c r="H44" s="76">
        <v>46223</v>
      </c>
      <c r="I44" s="30"/>
      <c r="J44" s="30" t="s">
        <v>61</v>
      </c>
      <c r="K44" s="102"/>
      <c r="L44" s="102" t="s">
        <v>320</v>
      </c>
      <c r="M44" s="30" t="s">
        <v>271</v>
      </c>
      <c r="N44" s="31" t="s">
        <v>272</v>
      </c>
      <c r="O44" s="31" t="s">
        <v>279</v>
      </c>
      <c r="P44" s="30" t="s">
        <v>73</v>
      </c>
      <c r="Q44" s="31" t="s">
        <v>273</v>
      </c>
      <c r="R44" s="31" t="s">
        <v>280</v>
      </c>
      <c r="S44" s="30" t="s">
        <v>73</v>
      </c>
    </row>
    <row r="45" spans="1:19" ht="19.95" customHeight="1">
      <c r="A45" s="176" t="s">
        <v>166</v>
      </c>
      <c r="B45" s="79" t="s">
        <v>167</v>
      </c>
      <c r="C45" s="79" t="s">
        <v>183</v>
      </c>
      <c r="D45" s="130" t="s">
        <v>10</v>
      </c>
      <c r="E45" s="130" t="str">
        <f>VLOOKUP(A45,'[1]Tx Design'!A:E, 5,)</f>
        <v>WIBAS_2026_1678</v>
      </c>
      <c r="F45" s="114" t="s">
        <v>9</v>
      </c>
      <c r="G45" s="31" t="s">
        <v>14</v>
      </c>
      <c r="H45" s="76">
        <v>46224</v>
      </c>
      <c r="I45" s="30"/>
      <c r="J45" s="30" t="s">
        <v>427</v>
      </c>
      <c r="K45" s="102"/>
      <c r="L45" s="102"/>
      <c r="M45" s="30" t="s">
        <v>281</v>
      </c>
      <c r="N45" s="31" t="s">
        <v>282</v>
      </c>
      <c r="O45" s="31" t="s">
        <v>284</v>
      </c>
      <c r="P45" s="30" t="s">
        <v>88</v>
      </c>
      <c r="Q45" s="31" t="s">
        <v>283</v>
      </c>
      <c r="R45" s="31" t="s">
        <v>285</v>
      </c>
      <c r="S45" s="30" t="s">
        <v>73</v>
      </c>
    </row>
    <row r="46" spans="1:19" ht="19.95" customHeight="1">
      <c r="A46" s="176" t="s">
        <v>176</v>
      </c>
      <c r="B46" s="79" t="s">
        <v>184</v>
      </c>
      <c r="C46" s="79" t="s">
        <v>183</v>
      </c>
      <c r="D46" s="130" t="s">
        <v>8</v>
      </c>
      <c r="E46" s="130" t="str">
        <f>VLOOKUP(A46,'[1]Tx Design'!A:E, 5,)</f>
        <v>MW_2026_2030</v>
      </c>
      <c r="F46" s="114" t="s">
        <v>466</v>
      </c>
      <c r="G46" s="31" t="s">
        <v>468</v>
      </c>
      <c r="H46" s="76"/>
      <c r="I46" s="30"/>
      <c r="J46" s="30"/>
      <c r="K46" s="102"/>
      <c r="L46" s="102"/>
      <c r="M46" s="30" t="s">
        <v>465</v>
      </c>
      <c r="N46" s="174"/>
      <c r="O46" s="174"/>
      <c r="P46" s="175"/>
      <c r="Q46" s="174"/>
      <c r="R46" s="174"/>
      <c r="S46" s="175"/>
    </row>
    <row r="47" spans="1:19" ht="19.95" customHeight="1">
      <c r="A47" s="21" t="s">
        <v>207</v>
      </c>
      <c r="B47" s="21" t="s">
        <v>208</v>
      </c>
      <c r="C47" s="21" t="s">
        <v>225</v>
      </c>
      <c r="D47" s="111" t="s">
        <v>8</v>
      </c>
      <c r="E47" s="40">
        <f>VLOOKUP(A47,'[1]Tx Design'!A:E, 5,)</f>
        <v>0</v>
      </c>
      <c r="F47" s="111"/>
      <c r="G47" s="23"/>
      <c r="H47" s="36"/>
      <c r="I47" s="36"/>
      <c r="J47" s="36"/>
      <c r="K47" s="112"/>
      <c r="L47" s="112"/>
      <c r="M47" s="36"/>
      <c r="N47" s="23"/>
      <c r="O47" s="23"/>
      <c r="P47" s="36"/>
      <c r="Q47" s="23"/>
      <c r="R47" s="23"/>
      <c r="S47" s="36"/>
    </row>
    <row r="48" spans="1:19" ht="19.95" customHeight="1">
      <c r="A48" s="21" t="s">
        <v>209</v>
      </c>
      <c r="B48" s="21" t="s">
        <v>210</v>
      </c>
      <c r="C48" s="21" t="s">
        <v>225</v>
      </c>
      <c r="D48" s="111" t="s">
        <v>8</v>
      </c>
      <c r="E48" s="40">
        <f>VLOOKUP(A48,'[1]Tx Design'!A:E, 5,)</f>
        <v>0</v>
      </c>
      <c r="F48" s="111"/>
      <c r="G48" s="23"/>
      <c r="H48" s="36"/>
      <c r="I48" s="36"/>
      <c r="J48" s="36"/>
      <c r="K48" s="112"/>
      <c r="L48" s="112"/>
      <c r="M48" s="36" t="s">
        <v>414</v>
      </c>
      <c r="N48" s="23"/>
      <c r="O48" s="23"/>
      <c r="P48" s="36"/>
      <c r="Q48" s="23"/>
      <c r="R48" s="23"/>
      <c r="S48" s="36"/>
    </row>
    <row r="49" spans="1:19" ht="19.95" customHeight="1">
      <c r="A49" s="21" t="s">
        <v>211</v>
      </c>
      <c r="B49" s="21" t="s">
        <v>212</v>
      </c>
      <c r="C49" s="21" t="s">
        <v>225</v>
      </c>
      <c r="D49" s="111" t="s">
        <v>8</v>
      </c>
      <c r="E49" s="40">
        <f>VLOOKUP(A49,'[1]Tx Design'!A:E, 5,)</f>
        <v>0</v>
      </c>
      <c r="F49" s="111"/>
      <c r="G49" s="23"/>
      <c r="H49" s="36"/>
      <c r="I49" s="36"/>
      <c r="J49" s="36"/>
      <c r="K49" s="112"/>
      <c r="L49" s="112"/>
      <c r="M49" s="36"/>
      <c r="N49" s="23"/>
      <c r="O49" s="23"/>
      <c r="P49" s="36"/>
      <c r="Q49" s="23"/>
      <c r="R49" s="23"/>
      <c r="S49" s="36"/>
    </row>
    <row r="50" spans="1:19" ht="19.95" customHeight="1">
      <c r="A50" s="79" t="s">
        <v>201</v>
      </c>
      <c r="B50" s="79" t="s">
        <v>202</v>
      </c>
      <c r="C50" s="79" t="s">
        <v>183</v>
      </c>
      <c r="D50" s="114" t="s">
        <v>10</v>
      </c>
      <c r="E50" s="130" t="str">
        <f>VLOOKUP(A50,'[1]Tx Design'!A:E, 5,)</f>
        <v>WIBAS_2026_1651</v>
      </c>
      <c r="F50" s="114" t="s">
        <v>99</v>
      </c>
      <c r="G50" s="31" t="s">
        <v>14</v>
      </c>
      <c r="H50" s="76">
        <v>46225</v>
      </c>
      <c r="I50" s="30"/>
      <c r="J50" s="30" t="s">
        <v>427</v>
      </c>
      <c r="K50" s="102"/>
      <c r="L50" s="102" t="s">
        <v>428</v>
      </c>
      <c r="M50" s="30" t="s">
        <v>335</v>
      </c>
      <c r="N50" s="31" t="s">
        <v>336</v>
      </c>
      <c r="O50" s="31" t="s">
        <v>368</v>
      </c>
      <c r="P50" s="30" t="s">
        <v>88</v>
      </c>
      <c r="Q50" s="31" t="s">
        <v>128</v>
      </c>
      <c r="R50" s="31" t="s">
        <v>129</v>
      </c>
      <c r="S50" s="30" t="s">
        <v>73</v>
      </c>
    </row>
    <row r="51" spans="1:19" ht="19.95" customHeight="1">
      <c r="A51" s="79" t="s">
        <v>199</v>
      </c>
      <c r="B51" s="79" t="s">
        <v>200</v>
      </c>
      <c r="C51" s="79" t="s">
        <v>183</v>
      </c>
      <c r="D51" s="114" t="s">
        <v>8</v>
      </c>
      <c r="E51" s="130" t="str">
        <f>VLOOKUP(A51,'[1]Tx Design'!A:E, 5,)</f>
        <v>MW_2026_2123</v>
      </c>
      <c r="F51" s="114" t="s">
        <v>466</v>
      </c>
      <c r="G51" s="31" t="s">
        <v>469</v>
      </c>
      <c r="H51" s="30"/>
      <c r="I51" s="30"/>
      <c r="J51" s="30"/>
      <c r="K51" s="102"/>
      <c r="L51" s="102"/>
      <c r="M51" s="30" t="s">
        <v>465</v>
      </c>
      <c r="N51" s="174"/>
      <c r="O51" s="174"/>
      <c r="P51" s="175"/>
      <c r="Q51" s="174"/>
      <c r="R51" s="174"/>
      <c r="S51" s="175"/>
    </row>
    <row r="52" spans="1:19" ht="19.95" customHeight="1">
      <c r="A52" s="9" t="s">
        <v>219</v>
      </c>
      <c r="B52" s="9" t="s">
        <v>220</v>
      </c>
      <c r="C52" s="85" t="s">
        <v>225</v>
      </c>
      <c r="D52" s="111" t="s">
        <v>8</v>
      </c>
      <c r="E52" s="40">
        <f>VLOOKUP(A52,'[1]Tx Design'!A:E, 5,)</f>
        <v>0</v>
      </c>
      <c r="F52" s="111"/>
      <c r="G52" s="23"/>
      <c r="H52" s="36"/>
      <c r="I52" s="36"/>
      <c r="J52" s="36"/>
      <c r="K52" s="112"/>
      <c r="L52" s="112"/>
      <c r="M52" s="36" t="s">
        <v>412</v>
      </c>
      <c r="N52" s="23"/>
      <c r="O52" s="23"/>
      <c r="P52" s="36"/>
      <c r="Q52" s="23"/>
      <c r="R52" s="23"/>
      <c r="S52" s="36"/>
    </row>
    <row r="53" spans="1:19" ht="19.95" customHeight="1">
      <c r="A53" s="148" t="s">
        <v>221</v>
      </c>
      <c r="B53" s="148" t="s">
        <v>222</v>
      </c>
      <c r="C53" s="149" t="s">
        <v>225</v>
      </c>
      <c r="D53" s="114" t="s">
        <v>8</v>
      </c>
      <c r="E53" s="130">
        <f>VLOOKUP(A53,'[1]Tx Design'!A:E, 5,)</f>
        <v>0</v>
      </c>
      <c r="F53" s="114" t="s">
        <v>99</v>
      </c>
      <c r="G53" s="31" t="s">
        <v>14</v>
      </c>
      <c r="H53" s="76">
        <v>46231</v>
      </c>
      <c r="I53" s="30"/>
      <c r="J53" s="30"/>
      <c r="K53" s="102"/>
      <c r="L53" s="102"/>
      <c r="M53" s="30" t="s">
        <v>413</v>
      </c>
      <c r="N53" s="31" t="s">
        <v>419</v>
      </c>
      <c r="O53" s="31" t="s">
        <v>443</v>
      </c>
      <c r="P53" s="30"/>
      <c r="Q53" s="31" t="s">
        <v>420</v>
      </c>
      <c r="R53" s="31" t="s">
        <v>444</v>
      </c>
      <c r="S53" s="30"/>
    </row>
    <row r="54" spans="1:19" ht="19.95" customHeight="1">
      <c r="A54" s="148" t="s">
        <v>223</v>
      </c>
      <c r="B54" s="148" t="s">
        <v>224</v>
      </c>
      <c r="C54" s="149" t="s">
        <v>225</v>
      </c>
      <c r="D54" s="114" t="s">
        <v>8</v>
      </c>
      <c r="E54" s="130">
        <f>VLOOKUP(A54,'[1]Tx Design'!A:E, 5,)</f>
        <v>0</v>
      </c>
      <c r="F54" s="114" t="s">
        <v>99</v>
      </c>
      <c r="G54" s="31" t="s">
        <v>14</v>
      </c>
      <c r="H54" s="76">
        <v>46224</v>
      </c>
      <c r="I54" s="30"/>
      <c r="J54" s="30" t="s">
        <v>61</v>
      </c>
      <c r="K54" s="102"/>
      <c r="L54" s="102" t="s">
        <v>442</v>
      </c>
      <c r="M54" s="30" t="s">
        <v>323</v>
      </c>
      <c r="N54" s="31" t="s">
        <v>321</v>
      </c>
      <c r="O54" s="31" t="s">
        <v>330</v>
      </c>
      <c r="P54" s="30" t="s">
        <v>73</v>
      </c>
      <c r="Q54" s="31" t="s">
        <v>322</v>
      </c>
      <c r="R54" s="31" t="s">
        <v>329</v>
      </c>
      <c r="S54" s="30" t="s">
        <v>73</v>
      </c>
    </row>
    <row r="55" spans="1:19" ht="19.95" customHeight="1">
      <c r="A55" s="172" t="s">
        <v>197</v>
      </c>
      <c r="B55" s="172" t="s">
        <v>198</v>
      </c>
      <c r="C55" s="172" t="s">
        <v>183</v>
      </c>
      <c r="D55" s="161" t="s">
        <v>8</v>
      </c>
      <c r="E55" s="162">
        <f>VLOOKUP(A55,'[1]Tx Design'!A:E, 5,)</f>
        <v>0</v>
      </c>
      <c r="F55" s="161"/>
      <c r="G55" s="163"/>
      <c r="H55" s="164"/>
      <c r="I55" s="164"/>
      <c r="J55" s="164"/>
      <c r="K55" s="165"/>
      <c r="L55" s="165"/>
      <c r="M55" s="164" t="s">
        <v>408</v>
      </c>
      <c r="N55" s="163" t="s">
        <v>417</v>
      </c>
      <c r="O55" s="163" t="s">
        <v>447</v>
      </c>
      <c r="P55" s="164"/>
      <c r="Q55" s="163" t="s">
        <v>418</v>
      </c>
      <c r="R55" s="163" t="s">
        <v>448</v>
      </c>
      <c r="S55" s="164"/>
    </row>
    <row r="56" spans="1:19" ht="19.95" customHeight="1">
      <c r="A56" s="202" t="s">
        <v>292</v>
      </c>
      <c r="B56" s="203" t="s">
        <v>293</v>
      </c>
      <c r="C56" s="23" t="s">
        <v>183</v>
      </c>
      <c r="D56" s="40" t="s">
        <v>8</v>
      </c>
      <c r="E56" s="40">
        <f>VLOOKUP(A56,'[1]Tx Design'!A:E, 5,)</f>
        <v>0</v>
      </c>
      <c r="F56" s="111"/>
      <c r="G56" s="23"/>
      <c r="H56" s="36"/>
      <c r="I56" s="36"/>
      <c r="J56" s="36"/>
      <c r="K56" s="112"/>
      <c r="L56" s="112"/>
      <c r="M56" s="36" t="s">
        <v>411</v>
      </c>
      <c r="N56" s="23" t="s">
        <v>415</v>
      </c>
      <c r="O56" s="23" t="s">
        <v>449</v>
      </c>
      <c r="P56" s="36"/>
      <c r="Q56" s="23" t="s">
        <v>416</v>
      </c>
      <c r="R56" s="23" t="s">
        <v>450</v>
      </c>
      <c r="S56" s="36"/>
    </row>
    <row r="57" spans="1:19" ht="19.95" customHeight="1">
      <c r="A57" s="202" t="s">
        <v>296</v>
      </c>
      <c r="B57" s="203" t="s">
        <v>297</v>
      </c>
      <c r="C57" s="23" t="s">
        <v>183</v>
      </c>
      <c r="D57" s="40" t="s">
        <v>10</v>
      </c>
      <c r="E57" s="40">
        <f>VLOOKUP(A57,'[1]Tx Design'!A:E, 5,)</f>
        <v>0</v>
      </c>
      <c r="F57" s="111"/>
      <c r="G57" s="23"/>
      <c r="H57" s="36"/>
      <c r="I57" s="36"/>
      <c r="J57" s="36"/>
      <c r="K57" s="112"/>
      <c r="L57" s="112"/>
      <c r="M57" s="36"/>
      <c r="N57" s="23"/>
      <c r="O57" s="23"/>
      <c r="P57" s="36"/>
      <c r="Q57" s="23"/>
      <c r="R57" s="23"/>
      <c r="S57" s="36"/>
    </row>
    <row r="58" spans="1:19" ht="19.95" customHeight="1">
      <c r="A58" s="202" t="s">
        <v>298</v>
      </c>
      <c r="B58" s="203" t="s">
        <v>299</v>
      </c>
      <c r="C58" s="23" t="s">
        <v>183</v>
      </c>
      <c r="D58" s="40" t="s">
        <v>8</v>
      </c>
      <c r="E58" s="40" t="str">
        <f>VLOOKUP(A58,'[1]Tx Design'!A:E, 5,)</f>
        <v>MW_2026_1877</v>
      </c>
      <c r="F58" s="111"/>
      <c r="G58" s="23"/>
      <c r="H58" s="36"/>
      <c r="I58" s="36"/>
      <c r="J58" s="36"/>
      <c r="K58" s="112"/>
      <c r="L58" s="112"/>
      <c r="M58" s="36" t="s">
        <v>360</v>
      </c>
      <c r="N58" s="23" t="s">
        <v>361</v>
      </c>
      <c r="O58" s="23" t="s">
        <v>369</v>
      </c>
      <c r="P58" s="36"/>
      <c r="Q58" s="23" t="s">
        <v>362</v>
      </c>
      <c r="R58" s="23" t="s">
        <v>370</v>
      </c>
      <c r="S58" s="36"/>
    </row>
    <row r="59" spans="1:19" ht="19.95" customHeight="1">
      <c r="A59" s="202" t="s">
        <v>305</v>
      </c>
      <c r="B59" s="203" t="s">
        <v>306</v>
      </c>
      <c r="C59" s="23" t="s">
        <v>183</v>
      </c>
      <c r="D59" s="40" t="s">
        <v>10</v>
      </c>
      <c r="E59" s="40">
        <f>VLOOKUP(A59,'[1]Tx Design'!A:E, 5,)</f>
        <v>0</v>
      </c>
      <c r="F59" s="111"/>
      <c r="G59" s="23"/>
      <c r="H59" s="36"/>
      <c r="I59" s="36"/>
      <c r="J59" s="36"/>
      <c r="K59" s="112"/>
      <c r="L59" s="112"/>
      <c r="M59" s="36"/>
      <c r="N59" s="23"/>
      <c r="O59" s="23"/>
      <c r="P59" s="36"/>
      <c r="Q59" s="23"/>
      <c r="R59" s="23"/>
      <c r="S59" s="36"/>
    </row>
    <row r="60" spans="1:19" ht="19.95" customHeight="1">
      <c r="A60" s="197" t="s">
        <v>175</v>
      </c>
      <c r="B60" s="197" t="s">
        <v>182</v>
      </c>
      <c r="C60" s="177" t="s">
        <v>183</v>
      </c>
      <c r="D60" s="167" t="s">
        <v>8</v>
      </c>
      <c r="E60" s="167" t="str">
        <f>VLOOKUP(A60,'[1]Tx Design'!A:E, 5,)</f>
        <v>Pending</v>
      </c>
      <c r="F60" s="168"/>
      <c r="G60" s="169"/>
      <c r="H60" s="170"/>
      <c r="I60" s="170"/>
      <c r="J60" s="170"/>
      <c r="K60" s="171"/>
      <c r="L60" s="171"/>
      <c r="M60" s="170" t="s">
        <v>324</v>
      </c>
      <c r="N60" s="169" t="s">
        <v>325</v>
      </c>
      <c r="O60" s="169" t="s">
        <v>328</v>
      </c>
      <c r="P60" s="170"/>
      <c r="Q60" s="169" t="s">
        <v>326</v>
      </c>
      <c r="R60" s="169" t="s">
        <v>327</v>
      </c>
      <c r="S60" s="170"/>
    </row>
    <row r="61" spans="1:19" ht="19.95" customHeight="1">
      <c r="A61" s="195" t="s">
        <v>300</v>
      </c>
      <c r="B61" s="196" t="s">
        <v>301</v>
      </c>
      <c r="C61" s="31" t="s">
        <v>183</v>
      </c>
      <c r="D61" s="130" t="s">
        <v>8</v>
      </c>
      <c r="E61" s="130" t="str">
        <f>VLOOKUP(A61,'[1]Tx Design'!A:E, 5,)</f>
        <v>MW_2026_1991</v>
      </c>
      <c r="F61" s="114" t="s">
        <v>99</v>
      </c>
      <c r="G61" s="31" t="s">
        <v>14</v>
      </c>
      <c r="H61" s="76">
        <v>46231</v>
      </c>
      <c r="I61" s="30"/>
      <c r="J61" s="30"/>
      <c r="K61" s="102"/>
      <c r="L61" s="102"/>
      <c r="M61" s="30" t="s">
        <v>341</v>
      </c>
      <c r="N61" s="31" t="s">
        <v>342</v>
      </c>
      <c r="O61" s="31" t="s">
        <v>371</v>
      </c>
      <c r="P61" s="30"/>
      <c r="Q61" s="31" t="s">
        <v>343</v>
      </c>
      <c r="R61" s="31" t="s">
        <v>372</v>
      </c>
      <c r="S61" s="30" t="s">
        <v>88</v>
      </c>
    </row>
    <row r="62" spans="1:19" ht="19.95" customHeight="1">
      <c r="A62" s="108"/>
      <c r="B62" s="108"/>
      <c r="C62" s="108"/>
    </row>
    <row r="63" spans="1:19" ht="19.95" customHeight="1"/>
    <row r="64" spans="1:19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</sheetData>
  <autoFilter ref="A2:S24" xr:uid="{D63AA94B-C4BC-4E1D-9AF1-A221E670E616}"/>
  <mergeCells count="2">
    <mergeCell ref="N1:O1"/>
    <mergeCell ref="Q1:R1"/>
  </mergeCells>
  <phoneticPr fontId="19" type="noConversion"/>
  <conditionalFormatting sqref="A1 A62:A1048576">
    <cfRule type="duplicateValues" dxfId="127" priority="64"/>
  </conditionalFormatting>
  <conditionalFormatting sqref="A62:A1048576">
    <cfRule type="duplicateValues" dxfId="126" priority="61"/>
  </conditionalFormatting>
  <conditionalFormatting sqref="A1:B1 A62:B1048576">
    <cfRule type="duplicateValues" dxfId="125" priority="58"/>
  </conditionalFormatting>
  <conditionalFormatting sqref="A40">
    <cfRule type="duplicateValues" dxfId="124" priority="31"/>
    <cfRule type="duplicateValues" dxfId="123" priority="32"/>
  </conditionalFormatting>
  <conditionalFormatting sqref="A40">
    <cfRule type="duplicateValues" dxfId="122" priority="33"/>
  </conditionalFormatting>
  <conditionalFormatting sqref="A40">
    <cfRule type="duplicateValues" dxfId="121" priority="34"/>
  </conditionalFormatting>
  <conditionalFormatting sqref="A40">
    <cfRule type="duplicateValues" dxfId="120" priority="35"/>
  </conditionalFormatting>
  <conditionalFormatting sqref="A40">
    <cfRule type="duplicateValues" dxfId="119" priority="28"/>
    <cfRule type="duplicateValues" dxfId="118" priority="29"/>
    <cfRule type="duplicateValues" dxfId="117" priority="30"/>
  </conditionalFormatting>
  <conditionalFormatting sqref="A40 A43:A48">
    <cfRule type="duplicateValues" dxfId="116" priority="27"/>
  </conditionalFormatting>
  <conditionalFormatting sqref="A40">
    <cfRule type="duplicateValues" dxfId="115" priority="36"/>
  </conditionalFormatting>
  <conditionalFormatting sqref="A50:A51">
    <cfRule type="duplicateValues" dxfId="114" priority="20"/>
    <cfRule type="duplicateValues" dxfId="113" priority="21"/>
  </conditionalFormatting>
  <conditionalFormatting sqref="A50:A51">
    <cfRule type="duplicateValues" dxfId="112" priority="22"/>
  </conditionalFormatting>
  <conditionalFormatting sqref="A50:A51">
    <cfRule type="duplicateValues" dxfId="111" priority="23"/>
  </conditionalFormatting>
  <conditionalFormatting sqref="A50:A51">
    <cfRule type="duplicateValues" dxfId="110" priority="24"/>
  </conditionalFormatting>
  <conditionalFormatting sqref="A50:A51">
    <cfRule type="duplicateValues" dxfId="109" priority="25"/>
  </conditionalFormatting>
  <conditionalFormatting sqref="A48:A50">
    <cfRule type="duplicateValues" dxfId="108" priority="17"/>
    <cfRule type="duplicateValues" dxfId="107" priority="18"/>
    <cfRule type="duplicateValues" dxfId="106" priority="19"/>
  </conditionalFormatting>
  <conditionalFormatting sqref="A48:A51">
    <cfRule type="duplicateValues" dxfId="105" priority="26"/>
  </conditionalFormatting>
  <conditionalFormatting sqref="A60 A51:A52">
    <cfRule type="duplicateValues" dxfId="104" priority="16"/>
  </conditionalFormatting>
  <conditionalFormatting sqref="A60 A52">
    <cfRule type="duplicateValues" dxfId="103" priority="12"/>
  </conditionalFormatting>
  <conditionalFormatting sqref="A60 A52">
    <cfRule type="duplicateValues" dxfId="102" priority="13"/>
    <cfRule type="duplicateValues" dxfId="101" priority="14"/>
    <cfRule type="duplicateValues" dxfId="100" priority="15"/>
  </conditionalFormatting>
  <conditionalFormatting sqref="B60 B52">
    <cfRule type="duplicateValues" dxfId="99" priority="11"/>
  </conditionalFormatting>
  <conditionalFormatting sqref="A52:A55">
    <cfRule type="duplicateValues" dxfId="98" priority="37"/>
    <cfRule type="duplicateValues" dxfId="97" priority="38"/>
    <cfRule type="duplicateValues" dxfId="96" priority="39"/>
    <cfRule type="duplicateValues" dxfId="95" priority="40"/>
    <cfRule type="duplicateValues" dxfId="94" priority="41"/>
    <cfRule type="duplicateValues" dxfId="93" priority="42"/>
    <cfRule type="duplicateValues" dxfId="92" priority="43"/>
    <cfRule type="duplicateValues" dxfId="91" priority="44"/>
    <cfRule type="duplicateValues" dxfId="90" priority="45"/>
    <cfRule type="duplicateValues" dxfId="89" priority="46"/>
  </conditionalFormatting>
  <conditionalFormatting sqref="A56:B59 A61:B61">
    <cfRule type="duplicateValues" dxfId="88" priority="10"/>
  </conditionalFormatting>
  <conditionalFormatting sqref="A40 A43:A61">
    <cfRule type="duplicateValues" dxfId="87" priority="9"/>
  </conditionalFormatting>
  <conditionalFormatting sqref="A40:B40 A43:B61">
    <cfRule type="duplicateValues" dxfId="86" priority="8"/>
  </conditionalFormatting>
  <conditionalFormatting sqref="A60 A51">
    <cfRule type="duplicateValues" dxfId="85" priority="47"/>
  </conditionalFormatting>
  <conditionalFormatting sqref="A60 A51">
    <cfRule type="duplicateValues" dxfId="84" priority="48"/>
    <cfRule type="duplicateValues" dxfId="83" priority="49"/>
    <cfRule type="duplicateValues" dxfId="82" priority="50"/>
  </conditionalFormatting>
  <conditionalFormatting sqref="A3:A7">
    <cfRule type="duplicateValues" dxfId="81" priority="3"/>
    <cfRule type="duplicateValues" dxfId="80" priority="4"/>
    <cfRule type="duplicateValues" dxfId="79" priority="5"/>
  </conditionalFormatting>
  <conditionalFormatting sqref="B3:B7">
    <cfRule type="duplicateValues" dxfId="78" priority="6"/>
  </conditionalFormatting>
  <conditionalFormatting sqref="A3:A7">
    <cfRule type="duplicateValues" dxfId="77" priority="7"/>
  </conditionalFormatting>
  <conditionalFormatting sqref="B38">
    <cfRule type="duplicateValues" dxfId="76" priority="2"/>
  </conditionalFormatting>
  <conditionalFormatting sqref="A38">
    <cfRule type="duplicateValues" dxfId="75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3EF5A-8309-40AA-A910-B36D842E5DEA}">
  <sheetPr codeName="Sheet5"/>
  <dimension ref="A1:I67"/>
  <sheetViews>
    <sheetView zoomScale="70" zoomScaleNormal="70" workbookViewId="0">
      <pane xSplit="6" ySplit="2" topLeftCell="G3" activePane="bottomRight" state="frozen"/>
      <selection activeCell="RR41" sqref="RR41"/>
      <selection pane="topRight" activeCell="RR41" sqref="RR41"/>
      <selection pane="bottomLeft" activeCell="RR41" sqref="RR41"/>
      <selection pane="bottomRight"/>
    </sheetView>
  </sheetViews>
  <sheetFormatPr defaultColWidth="9" defaultRowHeight="14.4"/>
  <cols>
    <col min="1" max="1" width="10.77734375" style="2" customWidth="1"/>
    <col min="2" max="2" width="30.77734375" style="2" customWidth="1"/>
    <col min="3" max="3" width="40.77734375" style="2" customWidth="1"/>
    <col min="4" max="9" width="15.77734375" style="1" customWidth="1"/>
  </cols>
  <sheetData>
    <row r="1" spans="1:9" s="3" customFormat="1" ht="49.8" customHeight="1">
      <c r="A1" s="157" t="s">
        <v>0</v>
      </c>
      <c r="B1" s="157" t="s">
        <v>1</v>
      </c>
      <c r="C1" s="156" t="s">
        <v>118</v>
      </c>
      <c r="D1" s="7" t="s">
        <v>2</v>
      </c>
      <c r="E1" s="157" t="s">
        <v>3</v>
      </c>
      <c r="F1" s="157" t="s">
        <v>4</v>
      </c>
      <c r="G1" s="147" t="s">
        <v>19</v>
      </c>
      <c r="H1" s="147" t="s">
        <v>20</v>
      </c>
      <c r="I1" s="147" t="s">
        <v>240</v>
      </c>
    </row>
    <row r="2" spans="1:9" s="3" customFormat="1" ht="19.95" customHeight="1">
      <c r="A2" s="17">
        <f t="shared" ref="A2:I2" si="0">SUBTOTAL(103, A3:A148)</f>
        <v>64</v>
      </c>
      <c r="B2" s="17">
        <f t="shared" si="0"/>
        <v>64</v>
      </c>
      <c r="C2" s="17">
        <f>SUBTOTAL(103, C3:C148)</f>
        <v>64</v>
      </c>
      <c r="D2" s="17">
        <f t="shared" si="0"/>
        <v>64</v>
      </c>
      <c r="E2" s="17">
        <f t="shared" si="0"/>
        <v>64</v>
      </c>
      <c r="F2" s="17">
        <f t="shared" si="0"/>
        <v>64</v>
      </c>
      <c r="G2" s="17">
        <f t="shared" si="0"/>
        <v>64</v>
      </c>
      <c r="H2" s="17">
        <f t="shared" si="0"/>
        <v>64</v>
      </c>
      <c r="I2" s="17">
        <f t="shared" si="0"/>
        <v>11</v>
      </c>
    </row>
    <row r="3" spans="1:9" s="207" customFormat="1" ht="19.95" customHeight="1">
      <c r="A3" s="290" t="s">
        <v>501</v>
      </c>
      <c r="B3" s="290" t="s">
        <v>502</v>
      </c>
      <c r="C3" s="290" t="s">
        <v>503</v>
      </c>
      <c r="D3" s="291" t="s">
        <v>6</v>
      </c>
      <c r="E3" s="204" t="str">
        <f>VLOOKUP(A3,'Full Plan'!A:E,5,)</f>
        <v>Asanka</v>
      </c>
      <c r="F3" s="204" t="str">
        <f>VLOOKUP(A3,'Full Plan'!A:H,8,)</f>
        <v>MW-HYB</v>
      </c>
      <c r="G3" s="296">
        <v>6.9132009999999999</v>
      </c>
      <c r="H3" s="296">
        <v>79.941010000000006</v>
      </c>
      <c r="I3" s="297" t="s">
        <v>1198</v>
      </c>
    </row>
    <row r="4" spans="1:9" s="207" customFormat="1" ht="19.95" customHeight="1">
      <c r="A4" s="290" t="s">
        <v>658</v>
      </c>
      <c r="B4" s="290" t="s">
        <v>659</v>
      </c>
      <c r="C4" s="290" t="s">
        <v>503</v>
      </c>
      <c r="D4" s="291" t="s">
        <v>6</v>
      </c>
      <c r="E4" s="204" t="str">
        <f>VLOOKUP(A4,'Full Plan'!A:E,5,)</f>
        <v>Chanaka</v>
      </c>
      <c r="F4" s="204" t="str">
        <f>VLOOKUP(A4,'Full Plan'!A:H,8,)</f>
        <v>OFN</v>
      </c>
      <c r="G4" s="298">
        <v>6.863842</v>
      </c>
      <c r="H4" s="298">
        <v>79.883600000000001</v>
      </c>
      <c r="I4" s="299" t="s">
        <v>1199</v>
      </c>
    </row>
    <row r="5" spans="1:9" s="207" customFormat="1" ht="19.95" customHeight="1">
      <c r="A5" s="290" t="s">
        <v>523</v>
      </c>
      <c r="B5" s="290" t="s">
        <v>524</v>
      </c>
      <c r="C5" s="290" t="s">
        <v>503</v>
      </c>
      <c r="D5" s="291" t="s">
        <v>6</v>
      </c>
      <c r="E5" s="204" t="str">
        <f>VLOOKUP(A5,'Full Plan'!A:E,5,)</f>
        <v>Chanaka</v>
      </c>
      <c r="F5" s="204" t="str">
        <f>VLOOKUP(A5,'Full Plan'!A:H,8,)</f>
        <v>MW-HYB</v>
      </c>
      <c r="G5" s="296">
        <v>6.9248000000000003</v>
      </c>
      <c r="H5" s="296">
        <v>79.919600000000003</v>
      </c>
      <c r="I5" s="297" t="s">
        <v>1198</v>
      </c>
    </row>
    <row r="6" spans="1:9" s="207" customFormat="1" ht="19.95" customHeight="1">
      <c r="A6" s="290" t="s">
        <v>532</v>
      </c>
      <c r="B6" s="290" t="s">
        <v>533</v>
      </c>
      <c r="C6" s="290" t="s">
        <v>503</v>
      </c>
      <c r="D6" s="291" t="s">
        <v>121</v>
      </c>
      <c r="E6" s="204" t="str">
        <f>VLOOKUP(A6,'Full Plan'!A:E,5,)</f>
        <v>Chanaka</v>
      </c>
      <c r="F6" s="204" t="str">
        <f>VLOOKUP(A6,'Full Plan'!A:H,8,)</f>
        <v>MW-HYB</v>
      </c>
      <c r="G6" s="300">
        <v>9.7334219999999991</v>
      </c>
      <c r="H6" s="300">
        <v>79.965716999999998</v>
      </c>
      <c r="I6" s="301"/>
    </row>
    <row r="7" spans="1:9" s="207" customFormat="1" ht="19.95" customHeight="1">
      <c r="A7" s="292" t="s">
        <v>538</v>
      </c>
      <c r="B7" s="292" t="s">
        <v>539</v>
      </c>
      <c r="C7" s="293" t="s">
        <v>503</v>
      </c>
      <c r="D7" s="291" t="s">
        <v>121</v>
      </c>
      <c r="E7" s="204" t="str">
        <f>VLOOKUP(A7,'Full Plan'!A:E,5,)</f>
        <v>Chanaka</v>
      </c>
      <c r="F7" s="204" t="str">
        <f>VLOOKUP(A7,'Full Plan'!A:H,8,)</f>
        <v>WiBAS</v>
      </c>
      <c r="G7" s="298">
        <v>8.8242130000000003</v>
      </c>
      <c r="H7" s="298">
        <v>80.429464999999993</v>
      </c>
      <c r="I7" s="299" t="s">
        <v>470</v>
      </c>
    </row>
    <row r="8" spans="1:9" s="207" customFormat="1" ht="19.95" customHeight="1">
      <c r="A8" s="290" t="s">
        <v>548</v>
      </c>
      <c r="B8" s="290" t="s">
        <v>549</v>
      </c>
      <c r="C8" s="290" t="s">
        <v>503</v>
      </c>
      <c r="D8" s="291" t="s">
        <v>11</v>
      </c>
      <c r="E8" s="204" t="str">
        <f>VLOOKUP(A8,'Full Plan'!A:E,5,)</f>
        <v>Lucky</v>
      </c>
      <c r="F8" s="204" t="str">
        <f>VLOOKUP(A8,'Full Plan'!A:H,8,)</f>
        <v>MW-HYB</v>
      </c>
      <c r="G8" s="296">
        <v>7.3432919999999999</v>
      </c>
      <c r="H8" s="296">
        <v>79.851557</v>
      </c>
      <c r="I8" s="297"/>
    </row>
    <row r="9" spans="1:9" s="207" customFormat="1" ht="19.95" customHeight="1">
      <c r="A9" s="292" t="s">
        <v>528</v>
      </c>
      <c r="B9" s="292" t="s">
        <v>529</v>
      </c>
      <c r="C9" s="293" t="s">
        <v>503</v>
      </c>
      <c r="D9" s="291" t="s">
        <v>11</v>
      </c>
      <c r="E9" s="204" t="str">
        <f>VLOOKUP(A9,'Full Plan'!A:E,5,)</f>
        <v>Lucky</v>
      </c>
      <c r="F9" s="204" t="str">
        <f>VLOOKUP(A9,'Full Plan'!A:H,8,)</f>
        <v>WiBAS</v>
      </c>
      <c r="G9" s="298">
        <v>7.50868</v>
      </c>
      <c r="H9" s="298">
        <v>80.378242</v>
      </c>
      <c r="I9" s="299"/>
    </row>
    <row r="10" spans="1:9" s="207" customFormat="1" ht="19.95" customHeight="1">
      <c r="A10" s="290" t="s">
        <v>519</v>
      </c>
      <c r="B10" s="290" t="s">
        <v>520</v>
      </c>
      <c r="C10" s="290" t="s">
        <v>503</v>
      </c>
      <c r="D10" s="291" t="s">
        <v>6</v>
      </c>
      <c r="E10" s="204" t="str">
        <f>VLOOKUP(A10,'Full Plan'!A:E,5,)</f>
        <v>Lucky</v>
      </c>
      <c r="F10" s="204" t="str">
        <f>VLOOKUP(A10,'Full Plan'!A:H,8,)</f>
        <v>MW-HYB</v>
      </c>
      <c r="G10" s="296">
        <v>7.1864400000000002</v>
      </c>
      <c r="H10" s="296">
        <v>80.112718999999998</v>
      </c>
      <c r="I10" s="297"/>
    </row>
    <row r="11" spans="1:9" s="207" customFormat="1" ht="19.95" customHeight="1">
      <c r="A11" s="290" t="s">
        <v>544</v>
      </c>
      <c r="B11" s="290" t="s">
        <v>545</v>
      </c>
      <c r="C11" s="290" t="s">
        <v>503</v>
      </c>
      <c r="D11" s="291" t="s">
        <v>121</v>
      </c>
      <c r="E11" s="204" t="str">
        <f>VLOOKUP(A11,'Full Plan'!A:E,5,)</f>
        <v>Sudarshan</v>
      </c>
      <c r="F11" s="204" t="str">
        <f>VLOOKUP(A11,'Full Plan'!A:H,8,)</f>
        <v>OFN</v>
      </c>
      <c r="G11" s="298">
        <v>8.9566409999999994</v>
      </c>
      <c r="H11" s="298">
        <v>79.963121000000001</v>
      </c>
      <c r="I11" s="299"/>
    </row>
    <row r="12" spans="1:9" s="207" customFormat="1" ht="19.95" customHeight="1">
      <c r="A12" s="293" t="s">
        <v>512</v>
      </c>
      <c r="B12" s="293" t="s">
        <v>513</v>
      </c>
      <c r="C12" s="293" t="s">
        <v>503</v>
      </c>
      <c r="D12" s="294" t="s">
        <v>121</v>
      </c>
      <c r="E12" s="204" t="str">
        <f>VLOOKUP(A12,'Full Plan'!A:E,5,)</f>
        <v>Sudarshan</v>
      </c>
      <c r="F12" s="204" t="str">
        <f>VLOOKUP(A12,'Full Plan'!A:H,8,)</f>
        <v>WiBAS</v>
      </c>
      <c r="G12" s="302">
        <v>9.0631109999999993</v>
      </c>
      <c r="H12" s="302">
        <v>79.844527999999997</v>
      </c>
      <c r="I12" s="303"/>
    </row>
    <row r="13" spans="1:9" s="207" customFormat="1" ht="19.95" customHeight="1">
      <c r="A13" s="205" t="s">
        <v>604</v>
      </c>
      <c r="B13" s="205" t="s">
        <v>605</v>
      </c>
      <c r="C13" s="290" t="s">
        <v>606</v>
      </c>
      <c r="D13" s="291" t="s">
        <v>11</v>
      </c>
      <c r="E13" s="204" t="str">
        <f>VLOOKUP(A13,'Full Plan'!A:E,5,)</f>
        <v>Chanaka</v>
      </c>
      <c r="F13" s="204" t="str">
        <f>VLOOKUP(A13,'Full Plan'!A:H,8,)</f>
        <v>MW-HYB-Redep</v>
      </c>
      <c r="G13" s="296">
        <v>7.5305986000000003</v>
      </c>
      <c r="H13" s="296">
        <v>80.341147399999997</v>
      </c>
      <c r="I13" s="297"/>
    </row>
    <row r="14" spans="1:9" s="207" customFormat="1" ht="19.95" customHeight="1">
      <c r="A14" s="205" t="s">
        <v>624</v>
      </c>
      <c r="B14" s="205" t="s">
        <v>625</v>
      </c>
      <c r="C14" s="290" t="s">
        <v>554</v>
      </c>
      <c r="D14" s="291" t="s">
        <v>6</v>
      </c>
      <c r="E14" s="204" t="str">
        <f>VLOOKUP(A14,'Full Plan'!A:E,5,)</f>
        <v>Lucky</v>
      </c>
      <c r="F14" s="204" t="str">
        <f>VLOOKUP(A14,'Full Plan'!A:H,8,)</f>
        <v>MW-HYB- ACE</v>
      </c>
      <c r="G14" s="296">
        <v>6.7926880000000001</v>
      </c>
      <c r="H14" s="296">
        <v>79.880419000000003</v>
      </c>
      <c r="I14" s="297"/>
    </row>
    <row r="15" spans="1:9" s="207" customFormat="1" ht="19.95" customHeight="1">
      <c r="A15" s="205" t="s">
        <v>558</v>
      </c>
      <c r="B15" s="205" t="s">
        <v>559</v>
      </c>
      <c r="C15" s="290" t="s">
        <v>554</v>
      </c>
      <c r="D15" s="291" t="s">
        <v>6</v>
      </c>
      <c r="E15" s="204" t="str">
        <f>VLOOKUP(A15,'Full Plan'!A:E,5,)</f>
        <v>Chanaka</v>
      </c>
      <c r="F15" s="204" t="str">
        <f>VLOOKUP(A15,'Full Plan'!A:H,8,)</f>
        <v>MW-HYB-Redep</v>
      </c>
      <c r="G15" s="296">
        <v>6.9061079999999997</v>
      </c>
      <c r="H15" s="296">
        <v>80.041439999999994</v>
      </c>
      <c r="I15" s="297"/>
    </row>
    <row r="16" spans="1:9" s="207" customFormat="1" ht="19.95" customHeight="1">
      <c r="A16" s="205" t="s">
        <v>564</v>
      </c>
      <c r="B16" s="205" t="s">
        <v>565</v>
      </c>
      <c r="C16" s="290" t="s">
        <v>554</v>
      </c>
      <c r="D16" s="291" t="s">
        <v>11</v>
      </c>
      <c r="E16" s="204" t="str">
        <f>VLOOKUP(A16,'Full Plan'!A:E,5,)</f>
        <v>Lucky</v>
      </c>
      <c r="F16" s="204" t="str">
        <f>VLOOKUP(A16,'Full Plan'!A:H,8,)</f>
        <v>MW-HYB-Redep</v>
      </c>
      <c r="G16" s="296">
        <v>7.9681649999999999</v>
      </c>
      <c r="H16" s="296">
        <v>79.806162</v>
      </c>
      <c r="I16" s="297"/>
    </row>
    <row r="17" spans="1:9" s="207" customFormat="1" ht="19.95" customHeight="1">
      <c r="A17" s="205" t="s">
        <v>588</v>
      </c>
      <c r="B17" s="205" t="s">
        <v>589</v>
      </c>
      <c r="C17" s="290" t="s">
        <v>554</v>
      </c>
      <c r="D17" s="291" t="s">
        <v>6</v>
      </c>
      <c r="E17" s="204" t="str">
        <f>VLOOKUP(A17,'Full Plan'!A:E,5,)</f>
        <v>Chanaka</v>
      </c>
      <c r="F17" s="204" t="str">
        <f>VLOOKUP(A17,'Full Plan'!A:H,8,)</f>
        <v>MW-HYB- ACE</v>
      </c>
      <c r="G17" s="296">
        <v>6.8096129999999997</v>
      </c>
      <c r="H17" s="296">
        <v>79.869150000000005</v>
      </c>
      <c r="I17" s="297"/>
    </row>
    <row r="18" spans="1:9" s="207" customFormat="1" ht="19.95" customHeight="1">
      <c r="A18" s="205" t="s">
        <v>650</v>
      </c>
      <c r="B18" s="205" t="s">
        <v>651</v>
      </c>
      <c r="C18" s="290" t="s">
        <v>554</v>
      </c>
      <c r="D18" s="291" t="s">
        <v>6</v>
      </c>
      <c r="E18" s="204" t="str">
        <f>VLOOKUP(A18,'Full Plan'!A:E,5,)</f>
        <v>Lucky</v>
      </c>
      <c r="F18" s="204" t="str">
        <f>VLOOKUP(A18,'Full Plan'!A:H,8,)</f>
        <v>MW-HYB-Redep</v>
      </c>
      <c r="G18" s="296">
        <v>7.1356260000000002</v>
      </c>
      <c r="H18" s="296">
        <v>79.912265000000005</v>
      </c>
      <c r="I18" s="297"/>
    </row>
    <row r="19" spans="1:9" s="207" customFormat="1" ht="19.95" customHeight="1">
      <c r="A19" s="205" t="s">
        <v>593</v>
      </c>
      <c r="B19" s="205" t="s">
        <v>594</v>
      </c>
      <c r="C19" s="290" t="s">
        <v>554</v>
      </c>
      <c r="D19" s="291" t="s">
        <v>6</v>
      </c>
      <c r="E19" s="204" t="str">
        <f>VLOOKUP(A19,'Full Plan'!A:E,5,)</f>
        <v>Chanaka</v>
      </c>
      <c r="F19" s="204" t="str">
        <f>VLOOKUP(A19,'Full Plan'!A:H,8,)</f>
        <v>MW-HYB-Redep</v>
      </c>
      <c r="G19" s="296">
        <v>6.990183</v>
      </c>
      <c r="H19" s="296">
        <v>79.878434999999996</v>
      </c>
      <c r="I19" s="297"/>
    </row>
    <row r="20" spans="1:9" s="207" customFormat="1" ht="19.95" customHeight="1">
      <c r="A20" s="205" t="s">
        <v>580</v>
      </c>
      <c r="B20" s="205" t="s">
        <v>581</v>
      </c>
      <c r="C20" s="290" t="s">
        <v>554</v>
      </c>
      <c r="D20" s="291" t="s">
        <v>6</v>
      </c>
      <c r="E20" s="204" t="str">
        <f>VLOOKUP(A20,'Full Plan'!A:E,5,)</f>
        <v>Lucky</v>
      </c>
      <c r="F20" s="204" t="str">
        <f>VLOOKUP(A20,'Full Plan'!A:H,8,)</f>
        <v>MW-HYB-Redep</v>
      </c>
      <c r="G20" s="304">
        <v>6.9698919999999998</v>
      </c>
      <c r="H20" s="304">
        <v>79.931933000000001</v>
      </c>
      <c r="I20" s="305"/>
    </row>
    <row r="21" spans="1:9" s="207" customFormat="1" ht="19.95" customHeight="1">
      <c r="A21" s="205" t="s">
        <v>584</v>
      </c>
      <c r="B21" s="205" t="s">
        <v>585</v>
      </c>
      <c r="C21" s="290" t="s">
        <v>554</v>
      </c>
      <c r="D21" s="291" t="s">
        <v>6</v>
      </c>
      <c r="E21" s="204" t="str">
        <f>VLOOKUP(A21,'Full Plan'!A:E,5,)</f>
        <v>Amal</v>
      </c>
      <c r="F21" s="204" t="str">
        <f>VLOOKUP(A21,'Full Plan'!A:H,8,)</f>
        <v>MW-HYB-Redep</v>
      </c>
      <c r="G21" s="296">
        <v>6.8551000000000002</v>
      </c>
      <c r="H21" s="296">
        <v>79.902299999999997</v>
      </c>
      <c r="I21" s="297"/>
    </row>
    <row r="22" spans="1:9" s="207" customFormat="1" ht="19.95" customHeight="1">
      <c r="A22" s="205" t="s">
        <v>600</v>
      </c>
      <c r="B22" s="205" t="s">
        <v>601</v>
      </c>
      <c r="C22" s="290" t="s">
        <v>554</v>
      </c>
      <c r="D22" s="291" t="s">
        <v>6</v>
      </c>
      <c r="E22" s="204" t="str">
        <f>VLOOKUP(A22,'Full Plan'!A:E,5,)</f>
        <v>Lucky</v>
      </c>
      <c r="F22" s="204" t="str">
        <f>VLOOKUP(A22,'Full Plan'!A:H,8,)</f>
        <v>MW-HYB-Redep</v>
      </c>
      <c r="G22" s="296">
        <v>7.1198069999999998</v>
      </c>
      <c r="H22" s="296">
        <v>80.047507999999993</v>
      </c>
      <c r="I22" s="297"/>
    </row>
    <row r="23" spans="1:9" s="207" customFormat="1" ht="19.95" customHeight="1">
      <c r="A23" s="205" t="s">
        <v>569</v>
      </c>
      <c r="B23" s="205" t="s">
        <v>570</v>
      </c>
      <c r="C23" s="290" t="s">
        <v>554</v>
      </c>
      <c r="D23" s="291" t="s">
        <v>6</v>
      </c>
      <c r="E23" s="204" t="str">
        <f>VLOOKUP(A23,'Full Plan'!A:E,5,)</f>
        <v>Lucky</v>
      </c>
      <c r="F23" s="204" t="str">
        <f>VLOOKUP(A23,'Full Plan'!A:H,8,)</f>
        <v>MW-HYB-Redep</v>
      </c>
      <c r="G23" s="296">
        <v>7.1953100000000001</v>
      </c>
      <c r="H23" s="296">
        <v>79.936378000000005</v>
      </c>
      <c r="I23" s="297"/>
    </row>
    <row r="24" spans="1:9" s="207" customFormat="1" ht="19.95" customHeight="1">
      <c r="A24" s="205" t="s">
        <v>575</v>
      </c>
      <c r="B24" s="205" t="s">
        <v>576</v>
      </c>
      <c r="C24" s="290" t="s">
        <v>554</v>
      </c>
      <c r="D24" s="291" t="s">
        <v>6</v>
      </c>
      <c r="E24" s="204" t="str">
        <f>VLOOKUP(A24,'Full Plan'!A:E,5,)</f>
        <v>Athula</v>
      </c>
      <c r="F24" s="204" t="str">
        <f>VLOOKUP(A24,'Full Plan'!A:H,8,)</f>
        <v>MW-HYB-Redep</v>
      </c>
      <c r="G24" s="296">
        <v>6.9820549999999999</v>
      </c>
      <c r="H24" s="296">
        <v>79.944918000000001</v>
      </c>
      <c r="I24" s="297"/>
    </row>
    <row r="25" spans="1:9" s="207" customFormat="1" ht="19.95" customHeight="1">
      <c r="A25" s="205" t="s">
        <v>634</v>
      </c>
      <c r="B25" s="205" t="s">
        <v>635</v>
      </c>
      <c r="C25" s="290" t="s">
        <v>554</v>
      </c>
      <c r="D25" s="291" t="s">
        <v>11</v>
      </c>
      <c r="E25" s="204" t="str">
        <f>VLOOKUP(A25,'Full Plan'!A:E,5,)</f>
        <v>Chanaka</v>
      </c>
      <c r="F25" s="204" t="str">
        <f>VLOOKUP(A25,'Full Plan'!A:H,8,)</f>
        <v>WiBAS-Redep</v>
      </c>
      <c r="G25" s="296">
        <v>7.481948</v>
      </c>
      <c r="H25" s="296">
        <v>80.344674999999995</v>
      </c>
      <c r="I25" s="297"/>
    </row>
    <row r="26" spans="1:9" s="207" customFormat="1" ht="19.95" customHeight="1">
      <c r="A26" s="205" t="s">
        <v>614</v>
      </c>
      <c r="B26" s="205" t="s">
        <v>615</v>
      </c>
      <c r="C26" s="290" t="s">
        <v>554</v>
      </c>
      <c r="D26" s="291" t="s">
        <v>6</v>
      </c>
      <c r="E26" s="204" t="str">
        <f>VLOOKUP(A26,'Full Plan'!A:E,5,)</f>
        <v>Chanaka</v>
      </c>
      <c r="F26" s="204" t="str">
        <f>VLOOKUP(A26,'Full Plan'!A:H,8,)</f>
        <v>WiBAS-Redep</v>
      </c>
      <c r="G26" s="296">
        <v>6.9402749999999997</v>
      </c>
      <c r="H26" s="296">
        <v>80.009293999999997</v>
      </c>
      <c r="I26" s="297"/>
    </row>
    <row r="27" spans="1:9" s="207" customFormat="1" ht="19.95" customHeight="1">
      <c r="A27" s="290" t="s">
        <v>596</v>
      </c>
      <c r="B27" s="290" t="s">
        <v>597</v>
      </c>
      <c r="C27" s="290" t="s">
        <v>554</v>
      </c>
      <c r="D27" s="295" t="s">
        <v>6</v>
      </c>
      <c r="E27" s="204" t="str">
        <f>VLOOKUP(A27,'Full Plan'!A:E,5,)</f>
        <v>Chanaka</v>
      </c>
      <c r="F27" s="204" t="str">
        <f>VLOOKUP(A27,'Full Plan'!A:H,8,)</f>
        <v>OFN</v>
      </c>
      <c r="G27" s="296">
        <v>6.9480599999999999</v>
      </c>
      <c r="H27" s="296">
        <v>79.893600000000006</v>
      </c>
      <c r="I27" s="297"/>
    </row>
    <row r="28" spans="1:9" s="207" customFormat="1" ht="19.95" customHeight="1">
      <c r="A28" s="290" t="s">
        <v>653</v>
      </c>
      <c r="B28" s="290" t="s">
        <v>654</v>
      </c>
      <c r="C28" s="290" t="s">
        <v>554</v>
      </c>
      <c r="D28" s="295" t="s">
        <v>11</v>
      </c>
      <c r="E28" s="204" t="str">
        <f>VLOOKUP(A28,'Full Plan'!A:E,5,)</f>
        <v>Janaka</v>
      </c>
      <c r="F28" s="204" t="str">
        <f>VLOOKUP(A28,'Full Plan'!A:H,8,)</f>
        <v>OFN</v>
      </c>
      <c r="G28" s="296">
        <v>7.491047</v>
      </c>
      <c r="H28" s="296">
        <v>79.826479000000006</v>
      </c>
      <c r="I28" s="297"/>
    </row>
    <row r="29" spans="1:9" s="207" customFormat="1" ht="19.95" customHeight="1">
      <c r="A29" s="290" t="s">
        <v>552</v>
      </c>
      <c r="B29" s="290" t="s">
        <v>553</v>
      </c>
      <c r="C29" s="290" t="s">
        <v>554</v>
      </c>
      <c r="D29" s="295" t="s">
        <v>6</v>
      </c>
      <c r="E29" s="204" t="str">
        <f>VLOOKUP(A29,'Full Plan'!A:E,5,)</f>
        <v>Athula</v>
      </c>
      <c r="F29" s="204" t="str">
        <f>VLOOKUP(A29,'Full Plan'!A:H,8,)</f>
        <v>OFN</v>
      </c>
      <c r="G29" s="296">
        <v>6.852786</v>
      </c>
      <c r="H29" s="296">
        <v>79.934460000000001</v>
      </c>
      <c r="I29" s="297"/>
    </row>
    <row r="30" spans="1:9" s="207" customFormat="1" ht="19.95" customHeight="1">
      <c r="A30" s="205" t="s">
        <v>610</v>
      </c>
      <c r="B30" s="205" t="s">
        <v>611</v>
      </c>
      <c r="C30" s="290" t="s">
        <v>554</v>
      </c>
      <c r="D30" s="295" t="s">
        <v>6</v>
      </c>
      <c r="E30" s="204" t="str">
        <f>VLOOKUP(A30,'Full Plan'!A:E,5,)</f>
        <v>Lucky</v>
      </c>
      <c r="F30" s="204" t="str">
        <f>VLOOKUP(A30,'Full Plan'!A:H,8,)</f>
        <v>OFN</v>
      </c>
      <c r="G30" s="296">
        <v>6.9173900000000001</v>
      </c>
      <c r="H30" s="296">
        <v>79.978099999999998</v>
      </c>
      <c r="I30" s="297"/>
    </row>
    <row r="31" spans="1:9" s="207" customFormat="1" ht="19.95" customHeight="1">
      <c r="A31" s="290" t="s">
        <v>620</v>
      </c>
      <c r="B31" s="290" t="s">
        <v>621</v>
      </c>
      <c r="C31" s="290" t="s">
        <v>554</v>
      </c>
      <c r="D31" s="295" t="s">
        <v>6</v>
      </c>
      <c r="E31" s="204" t="str">
        <f>VLOOKUP(A31,'Full Plan'!A:E,5,)</f>
        <v>Chanaka</v>
      </c>
      <c r="F31" s="204" t="str">
        <f>VLOOKUP(A31,'Full Plan'!A:H,8,)</f>
        <v>MW-HYB-Redep</v>
      </c>
      <c r="G31" s="296">
        <v>6.9265759999999998</v>
      </c>
      <c r="H31" s="296">
        <v>79.999728000000005</v>
      </c>
      <c r="I31" s="297"/>
    </row>
    <row r="32" spans="1:9" s="207" customFormat="1" ht="19.95" customHeight="1">
      <c r="A32" s="205" t="s">
        <v>662</v>
      </c>
      <c r="B32" s="205" t="s">
        <v>663</v>
      </c>
      <c r="C32" s="290" t="s">
        <v>554</v>
      </c>
      <c r="D32" s="295" t="s">
        <v>6</v>
      </c>
      <c r="E32" s="204" t="str">
        <f>VLOOKUP(A32,'Full Plan'!A:E,5,)</f>
        <v>Sandun</v>
      </c>
      <c r="F32" s="204" t="str">
        <f>VLOOKUP(A32,'Full Plan'!A:H,8,)</f>
        <v>MW-HYB-Redep</v>
      </c>
      <c r="G32" s="296">
        <v>7.0565825999999996</v>
      </c>
      <c r="H32" s="296">
        <v>79.891580000000005</v>
      </c>
      <c r="I32" s="297"/>
    </row>
    <row r="33" spans="1:9" s="207" customFormat="1" ht="19.95" customHeight="1">
      <c r="A33" s="205" t="s">
        <v>638</v>
      </c>
      <c r="B33" s="205" t="s">
        <v>639</v>
      </c>
      <c r="C33" s="290" t="s">
        <v>554</v>
      </c>
      <c r="D33" s="295" t="s">
        <v>6</v>
      </c>
      <c r="E33" s="204" t="str">
        <f>VLOOKUP(A33,'Full Plan'!A:E,5,)</f>
        <v>Lucky</v>
      </c>
      <c r="F33" s="204" t="str">
        <f>VLOOKUP(A33,'Full Plan'!A:H,8,)</f>
        <v>MW-HYB-Redep</v>
      </c>
      <c r="G33" s="296">
        <v>7.2252219999999996</v>
      </c>
      <c r="H33" s="296">
        <v>79.900797999999995</v>
      </c>
      <c r="I33" s="297"/>
    </row>
    <row r="34" spans="1:9" s="207" customFormat="1" ht="19.95" customHeight="1">
      <c r="A34" s="290" t="s">
        <v>630</v>
      </c>
      <c r="B34" s="290" t="s">
        <v>631</v>
      </c>
      <c r="C34" s="290" t="s">
        <v>554</v>
      </c>
      <c r="D34" s="295" t="s">
        <v>6</v>
      </c>
      <c r="E34" s="204" t="str">
        <f>VLOOKUP(A34,'Full Plan'!A:E,5,)</f>
        <v>Amal</v>
      </c>
      <c r="F34" s="204" t="str">
        <f>VLOOKUP(A34,'Full Plan'!A:H,8,)</f>
        <v>MW-HYB-Redep</v>
      </c>
      <c r="G34" s="296">
        <v>6.9009299999999998</v>
      </c>
      <c r="H34" s="296">
        <v>79.962833000000003</v>
      </c>
      <c r="I34" s="297"/>
    </row>
    <row r="35" spans="1:9" s="207" customFormat="1" ht="19.95" customHeight="1">
      <c r="A35" s="290" t="s">
        <v>641</v>
      </c>
      <c r="B35" s="290" t="s">
        <v>642</v>
      </c>
      <c r="C35" s="290" t="s">
        <v>643</v>
      </c>
      <c r="D35" s="295" t="s">
        <v>120</v>
      </c>
      <c r="E35" s="204" t="str">
        <f>VLOOKUP(A35,'Full Plan'!A:E,5,)</f>
        <v>Chanaka</v>
      </c>
      <c r="F35" s="204" t="str">
        <f>VLOOKUP(A35,'Full Plan'!A:H,8,)</f>
        <v>WiBAS-Redep</v>
      </c>
      <c r="G35" s="296">
        <v>6.1414920000000004</v>
      </c>
      <c r="H35" s="296">
        <v>80.443175999999994</v>
      </c>
      <c r="I35" s="297"/>
    </row>
    <row r="36" spans="1:9" s="207" customFormat="1" ht="19.95" customHeight="1">
      <c r="A36" s="205" t="s">
        <v>179</v>
      </c>
      <c r="B36" s="205" t="s">
        <v>187</v>
      </c>
      <c r="C36" s="205" t="s">
        <v>188</v>
      </c>
      <c r="D36" s="206" t="s">
        <v>120</v>
      </c>
      <c r="E36" s="204">
        <f>VLOOKUP(A36,'Full Plan'!A:E,5,)</f>
        <v>0</v>
      </c>
      <c r="F36" s="204" t="str">
        <f>VLOOKUP(A36,'Full Plan'!A:H,8,)</f>
        <v>OFN</v>
      </c>
      <c r="G36" s="309">
        <v>6.0366470000000003</v>
      </c>
      <c r="H36" s="309">
        <v>80.802353999999994</v>
      </c>
      <c r="I36" s="310"/>
    </row>
    <row r="37" spans="1:9" s="207" customFormat="1" ht="19.95" customHeight="1">
      <c r="A37" s="205" t="s">
        <v>180</v>
      </c>
      <c r="B37" s="205" t="s">
        <v>189</v>
      </c>
      <c r="C37" s="205" t="s">
        <v>188</v>
      </c>
      <c r="D37" s="206" t="s">
        <v>137</v>
      </c>
      <c r="E37" s="204">
        <f>VLOOKUP(A37,'Full Plan'!A:E,5,)</f>
        <v>0</v>
      </c>
      <c r="F37" s="204" t="str">
        <f>VLOOKUP(A37,'Full Plan'!A:H,8,)</f>
        <v>OFN</v>
      </c>
      <c r="G37" s="309">
        <v>6.9347190000000003</v>
      </c>
      <c r="H37" s="309">
        <v>81.180803999999995</v>
      </c>
      <c r="I37" s="310"/>
    </row>
    <row r="38" spans="1:9" s="207" customFormat="1" ht="19.95" customHeight="1">
      <c r="A38" s="205" t="s">
        <v>159</v>
      </c>
      <c r="B38" s="205" t="s">
        <v>160</v>
      </c>
      <c r="C38" s="205" t="s">
        <v>181</v>
      </c>
      <c r="D38" s="206" t="s">
        <v>121</v>
      </c>
      <c r="E38" s="204" t="str">
        <f>VLOOKUP(A38,'Full Plan'!A:E,5,)</f>
        <v>Chanaka</v>
      </c>
      <c r="F38" s="204" t="str">
        <f>VLOOKUP(A38,'Full Plan'!A:H,8,)</f>
        <v>MW-HYB</v>
      </c>
      <c r="G38" s="309">
        <v>9.4768559999999997</v>
      </c>
      <c r="H38" s="309">
        <v>80.190871999999999</v>
      </c>
      <c r="I38" s="310" t="s">
        <v>241</v>
      </c>
    </row>
    <row r="39" spans="1:9" s="207" customFormat="1" ht="19.95" customHeight="1">
      <c r="A39" s="205" t="s">
        <v>161</v>
      </c>
      <c r="B39" s="205" t="s">
        <v>162</v>
      </c>
      <c r="C39" s="205" t="s">
        <v>181</v>
      </c>
      <c r="D39" s="206" t="s">
        <v>121</v>
      </c>
      <c r="E39" s="204" t="str">
        <f>VLOOKUP(A39,'Full Plan'!A:E,5,)</f>
        <v>Lucky</v>
      </c>
      <c r="F39" s="204" t="str">
        <f>VLOOKUP(A39,'Full Plan'!A:H,8,)</f>
        <v>MW-HYB</v>
      </c>
      <c r="G39" s="309">
        <v>9.4910460000000008</v>
      </c>
      <c r="H39" s="309">
        <v>80.186674999999994</v>
      </c>
      <c r="I39" s="310" t="s">
        <v>241</v>
      </c>
    </row>
    <row r="40" spans="1:9" s="207" customFormat="1" ht="19.95" customHeight="1">
      <c r="A40" s="205" t="s">
        <v>163</v>
      </c>
      <c r="B40" s="205" t="s">
        <v>164</v>
      </c>
      <c r="C40" s="205" t="s">
        <v>181</v>
      </c>
      <c r="D40" s="206" t="s">
        <v>121</v>
      </c>
      <c r="E40" s="204" t="str">
        <f>VLOOKUP(A40,'Full Plan'!A:E,5,)</f>
        <v>Lucky</v>
      </c>
      <c r="F40" s="204" t="str">
        <f>VLOOKUP(A40,'Full Plan'!A:H,8,)</f>
        <v>MW-HYB</v>
      </c>
      <c r="G40" s="309">
        <v>8.7992709999999992</v>
      </c>
      <c r="H40" s="309">
        <v>79.982692</v>
      </c>
      <c r="I40" s="310" t="s">
        <v>470</v>
      </c>
    </row>
    <row r="41" spans="1:9" s="207" customFormat="1" ht="19.95" customHeight="1">
      <c r="A41" s="205" t="s">
        <v>177</v>
      </c>
      <c r="B41" s="205" t="s">
        <v>185</v>
      </c>
      <c r="C41" s="205" t="s">
        <v>183</v>
      </c>
      <c r="D41" s="206" t="s">
        <v>120</v>
      </c>
      <c r="E41" s="204">
        <f>VLOOKUP(A41,'Full Plan'!A:E,5,)</f>
        <v>0</v>
      </c>
      <c r="F41" s="204" t="str">
        <f>VLOOKUP(A41,'Full Plan'!A:H,8,)</f>
        <v>OFN</v>
      </c>
      <c r="G41" s="309">
        <v>5.9823490000000001</v>
      </c>
      <c r="H41" s="309">
        <v>80.394693000000004</v>
      </c>
      <c r="I41" s="310"/>
    </row>
    <row r="42" spans="1:9" s="207" customFormat="1" ht="19.95" customHeight="1">
      <c r="A42" s="205" t="s">
        <v>178</v>
      </c>
      <c r="B42" s="205" t="s">
        <v>186</v>
      </c>
      <c r="C42" s="205" t="s">
        <v>183</v>
      </c>
      <c r="D42" s="206" t="s">
        <v>121</v>
      </c>
      <c r="E42" s="204" t="str">
        <f>VLOOKUP(A42,'Full Plan'!A:E,5,)</f>
        <v>Chanaka</v>
      </c>
      <c r="F42" s="204" t="str">
        <f>VLOOKUP(A42,'Full Plan'!A:H,8,)</f>
        <v>MW-HYB</v>
      </c>
      <c r="G42" s="309">
        <v>9.2157149999999994</v>
      </c>
      <c r="H42" s="309">
        <v>80.635919999999999</v>
      </c>
      <c r="I42" s="310" t="s">
        <v>241</v>
      </c>
    </row>
    <row r="43" spans="1:9" s="207" customFormat="1" ht="19.95" customHeight="1">
      <c r="A43" s="205" t="s">
        <v>166</v>
      </c>
      <c r="B43" s="205" t="s">
        <v>167</v>
      </c>
      <c r="C43" s="205" t="s">
        <v>183</v>
      </c>
      <c r="D43" s="206" t="s">
        <v>121</v>
      </c>
      <c r="E43" s="204" t="str">
        <f>VLOOKUP(A43,'Full Plan'!A:E,5,)</f>
        <v>Chanaka</v>
      </c>
      <c r="F43" s="204" t="str">
        <f>VLOOKUP(A43,'Full Plan'!A:H,8,)</f>
        <v>WiBAS</v>
      </c>
      <c r="G43" s="309">
        <v>9.429494</v>
      </c>
      <c r="H43" s="309">
        <v>80.570076</v>
      </c>
      <c r="I43" s="310" t="s">
        <v>241</v>
      </c>
    </row>
    <row r="44" spans="1:9" s="207" customFormat="1" ht="19.95" customHeight="1">
      <c r="A44" s="205" t="s">
        <v>175</v>
      </c>
      <c r="B44" s="205" t="s">
        <v>182</v>
      </c>
      <c r="C44" s="205" t="s">
        <v>183</v>
      </c>
      <c r="D44" s="206" t="s">
        <v>121</v>
      </c>
      <c r="E44" s="204">
        <f>VLOOKUP(A44,'Full Plan'!A:E,5,)</f>
        <v>0</v>
      </c>
      <c r="F44" s="204" t="str">
        <f>VLOOKUP(A44,'Full Plan'!A:H,8,)</f>
        <v>MW-HYB</v>
      </c>
      <c r="G44" s="309">
        <v>9.3108229999999992</v>
      </c>
      <c r="H44" s="309">
        <v>80.687815999999998</v>
      </c>
      <c r="I44" s="310"/>
    </row>
    <row r="45" spans="1:9" s="207" customFormat="1" ht="19.95" customHeight="1">
      <c r="A45" s="205" t="s">
        <v>176</v>
      </c>
      <c r="B45" s="205" t="s">
        <v>184</v>
      </c>
      <c r="C45" s="205" t="s">
        <v>183</v>
      </c>
      <c r="D45" s="206" t="s">
        <v>121</v>
      </c>
      <c r="E45" s="204" t="str">
        <f>VLOOKUP(A45,'Full Plan'!A:E,5,)</f>
        <v>Manoj</v>
      </c>
      <c r="F45" s="204" t="str">
        <f>VLOOKUP(A45,'Full Plan'!A:H,8,)</f>
        <v>MW-HYB</v>
      </c>
      <c r="G45" s="309">
        <v>9.2143449999999998</v>
      </c>
      <c r="H45" s="309">
        <v>80.325406999999998</v>
      </c>
      <c r="I45" s="310"/>
    </row>
    <row r="46" spans="1:9" s="207" customFormat="1" ht="19.95" customHeight="1">
      <c r="A46" s="208" t="s">
        <v>203</v>
      </c>
      <c r="B46" s="208" t="s">
        <v>204</v>
      </c>
      <c r="C46" s="306" t="s">
        <v>225</v>
      </c>
      <c r="D46" s="307" t="s">
        <v>6</v>
      </c>
      <c r="E46" s="204">
        <f>VLOOKUP(A46,'Full Plan'!A:E,5,)</f>
        <v>0</v>
      </c>
      <c r="F46" s="204" t="str">
        <f>VLOOKUP(A46,'Full Plan'!A:H,8,)</f>
        <v>OFN</v>
      </c>
      <c r="G46" s="309">
        <v>6.8393110000000004</v>
      </c>
      <c r="H46" s="309">
        <v>79.896311999999995</v>
      </c>
      <c r="I46" s="310"/>
    </row>
    <row r="47" spans="1:9" s="207" customFormat="1" ht="19.95" customHeight="1">
      <c r="A47" s="208" t="s">
        <v>207</v>
      </c>
      <c r="B47" s="208" t="s">
        <v>208</v>
      </c>
      <c r="C47" s="306" t="s">
        <v>225</v>
      </c>
      <c r="D47" s="307" t="s">
        <v>137</v>
      </c>
      <c r="E47" s="204">
        <f>VLOOKUP(A47,'Full Plan'!A:E,5,)</f>
        <v>0</v>
      </c>
      <c r="F47" s="204" t="str">
        <f>VLOOKUP(A47,'Full Plan'!A:H,8,)</f>
        <v>MW-HYB</v>
      </c>
      <c r="G47" s="309">
        <v>7.4878549999999997</v>
      </c>
      <c r="H47" s="309">
        <v>81.692250000000001</v>
      </c>
      <c r="I47" s="310"/>
    </row>
    <row r="48" spans="1:9" s="207" customFormat="1" ht="19.95" customHeight="1">
      <c r="A48" s="208" t="s">
        <v>209</v>
      </c>
      <c r="B48" s="208" t="s">
        <v>210</v>
      </c>
      <c r="C48" s="306" t="s">
        <v>225</v>
      </c>
      <c r="D48" s="307" t="s">
        <v>137</v>
      </c>
      <c r="E48" s="204">
        <f>VLOOKUP(A48,'Full Plan'!A:E,5,)</f>
        <v>0</v>
      </c>
      <c r="F48" s="204" t="str">
        <f>VLOOKUP(A48,'Full Plan'!A:H,8,)</f>
        <v>MW-HYB</v>
      </c>
      <c r="G48" s="309">
        <v>7.4670759999999996</v>
      </c>
      <c r="H48" s="309">
        <v>81.737318000000002</v>
      </c>
      <c r="I48" s="310"/>
    </row>
    <row r="49" spans="1:9" s="207" customFormat="1" ht="19.95" customHeight="1">
      <c r="A49" s="208" t="s">
        <v>211</v>
      </c>
      <c r="B49" s="208" t="s">
        <v>212</v>
      </c>
      <c r="C49" s="306" t="s">
        <v>225</v>
      </c>
      <c r="D49" s="307" t="s">
        <v>137</v>
      </c>
      <c r="E49" s="204">
        <f>VLOOKUP(A49,'Full Plan'!A:E,5,)</f>
        <v>0</v>
      </c>
      <c r="F49" s="204" t="str">
        <f>VLOOKUP(A49,'Full Plan'!A:H,8,)</f>
        <v>WiBAS</v>
      </c>
      <c r="G49" s="309">
        <v>7.6950849999999997</v>
      </c>
      <c r="H49" s="309">
        <v>81.65598</v>
      </c>
      <c r="I49" s="310"/>
    </row>
    <row r="50" spans="1:9" s="207" customFormat="1" ht="19.95" customHeight="1">
      <c r="A50" s="209" t="s">
        <v>213</v>
      </c>
      <c r="B50" s="209" t="s">
        <v>214</v>
      </c>
      <c r="C50" s="306" t="s">
        <v>225</v>
      </c>
      <c r="D50" s="307" t="s">
        <v>121</v>
      </c>
      <c r="E50" s="204" t="str">
        <f>VLOOKUP(A50,'Full Plan'!A:E,5,)</f>
        <v>Chanaka</v>
      </c>
      <c r="F50" s="204" t="str">
        <f>VLOOKUP(A50,'Full Plan'!A:H,8,)</f>
        <v>OFN</v>
      </c>
      <c r="G50" s="309">
        <v>8.7665670000000002</v>
      </c>
      <c r="H50" s="309">
        <v>80.520028999999994</v>
      </c>
      <c r="I50" s="310"/>
    </row>
    <row r="51" spans="1:9" s="207" customFormat="1" ht="19.95" customHeight="1">
      <c r="A51" s="308" t="s">
        <v>215</v>
      </c>
      <c r="B51" s="308" t="s">
        <v>216</v>
      </c>
      <c r="C51" s="306" t="s">
        <v>225</v>
      </c>
      <c r="D51" s="307" t="s">
        <v>6</v>
      </c>
      <c r="E51" s="204">
        <f>VLOOKUP(A51,'Full Plan'!A:E,5,)</f>
        <v>0</v>
      </c>
      <c r="F51" s="204" t="str">
        <f>VLOOKUP(A51,'Full Plan'!A:H,8,)</f>
        <v>OFN</v>
      </c>
      <c r="G51" s="309">
        <v>6.8456849999999996</v>
      </c>
      <c r="H51" s="309">
        <v>79.923226999999997</v>
      </c>
      <c r="I51" s="310"/>
    </row>
    <row r="52" spans="1:9" s="207" customFormat="1" ht="19.95" customHeight="1">
      <c r="A52" s="308" t="s">
        <v>217</v>
      </c>
      <c r="B52" s="308" t="s">
        <v>218</v>
      </c>
      <c r="C52" s="306" t="s">
        <v>225</v>
      </c>
      <c r="D52" s="307" t="s">
        <v>11</v>
      </c>
      <c r="E52" s="204" t="str">
        <f>VLOOKUP(A52,'Full Plan'!A:E,5,)</f>
        <v>Lucky</v>
      </c>
      <c r="F52" s="204" t="str">
        <f>VLOOKUP(A52,'Full Plan'!A:H,8,)</f>
        <v>OFN</v>
      </c>
      <c r="G52" s="309">
        <v>7.4093580000000001</v>
      </c>
      <c r="H52" s="309">
        <v>79.877021999999997</v>
      </c>
      <c r="I52" s="310"/>
    </row>
    <row r="53" spans="1:9" s="207" customFormat="1" ht="19.95" customHeight="1">
      <c r="A53" s="308" t="s">
        <v>219</v>
      </c>
      <c r="B53" s="308" t="s">
        <v>220</v>
      </c>
      <c r="C53" s="306" t="s">
        <v>225</v>
      </c>
      <c r="D53" s="307" t="s">
        <v>120</v>
      </c>
      <c r="E53" s="204">
        <f>VLOOKUP(A53,'Full Plan'!A:E,5,)</f>
        <v>0</v>
      </c>
      <c r="F53" s="204" t="str">
        <f>VLOOKUP(A53,'Full Plan'!A:H,8,)</f>
        <v>MW-HYB</v>
      </c>
      <c r="G53" s="309">
        <v>5.9703020000000002</v>
      </c>
      <c r="H53" s="309">
        <v>80.417091999999997</v>
      </c>
      <c r="I53" s="310"/>
    </row>
    <row r="54" spans="1:9" s="207" customFormat="1" ht="19.95" customHeight="1">
      <c r="A54" s="308" t="s">
        <v>221</v>
      </c>
      <c r="B54" s="308" t="s">
        <v>222</v>
      </c>
      <c r="C54" s="306" t="s">
        <v>225</v>
      </c>
      <c r="D54" s="307" t="s">
        <v>6</v>
      </c>
      <c r="E54" s="204">
        <f>VLOOKUP(A54,'Full Plan'!A:E,5,)</f>
        <v>0</v>
      </c>
      <c r="F54" s="204" t="str">
        <f>VLOOKUP(A54,'Full Plan'!A:H,8,)</f>
        <v>MW-HYB</v>
      </c>
      <c r="G54" s="309">
        <v>6.7838719999999997</v>
      </c>
      <c r="H54" s="309">
        <v>79.912948999999998</v>
      </c>
      <c r="I54" s="310"/>
    </row>
    <row r="55" spans="1:9" s="207" customFormat="1" ht="19.95" customHeight="1">
      <c r="A55" s="306" t="s">
        <v>223</v>
      </c>
      <c r="B55" s="306" t="s">
        <v>224</v>
      </c>
      <c r="C55" s="306" t="s">
        <v>225</v>
      </c>
      <c r="D55" s="307" t="s">
        <v>6</v>
      </c>
      <c r="E55" s="204">
        <f>VLOOKUP(A55,'Full Plan'!A:E,5,)</f>
        <v>0</v>
      </c>
      <c r="F55" s="204" t="str">
        <f>VLOOKUP(A55,'Full Plan'!A:H,8,)</f>
        <v>MW-HYB</v>
      </c>
      <c r="G55" s="309">
        <v>6.8464520000000002</v>
      </c>
      <c r="H55" s="309">
        <v>80.126818999999998</v>
      </c>
      <c r="I55" s="310"/>
    </row>
    <row r="56" spans="1:9" s="207" customFormat="1" ht="19.95" customHeight="1">
      <c r="A56" s="205" t="s">
        <v>205</v>
      </c>
      <c r="B56" s="205" t="s">
        <v>206</v>
      </c>
      <c r="C56" s="306" t="s">
        <v>225</v>
      </c>
      <c r="D56" s="307" t="s">
        <v>6</v>
      </c>
      <c r="E56" s="204">
        <f>VLOOKUP(A56,'Full Plan'!A:E,5,)</f>
        <v>0</v>
      </c>
      <c r="F56" s="204" t="str">
        <f>VLOOKUP(A56,'Full Plan'!A:H,8,)</f>
        <v>OFN</v>
      </c>
      <c r="G56" s="309">
        <v>6.8288960000000003</v>
      </c>
      <c r="H56" s="309">
        <v>79.887692999999999</v>
      </c>
      <c r="I56" s="310"/>
    </row>
    <row r="57" spans="1:9" s="207" customFormat="1" ht="19.95" customHeight="1">
      <c r="A57" s="205" t="s">
        <v>201</v>
      </c>
      <c r="B57" s="205" t="s">
        <v>202</v>
      </c>
      <c r="C57" s="306" t="s">
        <v>183</v>
      </c>
      <c r="D57" s="307" t="s">
        <v>137</v>
      </c>
      <c r="E57" s="204" t="str">
        <f>VLOOKUP(A57,'Full Plan'!A:E,5,)</f>
        <v>Wasantha</v>
      </c>
      <c r="F57" s="204" t="str">
        <f>VLOOKUP(A57,'Full Plan'!A:H,8,)</f>
        <v>WiBAS</v>
      </c>
      <c r="G57" s="309">
        <v>7.7141120000000001</v>
      </c>
      <c r="H57" s="309">
        <v>81.640645000000006</v>
      </c>
      <c r="I57" s="310" t="s">
        <v>333</v>
      </c>
    </row>
    <row r="58" spans="1:9" s="207" customFormat="1" ht="19.95" customHeight="1">
      <c r="A58" s="205" t="s">
        <v>199</v>
      </c>
      <c r="B58" s="205" t="s">
        <v>200</v>
      </c>
      <c r="C58" s="306" t="s">
        <v>183</v>
      </c>
      <c r="D58" s="307" t="s">
        <v>121</v>
      </c>
      <c r="E58" s="204">
        <f>VLOOKUP(A58,'Full Plan'!A:E,5,)</f>
        <v>0</v>
      </c>
      <c r="F58" s="204" t="str">
        <f>VLOOKUP(A58,'Full Plan'!A:H,8,)</f>
        <v>MW-HYB</v>
      </c>
      <c r="G58" s="309">
        <v>9.5956659999999996</v>
      </c>
      <c r="H58" s="309">
        <v>80.324517</v>
      </c>
      <c r="I58" s="310"/>
    </row>
    <row r="59" spans="1:9" s="207" customFormat="1" ht="19.95" customHeight="1">
      <c r="A59" s="205" t="s">
        <v>197</v>
      </c>
      <c r="B59" s="205" t="s">
        <v>198</v>
      </c>
      <c r="C59" s="306" t="s">
        <v>183</v>
      </c>
      <c r="D59" s="307" t="s">
        <v>120</v>
      </c>
      <c r="E59" s="204">
        <f>VLOOKUP(A59,'Full Plan'!A:E,5,)</f>
        <v>0</v>
      </c>
      <c r="F59" s="204" t="str">
        <f>VLOOKUP(A59,'Full Plan'!A:H,8,)</f>
        <v>MW-HYB</v>
      </c>
      <c r="G59" s="309">
        <v>6.4264320000000001</v>
      </c>
      <c r="H59" s="309">
        <v>80.010211999999996</v>
      </c>
      <c r="I59" s="310"/>
    </row>
    <row r="60" spans="1:9" s="207" customFormat="1" ht="19.95" customHeight="1">
      <c r="A60" s="210" t="s">
        <v>292</v>
      </c>
      <c r="B60" s="211" t="s">
        <v>293</v>
      </c>
      <c r="C60" s="306" t="s">
        <v>183</v>
      </c>
      <c r="D60" s="307" t="s">
        <v>11</v>
      </c>
      <c r="E60" s="204">
        <f>VLOOKUP(A60,'Full Plan'!A:E,5,)</f>
        <v>0</v>
      </c>
      <c r="F60" s="204" t="str">
        <f>VLOOKUP(A60,'Full Plan'!A:H,8,)</f>
        <v>MW-HYB</v>
      </c>
      <c r="G60" s="309">
        <v>7.5299019999999999</v>
      </c>
      <c r="H60" s="309">
        <v>79.985663000000002</v>
      </c>
      <c r="I60" s="310"/>
    </row>
    <row r="61" spans="1:9" s="207" customFormat="1" ht="19.95" customHeight="1">
      <c r="A61" s="210" t="s">
        <v>294</v>
      </c>
      <c r="B61" s="211" t="s">
        <v>295</v>
      </c>
      <c r="C61" s="306" t="s">
        <v>183</v>
      </c>
      <c r="D61" s="307" t="s">
        <v>11</v>
      </c>
      <c r="E61" s="204">
        <f>VLOOKUP(A61,'Full Plan'!A:E,5,)</f>
        <v>0</v>
      </c>
      <c r="F61" s="204" t="str">
        <f>VLOOKUP(A61,'Full Plan'!A:H,8,)</f>
        <v>OFN</v>
      </c>
      <c r="G61" s="309">
        <v>7.3919280000000001</v>
      </c>
      <c r="H61" s="309">
        <v>79.831542999999996</v>
      </c>
      <c r="I61" s="310"/>
    </row>
    <row r="62" spans="1:9" s="207" customFormat="1" ht="19.95" customHeight="1">
      <c r="A62" s="210" t="s">
        <v>296</v>
      </c>
      <c r="B62" s="211" t="s">
        <v>297</v>
      </c>
      <c r="C62" s="306" t="s">
        <v>183</v>
      </c>
      <c r="D62" s="307" t="s">
        <v>121</v>
      </c>
      <c r="E62" s="204">
        <f>VLOOKUP(A62,'Full Plan'!A:E,5,)</f>
        <v>0</v>
      </c>
      <c r="F62" s="204" t="str">
        <f>VLOOKUP(A62,'Full Plan'!A:H,8,)</f>
        <v>WiBAS</v>
      </c>
      <c r="G62" s="309">
        <v>9.7711269999999999</v>
      </c>
      <c r="H62" s="309">
        <v>80.274527000000006</v>
      </c>
      <c r="I62" s="310"/>
    </row>
    <row r="63" spans="1:9" s="207" customFormat="1" ht="19.95" customHeight="1">
      <c r="A63" s="210" t="s">
        <v>298</v>
      </c>
      <c r="B63" s="211" t="s">
        <v>299</v>
      </c>
      <c r="C63" s="306" t="s">
        <v>183</v>
      </c>
      <c r="D63" s="307" t="s">
        <v>121</v>
      </c>
      <c r="E63" s="204">
        <f>VLOOKUP(A63,'Full Plan'!A:E,5,)</f>
        <v>0</v>
      </c>
      <c r="F63" s="204" t="str">
        <f>VLOOKUP(A63,'Full Plan'!A:H,8,)</f>
        <v>MW-HYB</v>
      </c>
      <c r="G63" s="309">
        <v>9.7580969999999994</v>
      </c>
      <c r="H63" s="309">
        <v>80.114461000000006</v>
      </c>
      <c r="I63" s="310"/>
    </row>
    <row r="64" spans="1:9" ht="19.95" customHeight="1">
      <c r="A64" s="210" t="s">
        <v>300</v>
      </c>
      <c r="B64" s="211" t="s">
        <v>301</v>
      </c>
      <c r="C64" s="306" t="s">
        <v>183</v>
      </c>
      <c r="D64" s="307" t="s">
        <v>11</v>
      </c>
      <c r="E64" s="204">
        <f>VLOOKUP(A64,'Full Plan'!A:E,5,)</f>
        <v>0</v>
      </c>
      <c r="F64" s="204" t="str">
        <f>VLOOKUP(A64,'Full Plan'!A:H,8,)</f>
        <v>MW-HYB</v>
      </c>
      <c r="G64" s="309">
        <v>7.4617300000000002</v>
      </c>
      <c r="H64" s="309">
        <v>80.464764000000002</v>
      </c>
      <c r="I64" s="310" t="s">
        <v>63</v>
      </c>
    </row>
    <row r="65" spans="1:9" ht="19.95" customHeight="1">
      <c r="A65" s="210" t="s">
        <v>303</v>
      </c>
      <c r="B65" s="211" t="s">
        <v>304</v>
      </c>
      <c r="C65" s="306" t="s">
        <v>181</v>
      </c>
      <c r="D65" s="307" t="s">
        <v>120</v>
      </c>
      <c r="E65" s="204">
        <f>VLOOKUP(A65,'Full Plan'!A:E,5,)</f>
        <v>0</v>
      </c>
      <c r="F65" s="204" t="str">
        <f>VLOOKUP(A65,'Full Plan'!A:H,8,)</f>
        <v>OFN</v>
      </c>
      <c r="G65" s="309">
        <v>6.2302549999999997</v>
      </c>
      <c r="H65" s="309">
        <v>80.059961999999999</v>
      </c>
      <c r="I65" s="310"/>
    </row>
    <row r="66" spans="1:9" ht="19.95" customHeight="1">
      <c r="A66" s="210" t="s">
        <v>305</v>
      </c>
      <c r="B66" s="211" t="s">
        <v>306</v>
      </c>
      <c r="C66" s="306" t="s">
        <v>183</v>
      </c>
      <c r="D66" s="307" t="s">
        <v>121</v>
      </c>
      <c r="E66" s="204">
        <f>VLOOKUP(A66,'Full Plan'!A:E,5,)</f>
        <v>0</v>
      </c>
      <c r="F66" s="204" t="str">
        <f>VLOOKUP(A66,'Full Plan'!A:H,8,)</f>
        <v>WiBAS</v>
      </c>
      <c r="G66" s="309">
        <v>9.7174639999999997</v>
      </c>
      <c r="H66" s="309">
        <v>79.96002</v>
      </c>
      <c r="I66" s="310"/>
    </row>
    <row r="67" spans="1:9" ht="19.95" customHeight="1"/>
  </sheetData>
  <autoFilter ref="A2:I41" xr:uid="{DAD3EF5A-8309-40AA-A910-B36D842E5DEA}"/>
  <phoneticPr fontId="19" type="noConversion"/>
  <conditionalFormatting sqref="A1:A2 A67:A1048576">
    <cfRule type="duplicateValues" dxfId="74" priority="99"/>
  </conditionalFormatting>
  <conditionalFormatting sqref="A3:A35">
    <cfRule type="duplicateValues" dxfId="73" priority="56"/>
  </conditionalFormatting>
  <conditionalFormatting sqref="A37:A38">
    <cfRule type="duplicateValues" dxfId="72" priority="47"/>
    <cfRule type="duplicateValues" dxfId="71" priority="48"/>
  </conditionalFormatting>
  <conditionalFormatting sqref="A37:A38">
    <cfRule type="duplicateValues" dxfId="70" priority="49"/>
  </conditionalFormatting>
  <conditionalFormatting sqref="A37:A38">
    <cfRule type="duplicateValues" dxfId="69" priority="50"/>
  </conditionalFormatting>
  <conditionalFormatting sqref="A37:A38">
    <cfRule type="duplicateValues" dxfId="68" priority="51"/>
  </conditionalFormatting>
  <conditionalFormatting sqref="A38">
    <cfRule type="duplicateValues" dxfId="67" priority="44"/>
    <cfRule type="duplicateValues" dxfId="66" priority="45"/>
    <cfRule type="duplicateValues" dxfId="65" priority="46"/>
  </conditionalFormatting>
  <conditionalFormatting sqref="A36:A45">
    <cfRule type="duplicateValues" dxfId="64" priority="43"/>
  </conditionalFormatting>
  <conditionalFormatting sqref="A36:A38">
    <cfRule type="duplicateValues" dxfId="63" priority="52"/>
  </conditionalFormatting>
  <conditionalFormatting sqref="A36">
    <cfRule type="duplicateValues" dxfId="62" priority="53"/>
    <cfRule type="duplicateValues" dxfId="61" priority="54"/>
    <cfRule type="duplicateValues" dxfId="60" priority="55"/>
  </conditionalFormatting>
  <conditionalFormatting sqref="A49:A50">
    <cfRule type="duplicateValues" dxfId="59" priority="36"/>
    <cfRule type="duplicateValues" dxfId="58" priority="37"/>
  </conditionalFormatting>
  <conditionalFormatting sqref="A49:A50">
    <cfRule type="duplicateValues" dxfId="57" priority="38"/>
  </conditionalFormatting>
  <conditionalFormatting sqref="A49:A50">
    <cfRule type="duplicateValues" dxfId="56" priority="39"/>
  </conditionalFormatting>
  <conditionalFormatting sqref="A49:A50">
    <cfRule type="duplicateValues" dxfId="55" priority="40"/>
  </conditionalFormatting>
  <conditionalFormatting sqref="A49:A50">
    <cfRule type="duplicateValues" dxfId="54" priority="41"/>
  </conditionalFormatting>
  <conditionalFormatting sqref="A46:A48">
    <cfRule type="duplicateValues" dxfId="53" priority="33"/>
    <cfRule type="duplicateValues" dxfId="52" priority="34"/>
    <cfRule type="duplicateValues" dxfId="51" priority="35"/>
  </conditionalFormatting>
  <conditionalFormatting sqref="A46">
    <cfRule type="duplicateValues" dxfId="50" priority="32"/>
  </conditionalFormatting>
  <conditionalFormatting sqref="A50">
    <cfRule type="duplicateValues" dxfId="49" priority="29"/>
    <cfRule type="duplicateValues" dxfId="48" priority="30"/>
    <cfRule type="duplicateValues" dxfId="47" priority="31"/>
  </conditionalFormatting>
  <conditionalFormatting sqref="A51:A54">
    <cfRule type="duplicateValues" dxfId="46" priority="28"/>
  </conditionalFormatting>
  <conditionalFormatting sqref="A51">
    <cfRule type="duplicateValues" dxfId="45" priority="22"/>
    <cfRule type="duplicateValues" dxfId="44" priority="23"/>
    <cfRule type="duplicateValues" dxfId="43" priority="24"/>
  </conditionalFormatting>
  <conditionalFormatting sqref="A51">
    <cfRule type="duplicateValues" dxfId="42" priority="25"/>
  </conditionalFormatting>
  <conditionalFormatting sqref="A51">
    <cfRule type="duplicateValues" dxfId="41" priority="26"/>
  </conditionalFormatting>
  <conditionalFormatting sqref="A51:A53">
    <cfRule type="duplicateValues" dxfId="40" priority="27"/>
  </conditionalFormatting>
  <conditionalFormatting sqref="A52">
    <cfRule type="duplicateValues" dxfId="39" priority="17"/>
  </conditionalFormatting>
  <conditionalFormatting sqref="A52:A53">
    <cfRule type="duplicateValues" dxfId="38" priority="18"/>
    <cfRule type="duplicateValues" dxfId="37" priority="19"/>
    <cfRule type="duplicateValues" dxfId="36" priority="20"/>
  </conditionalFormatting>
  <conditionalFormatting sqref="A52">
    <cfRule type="duplicateValues" dxfId="35" priority="21"/>
  </conditionalFormatting>
  <conditionalFormatting sqref="A54">
    <cfRule type="duplicateValues" dxfId="34" priority="13"/>
  </conditionalFormatting>
  <conditionalFormatting sqref="A54">
    <cfRule type="duplicateValues" dxfId="33" priority="14"/>
    <cfRule type="duplicateValues" dxfId="32" priority="15"/>
    <cfRule type="duplicateValues" dxfId="31" priority="16"/>
  </conditionalFormatting>
  <conditionalFormatting sqref="B54">
    <cfRule type="duplicateValues" dxfId="30" priority="12"/>
  </conditionalFormatting>
  <conditionalFormatting sqref="A55:A59">
    <cfRule type="duplicateValues" dxfId="29" priority="2"/>
    <cfRule type="duplicateValues" dxfId="28" priority="3"/>
    <cfRule type="duplicateValues" dxfId="27" priority="4"/>
    <cfRule type="duplicateValues" dxfId="26" priority="5"/>
    <cfRule type="duplicateValues" dxfId="25" priority="6"/>
    <cfRule type="duplicateValues" dxfId="24" priority="7"/>
    <cfRule type="duplicateValues" dxfId="23" priority="8"/>
    <cfRule type="duplicateValues" dxfId="22" priority="9"/>
    <cfRule type="duplicateValues" dxfId="21" priority="10"/>
    <cfRule type="duplicateValues" dxfId="20" priority="11"/>
  </conditionalFormatting>
  <conditionalFormatting sqref="A46:A50">
    <cfRule type="duplicateValues" dxfId="19" priority="42"/>
  </conditionalFormatting>
  <conditionalFormatting sqref="A36:A66">
    <cfRule type="duplicateValues" dxfId="18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F350-9344-4C73-92AF-18B4EF019901}">
  <sheetPr codeName="Sheet12"/>
  <dimension ref="A1:AE59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8.88671875" defaultRowHeight="14.4"/>
  <cols>
    <col min="1" max="1" width="10.6640625" style="117" customWidth="1"/>
    <col min="2" max="2" width="26.21875" style="117" bestFit="1" customWidth="1"/>
    <col min="3" max="3" width="9.44140625" style="116" bestFit="1" customWidth="1"/>
    <col min="4" max="6" width="21.21875" style="116" bestFit="1" customWidth="1"/>
    <col min="7" max="14" width="10.77734375" style="116" customWidth="1"/>
    <col min="15" max="15" width="10.6640625" style="116" customWidth="1"/>
    <col min="16" max="19" width="32.6640625" style="116" bestFit="1" customWidth="1"/>
    <col min="20" max="31" width="10.77734375" style="116" customWidth="1"/>
    <col min="32" max="16384" width="8.88671875" style="104"/>
  </cols>
  <sheetData>
    <row r="1" spans="1:31" ht="49.95" customHeight="1">
      <c r="A1" s="219"/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</row>
    <row r="2" spans="1:31" s="186" customFormat="1" ht="40.049999999999997" customHeight="1">
      <c r="A2" s="182" t="s">
        <v>0</v>
      </c>
      <c r="B2" s="182" t="s">
        <v>18</v>
      </c>
      <c r="C2" s="183" t="s">
        <v>373</v>
      </c>
      <c r="D2" s="183" t="s">
        <v>374</v>
      </c>
      <c r="E2" s="183" t="s">
        <v>375</v>
      </c>
      <c r="F2" s="183" t="s">
        <v>376</v>
      </c>
      <c r="G2" s="184" t="s">
        <v>377</v>
      </c>
      <c r="H2" s="184" t="s">
        <v>378</v>
      </c>
      <c r="I2" s="184" t="s">
        <v>379</v>
      </c>
      <c r="J2" s="184" t="s">
        <v>380</v>
      </c>
      <c r="K2" s="19" t="s">
        <v>381</v>
      </c>
      <c r="L2" s="19" t="s">
        <v>382</v>
      </c>
      <c r="M2" s="19" t="s">
        <v>383</v>
      </c>
      <c r="N2" s="19" t="s">
        <v>384</v>
      </c>
      <c r="O2" s="185" t="s">
        <v>173</v>
      </c>
      <c r="P2" s="185" t="s">
        <v>389</v>
      </c>
      <c r="Q2" s="185" t="s">
        <v>390</v>
      </c>
      <c r="R2" s="185" t="s">
        <v>391</v>
      </c>
      <c r="S2" s="185" t="s">
        <v>404</v>
      </c>
      <c r="T2" s="185" t="s">
        <v>392</v>
      </c>
      <c r="U2" s="185" t="s">
        <v>393</v>
      </c>
      <c r="V2" s="185" t="s">
        <v>394</v>
      </c>
      <c r="W2" s="185" t="s">
        <v>395</v>
      </c>
      <c r="X2" s="185" t="s">
        <v>396</v>
      </c>
      <c r="Y2" s="185" t="s">
        <v>397</v>
      </c>
      <c r="Z2" s="185" t="s">
        <v>398</v>
      </c>
      <c r="AA2" s="185" t="s">
        <v>399</v>
      </c>
      <c r="AB2" s="185" t="s">
        <v>400</v>
      </c>
      <c r="AC2" s="185" t="s">
        <v>401</v>
      </c>
      <c r="AD2" s="185" t="s">
        <v>402</v>
      </c>
      <c r="AE2" s="185" t="s">
        <v>403</v>
      </c>
    </row>
    <row r="3" spans="1:31" ht="19.95" customHeight="1">
      <c r="A3" s="17">
        <f>SUBTOTAL(103, A4:A237)</f>
        <v>40</v>
      </c>
      <c r="B3" s="17">
        <f>SUBTOTAL(103, B4:B237)</f>
        <v>40</v>
      </c>
      <c r="C3" s="17">
        <f>SUBTOTAL(103, C4:C237)</f>
        <v>40</v>
      </c>
      <c r="D3" s="17">
        <f>SUBTOTAL(103, D4:D237)</f>
        <v>40</v>
      </c>
      <c r="E3" s="17">
        <f>SUBTOTAL(103, E4:E237)</f>
        <v>40</v>
      </c>
      <c r="F3" s="17">
        <f>SUBTOTAL(103, F4:F237)</f>
        <v>40</v>
      </c>
      <c r="G3" s="17">
        <f>SUBTOTAL(103, G4:G237)</f>
        <v>40</v>
      </c>
      <c r="H3" s="17">
        <f>SUBTOTAL(103, H4:H237)</f>
        <v>40</v>
      </c>
      <c r="I3" s="17">
        <f>SUBTOTAL(103, I4:I237)</f>
        <v>40</v>
      </c>
      <c r="J3" s="17">
        <f>SUBTOTAL(103, J4:J237)</f>
        <v>40</v>
      </c>
      <c r="K3" s="17">
        <f>SUBTOTAL(103, K4:K237)</f>
        <v>40</v>
      </c>
      <c r="L3" s="17">
        <f>SUBTOTAL(103, L4:L237)</f>
        <v>40</v>
      </c>
      <c r="M3" s="17">
        <f>SUBTOTAL(103, M4:M237)</f>
        <v>40</v>
      </c>
      <c r="N3" s="17">
        <f>SUBTOTAL(103, N4:N237)</f>
        <v>40</v>
      </c>
      <c r="O3" s="17">
        <f>SUBTOTAL(103, O4:O237)</f>
        <v>39</v>
      </c>
      <c r="P3" s="17">
        <f>SUBTOTAL(103, P4:P237)</f>
        <v>39</v>
      </c>
      <c r="Q3" s="17">
        <f>SUBTOTAL(103, Q4:Q237)</f>
        <v>39</v>
      </c>
      <c r="R3" s="17">
        <f>SUBTOTAL(103, R4:R237)</f>
        <v>39</v>
      </c>
      <c r="S3" s="17">
        <f>SUBTOTAL(103, S4:S237)</f>
        <v>40</v>
      </c>
      <c r="T3" s="17">
        <f>SUBTOTAL(103, T4:T237)</f>
        <v>40</v>
      </c>
      <c r="U3" s="17">
        <f>SUBTOTAL(103, U4:U237)</f>
        <v>40</v>
      </c>
      <c r="V3" s="17">
        <f>SUBTOTAL(103, V4:V237)</f>
        <v>40</v>
      </c>
      <c r="W3" s="17">
        <f>SUBTOTAL(103, W4:W237)</f>
        <v>40</v>
      </c>
      <c r="X3" s="17">
        <f>SUBTOTAL(103, X4:X237)</f>
        <v>40</v>
      </c>
      <c r="Y3" s="17">
        <f>SUBTOTAL(103, Y4:Y237)</f>
        <v>40</v>
      </c>
      <c r="Z3" s="17">
        <f>SUBTOTAL(103, Z4:Z237)</f>
        <v>40</v>
      </c>
      <c r="AA3" s="17">
        <f>SUBTOTAL(103, AA4:AA237)</f>
        <v>40</v>
      </c>
      <c r="AB3" s="17">
        <f>SUBTOTAL(103, AB4:AB237)</f>
        <v>40</v>
      </c>
      <c r="AC3" s="17">
        <f>SUBTOTAL(103, AC4:AC237)</f>
        <v>40</v>
      </c>
      <c r="AD3" s="17">
        <f>SUBTOTAL(103, AD4:AD237)</f>
        <v>40</v>
      </c>
      <c r="AE3" s="17">
        <f>SUBTOTAL(103, AE4:AE237)</f>
        <v>40</v>
      </c>
    </row>
    <row r="4" spans="1:31" s="192" customFormat="1" ht="13.8">
      <c r="A4" s="344" t="s">
        <v>501</v>
      </c>
      <c r="B4" s="344" t="s">
        <v>502</v>
      </c>
      <c r="C4" s="188" t="s">
        <v>62</v>
      </c>
      <c r="D4" s="188" t="s">
        <v>62</v>
      </c>
      <c r="E4" s="188" t="s">
        <v>62</v>
      </c>
      <c r="F4" s="188" t="s">
        <v>76</v>
      </c>
      <c r="G4" s="188" t="s">
        <v>62</v>
      </c>
      <c r="H4" s="188" t="s">
        <v>62</v>
      </c>
      <c r="I4" s="188" t="s">
        <v>62</v>
      </c>
      <c r="J4" s="188" t="s">
        <v>76</v>
      </c>
      <c r="K4" s="188" t="s">
        <v>76</v>
      </c>
      <c r="L4" s="188" t="s">
        <v>76</v>
      </c>
      <c r="M4" s="188" t="s">
        <v>76</v>
      </c>
      <c r="N4" s="188" t="s">
        <v>76</v>
      </c>
      <c r="O4" s="188" t="s">
        <v>158</v>
      </c>
      <c r="P4" s="187" t="s">
        <v>1262</v>
      </c>
      <c r="Q4" s="187" t="s">
        <v>1262</v>
      </c>
      <c r="R4" s="187" t="s">
        <v>1262</v>
      </c>
      <c r="S4" s="188" t="s">
        <v>76</v>
      </c>
      <c r="T4" s="189">
        <v>80</v>
      </c>
      <c r="U4" s="190">
        <v>0</v>
      </c>
      <c r="V4" s="191">
        <v>3</v>
      </c>
      <c r="W4" s="189">
        <v>220</v>
      </c>
      <c r="X4" s="190">
        <v>0</v>
      </c>
      <c r="Y4" s="191">
        <v>3</v>
      </c>
      <c r="Z4" s="189">
        <v>320</v>
      </c>
      <c r="AA4" s="190">
        <v>0</v>
      </c>
      <c r="AB4" s="191">
        <v>3</v>
      </c>
      <c r="AC4" s="189" t="s">
        <v>76</v>
      </c>
      <c r="AD4" s="190" t="s">
        <v>76</v>
      </c>
      <c r="AE4" s="191" t="s">
        <v>76</v>
      </c>
    </row>
    <row r="5" spans="1:31" s="192" customFormat="1" ht="13.8">
      <c r="A5" s="344" t="s">
        <v>512</v>
      </c>
      <c r="B5" s="344" t="s">
        <v>513</v>
      </c>
      <c r="C5" s="188" t="s">
        <v>62</v>
      </c>
      <c r="D5" s="188" t="s">
        <v>62</v>
      </c>
      <c r="E5" s="188" t="s">
        <v>62</v>
      </c>
      <c r="F5" s="188" t="s">
        <v>76</v>
      </c>
      <c r="G5" s="188" t="s">
        <v>62</v>
      </c>
      <c r="H5" s="188" t="s">
        <v>62</v>
      </c>
      <c r="I5" s="188" t="s">
        <v>62</v>
      </c>
      <c r="J5" s="188" t="s">
        <v>76</v>
      </c>
      <c r="K5" s="188" t="s">
        <v>76</v>
      </c>
      <c r="L5" s="188" t="s">
        <v>76</v>
      </c>
      <c r="M5" s="188" t="s">
        <v>76</v>
      </c>
      <c r="N5" s="188" t="s">
        <v>76</v>
      </c>
      <c r="O5" s="188" t="s">
        <v>158</v>
      </c>
      <c r="P5" s="187" t="s">
        <v>1262</v>
      </c>
      <c r="Q5" s="187" t="s">
        <v>1262</v>
      </c>
      <c r="R5" s="187" t="s">
        <v>1262</v>
      </c>
      <c r="S5" s="188" t="s">
        <v>76</v>
      </c>
      <c r="T5" s="189">
        <v>70</v>
      </c>
      <c r="U5" s="190">
        <v>0</v>
      </c>
      <c r="V5" s="191">
        <v>2</v>
      </c>
      <c r="W5" s="189">
        <v>195</v>
      </c>
      <c r="X5" s="190">
        <v>0</v>
      </c>
      <c r="Y5" s="191">
        <v>2</v>
      </c>
      <c r="Z5" s="189">
        <v>300</v>
      </c>
      <c r="AA5" s="190">
        <v>0</v>
      </c>
      <c r="AB5" s="191">
        <v>2</v>
      </c>
      <c r="AC5" s="189" t="s">
        <v>76</v>
      </c>
      <c r="AD5" s="190" t="s">
        <v>76</v>
      </c>
      <c r="AE5" s="191" t="s">
        <v>76</v>
      </c>
    </row>
    <row r="6" spans="1:31" s="192" customFormat="1" ht="13.8">
      <c r="A6" s="344" t="s">
        <v>519</v>
      </c>
      <c r="B6" s="344" t="s">
        <v>520</v>
      </c>
      <c r="C6" s="188" t="s">
        <v>62</v>
      </c>
      <c r="D6" s="188" t="s">
        <v>62</v>
      </c>
      <c r="E6" s="188" t="s">
        <v>62</v>
      </c>
      <c r="F6" s="188" t="s">
        <v>76</v>
      </c>
      <c r="G6" s="188" t="s">
        <v>62</v>
      </c>
      <c r="H6" s="188" t="s">
        <v>62</v>
      </c>
      <c r="I6" s="188" t="s">
        <v>62</v>
      </c>
      <c r="J6" s="188" t="s">
        <v>76</v>
      </c>
      <c r="K6" s="188" t="s">
        <v>76</v>
      </c>
      <c r="L6" s="188" t="s">
        <v>76</v>
      </c>
      <c r="M6" s="188" t="s">
        <v>76</v>
      </c>
      <c r="N6" s="188" t="s">
        <v>76</v>
      </c>
      <c r="O6" s="188" t="s">
        <v>158</v>
      </c>
      <c r="P6" s="187" t="s">
        <v>1262</v>
      </c>
      <c r="Q6" s="187" t="s">
        <v>1262</v>
      </c>
      <c r="R6" s="187" t="s">
        <v>1262</v>
      </c>
      <c r="S6" s="188" t="s">
        <v>76</v>
      </c>
      <c r="T6" s="189">
        <v>0</v>
      </c>
      <c r="U6" s="190">
        <v>0</v>
      </c>
      <c r="V6" s="191">
        <v>3</v>
      </c>
      <c r="W6" s="189">
        <v>100</v>
      </c>
      <c r="X6" s="190">
        <v>0</v>
      </c>
      <c r="Y6" s="191">
        <v>3</v>
      </c>
      <c r="Z6" s="189">
        <v>195</v>
      </c>
      <c r="AA6" s="190">
        <v>0</v>
      </c>
      <c r="AB6" s="191">
        <v>3</v>
      </c>
      <c r="AC6" s="189" t="s">
        <v>76</v>
      </c>
      <c r="AD6" s="190" t="s">
        <v>76</v>
      </c>
      <c r="AE6" s="191" t="s">
        <v>76</v>
      </c>
    </row>
    <row r="7" spans="1:31" s="192" customFormat="1" ht="13.8">
      <c r="A7" s="344" t="s">
        <v>523</v>
      </c>
      <c r="B7" s="344" t="s">
        <v>524</v>
      </c>
      <c r="C7" s="188" t="s">
        <v>62</v>
      </c>
      <c r="D7" s="188" t="s">
        <v>62</v>
      </c>
      <c r="E7" s="188" t="s">
        <v>62</v>
      </c>
      <c r="F7" s="188" t="s">
        <v>76</v>
      </c>
      <c r="G7" s="188" t="s">
        <v>62</v>
      </c>
      <c r="H7" s="188" t="s">
        <v>62</v>
      </c>
      <c r="I7" s="188" t="s">
        <v>62</v>
      </c>
      <c r="J7" s="188" t="s">
        <v>76</v>
      </c>
      <c r="K7" s="188" t="s">
        <v>76</v>
      </c>
      <c r="L7" s="188" t="s">
        <v>76</v>
      </c>
      <c r="M7" s="188" t="s">
        <v>76</v>
      </c>
      <c r="N7" s="188" t="s">
        <v>76</v>
      </c>
      <c r="O7" s="188" t="s">
        <v>158</v>
      </c>
      <c r="P7" s="187" t="s">
        <v>1262</v>
      </c>
      <c r="Q7" s="187" t="s">
        <v>1262</v>
      </c>
      <c r="R7" s="187" t="s">
        <v>1262</v>
      </c>
      <c r="S7" s="188" t="s">
        <v>76</v>
      </c>
      <c r="T7" s="189">
        <v>80</v>
      </c>
      <c r="U7" s="190">
        <v>0</v>
      </c>
      <c r="V7" s="191">
        <v>3</v>
      </c>
      <c r="W7" s="189">
        <v>180</v>
      </c>
      <c r="X7" s="190">
        <v>0</v>
      </c>
      <c r="Y7" s="191">
        <v>3</v>
      </c>
      <c r="Z7" s="189">
        <v>290</v>
      </c>
      <c r="AA7" s="190">
        <v>0</v>
      </c>
      <c r="AB7" s="191">
        <v>3</v>
      </c>
      <c r="AC7" s="189" t="s">
        <v>76</v>
      </c>
      <c r="AD7" s="190" t="s">
        <v>76</v>
      </c>
      <c r="AE7" s="191" t="s">
        <v>76</v>
      </c>
    </row>
    <row r="8" spans="1:31" s="192" customFormat="1" ht="13.8">
      <c r="A8" s="344" t="s">
        <v>528</v>
      </c>
      <c r="B8" s="344" t="s">
        <v>529</v>
      </c>
      <c r="C8" s="188" t="s">
        <v>62</v>
      </c>
      <c r="D8" s="188" t="s">
        <v>62</v>
      </c>
      <c r="E8" s="188" t="s">
        <v>62</v>
      </c>
      <c r="F8" s="188" t="s">
        <v>76</v>
      </c>
      <c r="G8" s="188" t="s">
        <v>62</v>
      </c>
      <c r="H8" s="188" t="s">
        <v>62</v>
      </c>
      <c r="I8" s="188" t="s">
        <v>62</v>
      </c>
      <c r="J8" s="188" t="s">
        <v>76</v>
      </c>
      <c r="K8" s="188" t="s">
        <v>76</v>
      </c>
      <c r="L8" s="188" t="s">
        <v>76</v>
      </c>
      <c r="M8" s="188" t="s">
        <v>76</v>
      </c>
      <c r="N8" s="188" t="s">
        <v>76</v>
      </c>
      <c r="O8" s="188" t="s">
        <v>158</v>
      </c>
      <c r="P8" s="187" t="s">
        <v>1262</v>
      </c>
      <c r="Q8" s="187" t="s">
        <v>1262</v>
      </c>
      <c r="R8" s="187" t="s">
        <v>1262</v>
      </c>
      <c r="S8" s="188" t="s">
        <v>76</v>
      </c>
      <c r="T8" s="189">
        <v>90</v>
      </c>
      <c r="U8" s="190">
        <v>0</v>
      </c>
      <c r="V8" s="191">
        <v>2</v>
      </c>
      <c r="W8" s="189">
        <v>180</v>
      </c>
      <c r="X8" s="190">
        <v>0</v>
      </c>
      <c r="Y8" s="191">
        <v>3</v>
      </c>
      <c r="Z8" s="189">
        <v>350</v>
      </c>
      <c r="AA8" s="190">
        <v>0</v>
      </c>
      <c r="AB8" s="191">
        <v>2</v>
      </c>
      <c r="AC8" s="189" t="s">
        <v>76</v>
      </c>
      <c r="AD8" s="190" t="s">
        <v>76</v>
      </c>
      <c r="AE8" s="191" t="s">
        <v>76</v>
      </c>
    </row>
    <row r="9" spans="1:31" s="192" customFormat="1" ht="13.8">
      <c r="A9" s="344" t="s">
        <v>532</v>
      </c>
      <c r="B9" s="344" t="s">
        <v>533</v>
      </c>
      <c r="C9" s="188" t="s">
        <v>62</v>
      </c>
      <c r="D9" s="188" t="s">
        <v>62</v>
      </c>
      <c r="E9" s="188" t="s">
        <v>62</v>
      </c>
      <c r="F9" s="188" t="s">
        <v>76</v>
      </c>
      <c r="G9" s="188" t="s">
        <v>62</v>
      </c>
      <c r="H9" s="188" t="s">
        <v>62</v>
      </c>
      <c r="I9" s="188" t="s">
        <v>62</v>
      </c>
      <c r="J9" s="188" t="s">
        <v>76</v>
      </c>
      <c r="K9" s="188" t="s">
        <v>76</v>
      </c>
      <c r="L9" s="188" t="s">
        <v>76</v>
      </c>
      <c r="M9" s="188" t="s">
        <v>76</v>
      </c>
      <c r="N9" s="188" t="s">
        <v>76</v>
      </c>
      <c r="O9" s="188" t="s">
        <v>158</v>
      </c>
      <c r="P9" s="187" t="s">
        <v>1262</v>
      </c>
      <c r="Q9" s="187" t="s">
        <v>1262</v>
      </c>
      <c r="R9" s="187" t="s">
        <v>1262</v>
      </c>
      <c r="S9" s="188" t="s">
        <v>76</v>
      </c>
      <c r="T9" s="189">
        <v>50</v>
      </c>
      <c r="U9" s="190">
        <v>0</v>
      </c>
      <c r="V9" s="191">
        <v>3</v>
      </c>
      <c r="W9" s="189">
        <v>190</v>
      </c>
      <c r="X9" s="190">
        <v>0</v>
      </c>
      <c r="Y9" s="191">
        <v>3</v>
      </c>
      <c r="Z9" s="189">
        <v>270</v>
      </c>
      <c r="AA9" s="190">
        <v>0</v>
      </c>
      <c r="AB9" s="191">
        <v>3</v>
      </c>
      <c r="AC9" s="189" t="s">
        <v>76</v>
      </c>
      <c r="AD9" s="190" t="s">
        <v>76</v>
      </c>
      <c r="AE9" s="191" t="s">
        <v>76</v>
      </c>
    </row>
    <row r="10" spans="1:31" s="192" customFormat="1" ht="13.8">
      <c r="A10" s="344" t="s">
        <v>538</v>
      </c>
      <c r="B10" s="344" t="s">
        <v>539</v>
      </c>
      <c r="C10" s="188" t="s">
        <v>62</v>
      </c>
      <c r="D10" s="188" t="s">
        <v>62</v>
      </c>
      <c r="E10" s="188" t="s">
        <v>62</v>
      </c>
      <c r="F10" s="188" t="s">
        <v>76</v>
      </c>
      <c r="G10" s="188" t="s">
        <v>62</v>
      </c>
      <c r="H10" s="188" t="s">
        <v>62</v>
      </c>
      <c r="I10" s="188" t="s">
        <v>62</v>
      </c>
      <c r="J10" s="188" t="s">
        <v>76</v>
      </c>
      <c r="K10" s="188" t="s">
        <v>76</v>
      </c>
      <c r="L10" s="188" t="s">
        <v>76</v>
      </c>
      <c r="M10" s="188" t="s">
        <v>76</v>
      </c>
      <c r="N10" s="188" t="s">
        <v>76</v>
      </c>
      <c r="O10" s="188" t="s">
        <v>158</v>
      </c>
      <c r="P10" s="187" t="s">
        <v>1262</v>
      </c>
      <c r="Q10" s="187" t="s">
        <v>1262</v>
      </c>
      <c r="R10" s="187" t="s">
        <v>1262</v>
      </c>
      <c r="S10" s="188" t="s">
        <v>76</v>
      </c>
      <c r="T10" s="189">
        <v>350</v>
      </c>
      <c r="U10" s="190">
        <v>0</v>
      </c>
      <c r="V10" s="191">
        <v>2</v>
      </c>
      <c r="W10" s="189">
        <v>115</v>
      </c>
      <c r="X10" s="190">
        <v>0</v>
      </c>
      <c r="Y10" s="191">
        <v>2</v>
      </c>
      <c r="Z10" s="189">
        <v>210</v>
      </c>
      <c r="AA10" s="190">
        <v>0</v>
      </c>
      <c r="AB10" s="191">
        <v>2</v>
      </c>
      <c r="AC10" s="189" t="s">
        <v>76</v>
      </c>
      <c r="AD10" s="190" t="s">
        <v>76</v>
      </c>
      <c r="AE10" s="191" t="s">
        <v>76</v>
      </c>
    </row>
    <row r="11" spans="1:31" s="192" customFormat="1" ht="13.8">
      <c r="A11" s="344" t="s">
        <v>544</v>
      </c>
      <c r="B11" s="344" t="s">
        <v>545</v>
      </c>
      <c r="C11" s="188" t="s">
        <v>62</v>
      </c>
      <c r="D11" s="188" t="s">
        <v>62</v>
      </c>
      <c r="E11" s="188" t="s">
        <v>62</v>
      </c>
      <c r="F11" s="188" t="s">
        <v>76</v>
      </c>
      <c r="G11" s="188" t="s">
        <v>62</v>
      </c>
      <c r="H11" s="188" t="s">
        <v>62</v>
      </c>
      <c r="I11" s="188" t="s">
        <v>62</v>
      </c>
      <c r="J11" s="188" t="s">
        <v>76</v>
      </c>
      <c r="K11" s="188" t="s">
        <v>76</v>
      </c>
      <c r="L11" s="188" t="s">
        <v>76</v>
      </c>
      <c r="M11" s="188" t="s">
        <v>76</v>
      </c>
      <c r="N11" s="188" t="s">
        <v>76</v>
      </c>
      <c r="O11" s="188" t="s">
        <v>158</v>
      </c>
      <c r="P11" s="187" t="s">
        <v>1262</v>
      </c>
      <c r="Q11" s="187" t="s">
        <v>1262</v>
      </c>
      <c r="R11" s="187" t="s">
        <v>1262</v>
      </c>
      <c r="S11" s="188" t="s">
        <v>76</v>
      </c>
      <c r="T11" s="189">
        <v>40</v>
      </c>
      <c r="U11" s="190">
        <v>0</v>
      </c>
      <c r="V11" s="191">
        <v>2</v>
      </c>
      <c r="W11" s="189">
        <v>150</v>
      </c>
      <c r="X11" s="190">
        <v>0</v>
      </c>
      <c r="Y11" s="191">
        <v>2</v>
      </c>
      <c r="Z11" s="189">
        <v>230</v>
      </c>
      <c r="AA11" s="190">
        <v>0</v>
      </c>
      <c r="AB11" s="191">
        <v>2</v>
      </c>
      <c r="AC11" s="189" t="s">
        <v>76</v>
      </c>
      <c r="AD11" s="190" t="s">
        <v>76</v>
      </c>
      <c r="AE11" s="191" t="s">
        <v>76</v>
      </c>
    </row>
    <row r="12" spans="1:31" s="192" customFormat="1" ht="13.8">
      <c r="A12" s="344" t="s">
        <v>548</v>
      </c>
      <c r="B12" s="344" t="s">
        <v>549</v>
      </c>
      <c r="C12" s="188" t="s">
        <v>62</v>
      </c>
      <c r="D12" s="188" t="s">
        <v>62</v>
      </c>
      <c r="E12" s="188" t="s">
        <v>62</v>
      </c>
      <c r="F12" s="188" t="s">
        <v>76</v>
      </c>
      <c r="G12" s="188" t="s">
        <v>62</v>
      </c>
      <c r="H12" s="188" t="s">
        <v>62</v>
      </c>
      <c r="I12" s="188" t="s">
        <v>62</v>
      </c>
      <c r="J12" s="188" t="s">
        <v>76</v>
      </c>
      <c r="K12" s="188" t="s">
        <v>76</v>
      </c>
      <c r="L12" s="188" t="s">
        <v>76</v>
      </c>
      <c r="M12" s="188" t="s">
        <v>76</v>
      </c>
      <c r="N12" s="188" t="s">
        <v>76</v>
      </c>
      <c r="O12" s="188" t="s">
        <v>158</v>
      </c>
      <c r="P12" s="187" t="s">
        <v>1262</v>
      </c>
      <c r="Q12" s="187" t="s">
        <v>1262</v>
      </c>
      <c r="R12" s="187" t="s">
        <v>1262</v>
      </c>
      <c r="S12" s="188" t="s">
        <v>76</v>
      </c>
      <c r="T12" s="189">
        <v>0</v>
      </c>
      <c r="U12" s="190">
        <v>0</v>
      </c>
      <c r="V12" s="191">
        <v>3</v>
      </c>
      <c r="W12" s="189">
        <v>180</v>
      </c>
      <c r="X12" s="190">
        <v>0</v>
      </c>
      <c r="Y12" s="191">
        <v>3</v>
      </c>
      <c r="Z12" s="189">
        <v>270</v>
      </c>
      <c r="AA12" s="190">
        <v>0</v>
      </c>
      <c r="AB12" s="191">
        <v>3</v>
      </c>
      <c r="AC12" s="189" t="s">
        <v>76</v>
      </c>
      <c r="AD12" s="190" t="s">
        <v>76</v>
      </c>
      <c r="AE12" s="191" t="s">
        <v>76</v>
      </c>
    </row>
    <row r="13" spans="1:31" s="192" customFormat="1" ht="13.8">
      <c r="A13" s="344" t="s">
        <v>658</v>
      </c>
      <c r="B13" s="344" t="s">
        <v>659</v>
      </c>
      <c r="C13" s="188" t="s">
        <v>62</v>
      </c>
      <c r="D13" s="188" t="s">
        <v>62</v>
      </c>
      <c r="E13" s="188" t="s">
        <v>62</v>
      </c>
      <c r="F13" s="188" t="s">
        <v>76</v>
      </c>
      <c r="G13" s="188" t="s">
        <v>62</v>
      </c>
      <c r="H13" s="188" t="s">
        <v>62</v>
      </c>
      <c r="I13" s="188" t="s">
        <v>62</v>
      </c>
      <c r="J13" s="188" t="s">
        <v>76</v>
      </c>
      <c r="K13" s="188" t="s">
        <v>76</v>
      </c>
      <c r="L13" s="188" t="s">
        <v>76</v>
      </c>
      <c r="M13" s="188" t="s">
        <v>76</v>
      </c>
      <c r="N13" s="188" t="s">
        <v>76</v>
      </c>
      <c r="O13" s="188" t="s">
        <v>158</v>
      </c>
      <c r="P13" s="187" t="s">
        <v>1262</v>
      </c>
      <c r="Q13" s="187" t="s">
        <v>1262</v>
      </c>
      <c r="R13" s="187" t="s">
        <v>1262</v>
      </c>
      <c r="S13" s="188" t="s">
        <v>76</v>
      </c>
      <c r="T13" s="189">
        <v>40</v>
      </c>
      <c r="U13" s="190">
        <v>0</v>
      </c>
      <c r="V13" s="191">
        <v>3</v>
      </c>
      <c r="W13" s="189">
        <v>170</v>
      </c>
      <c r="X13" s="190">
        <v>0</v>
      </c>
      <c r="Y13" s="191">
        <v>3</v>
      </c>
      <c r="Z13" s="189">
        <v>320</v>
      </c>
      <c r="AA13" s="190">
        <v>0</v>
      </c>
      <c r="AB13" s="191">
        <v>3</v>
      </c>
      <c r="AC13" s="189" t="s">
        <v>76</v>
      </c>
      <c r="AD13" s="190" t="s">
        <v>76</v>
      </c>
      <c r="AE13" s="191" t="s">
        <v>76</v>
      </c>
    </row>
    <row r="14" spans="1:31" s="192" customFormat="1" ht="13.8">
      <c r="A14" s="148" t="s">
        <v>552</v>
      </c>
      <c r="B14" s="148" t="s">
        <v>553</v>
      </c>
      <c r="C14" s="188" t="s">
        <v>62</v>
      </c>
      <c r="D14" s="188" t="s">
        <v>62</v>
      </c>
      <c r="E14" s="188" t="s">
        <v>62</v>
      </c>
      <c r="F14" s="188" t="s">
        <v>76</v>
      </c>
      <c r="G14" s="188" t="s">
        <v>62</v>
      </c>
      <c r="H14" s="188" t="s">
        <v>62</v>
      </c>
      <c r="I14" s="188" t="s">
        <v>62</v>
      </c>
      <c r="J14" s="188" t="s">
        <v>76</v>
      </c>
      <c r="K14" s="188" t="s">
        <v>76</v>
      </c>
      <c r="L14" s="188" t="s">
        <v>76</v>
      </c>
      <c r="M14" s="188" t="s">
        <v>76</v>
      </c>
      <c r="N14" s="188" t="s">
        <v>76</v>
      </c>
      <c r="O14" s="188" t="s">
        <v>158</v>
      </c>
      <c r="P14" s="187" t="s">
        <v>1263</v>
      </c>
      <c r="Q14" s="187" t="s">
        <v>1263</v>
      </c>
      <c r="R14" s="187" t="s">
        <v>1263</v>
      </c>
      <c r="S14" s="188" t="s">
        <v>76</v>
      </c>
      <c r="T14" s="189">
        <v>50</v>
      </c>
      <c r="U14" s="190">
        <v>0</v>
      </c>
      <c r="V14" s="191">
        <v>3</v>
      </c>
      <c r="W14" s="189">
        <v>150</v>
      </c>
      <c r="X14" s="190">
        <v>0</v>
      </c>
      <c r="Y14" s="191">
        <v>3</v>
      </c>
      <c r="Z14" s="189">
        <v>320</v>
      </c>
      <c r="AA14" s="190">
        <v>0</v>
      </c>
      <c r="AB14" s="191">
        <v>3</v>
      </c>
      <c r="AC14" s="189" t="s">
        <v>76</v>
      </c>
      <c r="AD14" s="190" t="s">
        <v>76</v>
      </c>
      <c r="AE14" s="191" t="s">
        <v>76</v>
      </c>
    </row>
    <row r="15" spans="1:31" s="192" customFormat="1" ht="13.8">
      <c r="A15" s="345" t="s">
        <v>558</v>
      </c>
      <c r="B15" s="345" t="s">
        <v>559</v>
      </c>
      <c r="C15" s="188" t="s">
        <v>62</v>
      </c>
      <c r="D15" s="188" t="s">
        <v>62</v>
      </c>
      <c r="E15" s="188" t="s">
        <v>62</v>
      </c>
      <c r="F15" s="188" t="s">
        <v>76</v>
      </c>
      <c r="G15" s="188" t="s">
        <v>62</v>
      </c>
      <c r="H15" s="188" t="s">
        <v>62</v>
      </c>
      <c r="I15" s="188" t="s">
        <v>62</v>
      </c>
      <c r="J15" s="188" t="s">
        <v>76</v>
      </c>
      <c r="K15" s="188" t="s">
        <v>76</v>
      </c>
      <c r="L15" s="188" t="s">
        <v>76</v>
      </c>
      <c r="M15" s="188" t="s">
        <v>76</v>
      </c>
      <c r="N15" s="188" t="s">
        <v>76</v>
      </c>
      <c r="O15" s="188" t="s">
        <v>158</v>
      </c>
      <c r="P15" s="187" t="s">
        <v>1263</v>
      </c>
      <c r="Q15" s="187" t="s">
        <v>1263</v>
      </c>
      <c r="R15" s="187" t="s">
        <v>1263</v>
      </c>
      <c r="S15" s="188" t="s">
        <v>76</v>
      </c>
      <c r="T15" s="189">
        <v>30</v>
      </c>
      <c r="U15" s="190">
        <v>0</v>
      </c>
      <c r="V15" s="191">
        <v>3</v>
      </c>
      <c r="W15" s="189">
        <v>180</v>
      </c>
      <c r="X15" s="190">
        <v>0</v>
      </c>
      <c r="Y15" s="191">
        <v>3</v>
      </c>
      <c r="Z15" s="189">
        <v>290</v>
      </c>
      <c r="AA15" s="190">
        <v>0</v>
      </c>
      <c r="AB15" s="191">
        <v>3</v>
      </c>
      <c r="AC15" s="189" t="s">
        <v>76</v>
      </c>
      <c r="AD15" s="190" t="s">
        <v>76</v>
      </c>
      <c r="AE15" s="191" t="s">
        <v>76</v>
      </c>
    </row>
    <row r="16" spans="1:31" s="192" customFormat="1" ht="13.8">
      <c r="A16" s="345" t="s">
        <v>564</v>
      </c>
      <c r="B16" s="345" t="s">
        <v>565</v>
      </c>
      <c r="C16" s="188" t="s">
        <v>62</v>
      </c>
      <c r="D16" s="188" t="s">
        <v>62</v>
      </c>
      <c r="E16" s="188" t="s">
        <v>62</v>
      </c>
      <c r="F16" s="188" t="s">
        <v>76</v>
      </c>
      <c r="G16" s="188" t="s">
        <v>62</v>
      </c>
      <c r="H16" s="188" t="s">
        <v>62</v>
      </c>
      <c r="I16" s="188" t="s">
        <v>62</v>
      </c>
      <c r="J16" s="188" t="s">
        <v>76</v>
      </c>
      <c r="K16" s="188" t="s">
        <v>76</v>
      </c>
      <c r="L16" s="188" t="s">
        <v>76</v>
      </c>
      <c r="M16" s="188" t="s">
        <v>76</v>
      </c>
      <c r="N16" s="188" t="s">
        <v>76</v>
      </c>
      <c r="O16" s="188" t="s">
        <v>158</v>
      </c>
      <c r="P16" s="187" t="s">
        <v>1263</v>
      </c>
      <c r="Q16" s="187" t="s">
        <v>1263</v>
      </c>
      <c r="R16" s="187" t="s">
        <v>1263</v>
      </c>
      <c r="S16" s="188" t="s">
        <v>76</v>
      </c>
      <c r="T16" s="189">
        <v>90</v>
      </c>
      <c r="U16" s="190">
        <v>0</v>
      </c>
      <c r="V16" s="191">
        <v>3</v>
      </c>
      <c r="W16" s="189">
        <v>200</v>
      </c>
      <c r="X16" s="190">
        <v>0</v>
      </c>
      <c r="Y16" s="191">
        <v>2</v>
      </c>
      <c r="Z16" s="189">
        <v>330</v>
      </c>
      <c r="AA16" s="190">
        <v>0</v>
      </c>
      <c r="AB16" s="191">
        <v>3</v>
      </c>
      <c r="AC16" s="189" t="s">
        <v>76</v>
      </c>
      <c r="AD16" s="190" t="s">
        <v>76</v>
      </c>
      <c r="AE16" s="191" t="s">
        <v>76</v>
      </c>
    </row>
    <row r="17" spans="1:31" s="192" customFormat="1" ht="13.8">
      <c r="A17" s="345" t="s">
        <v>569</v>
      </c>
      <c r="B17" s="345" t="s">
        <v>570</v>
      </c>
      <c r="C17" s="188" t="s">
        <v>62</v>
      </c>
      <c r="D17" s="188" t="s">
        <v>62</v>
      </c>
      <c r="E17" s="188" t="s">
        <v>62</v>
      </c>
      <c r="F17" s="188" t="s">
        <v>76</v>
      </c>
      <c r="G17" s="188" t="s">
        <v>62</v>
      </c>
      <c r="H17" s="188" t="s">
        <v>62</v>
      </c>
      <c r="I17" s="188" t="s">
        <v>62</v>
      </c>
      <c r="J17" s="188" t="s">
        <v>76</v>
      </c>
      <c r="K17" s="188" t="s">
        <v>76</v>
      </c>
      <c r="L17" s="188" t="s">
        <v>76</v>
      </c>
      <c r="M17" s="188" t="s">
        <v>76</v>
      </c>
      <c r="N17" s="188" t="s">
        <v>76</v>
      </c>
      <c r="O17" s="188" t="s">
        <v>1265</v>
      </c>
      <c r="P17" s="187" t="s">
        <v>1264</v>
      </c>
      <c r="Q17" s="187" t="s">
        <v>1264</v>
      </c>
      <c r="R17" s="187" t="s">
        <v>1264</v>
      </c>
      <c r="S17" s="188" t="s">
        <v>76</v>
      </c>
      <c r="T17" s="189">
        <v>90</v>
      </c>
      <c r="U17" s="190">
        <v>0</v>
      </c>
      <c r="V17" s="191">
        <v>3</v>
      </c>
      <c r="W17" s="189">
        <v>215</v>
      </c>
      <c r="X17" s="190">
        <v>0</v>
      </c>
      <c r="Y17" s="191">
        <v>3</v>
      </c>
      <c r="Z17" s="189">
        <v>320</v>
      </c>
      <c r="AA17" s="190">
        <v>0</v>
      </c>
      <c r="AB17" s="191">
        <v>3</v>
      </c>
      <c r="AC17" s="189" t="s">
        <v>76</v>
      </c>
      <c r="AD17" s="190" t="s">
        <v>76</v>
      </c>
      <c r="AE17" s="191" t="s">
        <v>76</v>
      </c>
    </row>
    <row r="18" spans="1:31" s="192" customFormat="1" ht="13.8">
      <c r="A18" s="345" t="s">
        <v>575</v>
      </c>
      <c r="B18" s="345" t="s">
        <v>576</v>
      </c>
      <c r="C18" s="188" t="s">
        <v>62</v>
      </c>
      <c r="D18" s="188" t="s">
        <v>62</v>
      </c>
      <c r="E18" s="188" t="s">
        <v>62</v>
      </c>
      <c r="F18" s="188" t="s">
        <v>76</v>
      </c>
      <c r="G18" s="188" t="s">
        <v>62</v>
      </c>
      <c r="H18" s="188" t="s">
        <v>62</v>
      </c>
      <c r="I18" s="188" t="s">
        <v>62</v>
      </c>
      <c r="J18" s="188" t="s">
        <v>76</v>
      </c>
      <c r="K18" s="188" t="s">
        <v>76</v>
      </c>
      <c r="L18" s="188" t="s">
        <v>76</v>
      </c>
      <c r="M18" s="188" t="s">
        <v>76</v>
      </c>
      <c r="N18" s="188" t="s">
        <v>76</v>
      </c>
      <c r="O18" s="188" t="s">
        <v>1265</v>
      </c>
      <c r="P18" s="187" t="s">
        <v>1264</v>
      </c>
      <c r="Q18" s="187" t="s">
        <v>1264</v>
      </c>
      <c r="R18" s="187" t="s">
        <v>1264</v>
      </c>
      <c r="S18" s="188" t="s">
        <v>76</v>
      </c>
      <c r="T18" s="189">
        <v>10</v>
      </c>
      <c r="U18" s="190">
        <v>0</v>
      </c>
      <c r="V18" s="191">
        <v>3</v>
      </c>
      <c r="W18" s="189">
        <v>95</v>
      </c>
      <c r="X18" s="190">
        <v>0</v>
      </c>
      <c r="Y18" s="191">
        <v>3</v>
      </c>
      <c r="Z18" s="189">
        <v>235</v>
      </c>
      <c r="AA18" s="190">
        <v>0</v>
      </c>
      <c r="AB18" s="191">
        <v>3</v>
      </c>
      <c r="AC18" s="189" t="s">
        <v>76</v>
      </c>
      <c r="AD18" s="190" t="s">
        <v>76</v>
      </c>
      <c r="AE18" s="191" t="s">
        <v>76</v>
      </c>
    </row>
    <row r="19" spans="1:31" s="192" customFormat="1" ht="13.8">
      <c r="A19" s="345" t="s">
        <v>580</v>
      </c>
      <c r="B19" s="345" t="s">
        <v>581</v>
      </c>
      <c r="C19" s="188" t="s">
        <v>62</v>
      </c>
      <c r="D19" s="188" t="s">
        <v>62</v>
      </c>
      <c r="E19" s="188" t="s">
        <v>62</v>
      </c>
      <c r="F19" s="188" t="s">
        <v>76</v>
      </c>
      <c r="G19" s="188" t="s">
        <v>62</v>
      </c>
      <c r="H19" s="188" t="s">
        <v>62</v>
      </c>
      <c r="I19" s="188" t="s">
        <v>62</v>
      </c>
      <c r="J19" s="188" t="s">
        <v>76</v>
      </c>
      <c r="K19" s="188" t="s">
        <v>76</v>
      </c>
      <c r="L19" s="188" t="s">
        <v>76</v>
      </c>
      <c r="M19" s="188" t="s">
        <v>76</v>
      </c>
      <c r="N19" s="188" t="s">
        <v>76</v>
      </c>
      <c r="O19" s="188" t="s">
        <v>1265</v>
      </c>
      <c r="P19" s="187" t="s">
        <v>1264</v>
      </c>
      <c r="Q19" s="187" t="s">
        <v>1264</v>
      </c>
      <c r="R19" s="187" t="s">
        <v>1264</v>
      </c>
      <c r="S19" s="188" t="s">
        <v>76</v>
      </c>
      <c r="T19" s="189">
        <v>10</v>
      </c>
      <c r="U19" s="190">
        <v>0</v>
      </c>
      <c r="V19" s="191">
        <v>3</v>
      </c>
      <c r="W19" s="189">
        <v>120</v>
      </c>
      <c r="X19" s="190">
        <v>0</v>
      </c>
      <c r="Y19" s="191">
        <v>3</v>
      </c>
      <c r="Z19" s="189">
        <v>250</v>
      </c>
      <c r="AA19" s="190">
        <v>0</v>
      </c>
      <c r="AB19" s="191">
        <v>3</v>
      </c>
      <c r="AC19" s="189" t="s">
        <v>76</v>
      </c>
      <c r="AD19" s="190" t="s">
        <v>76</v>
      </c>
      <c r="AE19" s="191" t="s">
        <v>76</v>
      </c>
    </row>
    <row r="20" spans="1:31" s="192" customFormat="1" ht="13.8">
      <c r="A20" s="345" t="s">
        <v>584</v>
      </c>
      <c r="B20" s="345" t="s">
        <v>585</v>
      </c>
      <c r="C20" s="188" t="s">
        <v>62</v>
      </c>
      <c r="D20" s="188" t="s">
        <v>62</v>
      </c>
      <c r="E20" s="188" t="s">
        <v>62</v>
      </c>
      <c r="F20" s="188" t="s">
        <v>76</v>
      </c>
      <c r="G20" s="188" t="s">
        <v>62</v>
      </c>
      <c r="H20" s="188" t="s">
        <v>62</v>
      </c>
      <c r="I20" s="188" t="s">
        <v>62</v>
      </c>
      <c r="J20" s="188" t="s">
        <v>76</v>
      </c>
      <c r="K20" s="188" t="s">
        <v>76</v>
      </c>
      <c r="L20" s="188" t="s">
        <v>76</v>
      </c>
      <c r="M20" s="188" t="s">
        <v>76</v>
      </c>
      <c r="N20" s="188" t="s">
        <v>76</v>
      </c>
      <c r="O20" s="188" t="s">
        <v>158</v>
      </c>
      <c r="P20" s="187" t="s">
        <v>1263</v>
      </c>
      <c r="Q20" s="187" t="s">
        <v>1263</v>
      </c>
      <c r="R20" s="187" t="s">
        <v>1263</v>
      </c>
      <c r="S20" s="188" t="s">
        <v>76</v>
      </c>
      <c r="T20" s="189">
        <v>70</v>
      </c>
      <c r="U20" s="190">
        <v>0</v>
      </c>
      <c r="V20" s="191">
        <v>3</v>
      </c>
      <c r="W20" s="189">
        <v>130</v>
      </c>
      <c r="X20" s="190">
        <v>0</v>
      </c>
      <c r="Y20" s="191">
        <v>3</v>
      </c>
      <c r="Z20" s="189">
        <v>200</v>
      </c>
      <c r="AA20" s="190">
        <v>0</v>
      </c>
      <c r="AB20" s="191">
        <v>3</v>
      </c>
      <c r="AC20" s="189" t="s">
        <v>76</v>
      </c>
      <c r="AD20" s="190" t="s">
        <v>76</v>
      </c>
      <c r="AE20" s="191" t="s">
        <v>76</v>
      </c>
    </row>
    <row r="21" spans="1:31" s="192" customFormat="1" ht="13.8">
      <c r="A21" s="345" t="s">
        <v>588</v>
      </c>
      <c r="B21" s="345" t="s">
        <v>589</v>
      </c>
      <c r="C21" s="188" t="s">
        <v>62</v>
      </c>
      <c r="D21" s="188" t="s">
        <v>62</v>
      </c>
      <c r="E21" s="188" t="s">
        <v>62</v>
      </c>
      <c r="F21" s="188" t="s">
        <v>76</v>
      </c>
      <c r="G21" s="188" t="s">
        <v>62</v>
      </c>
      <c r="H21" s="188" t="s">
        <v>62</v>
      </c>
      <c r="I21" s="188" t="s">
        <v>62</v>
      </c>
      <c r="J21" s="188" t="s">
        <v>76</v>
      </c>
      <c r="K21" s="188" t="s">
        <v>76</v>
      </c>
      <c r="L21" s="188" t="s">
        <v>76</v>
      </c>
      <c r="M21" s="188" t="s">
        <v>76</v>
      </c>
      <c r="N21" s="188" t="s">
        <v>76</v>
      </c>
      <c r="O21" s="188" t="s">
        <v>158</v>
      </c>
      <c r="P21" s="187" t="s">
        <v>1263</v>
      </c>
      <c r="Q21" s="187" t="s">
        <v>1263</v>
      </c>
      <c r="R21" s="187" t="s">
        <v>1263</v>
      </c>
      <c r="S21" s="188" t="s">
        <v>76</v>
      </c>
      <c r="T21" s="189">
        <v>50</v>
      </c>
      <c r="U21" s="190">
        <v>0</v>
      </c>
      <c r="V21" s="191">
        <v>3</v>
      </c>
      <c r="W21" s="189">
        <v>165</v>
      </c>
      <c r="X21" s="190">
        <v>0</v>
      </c>
      <c r="Y21" s="191">
        <v>3</v>
      </c>
      <c r="Z21" s="189">
        <v>340</v>
      </c>
      <c r="AA21" s="190">
        <v>0</v>
      </c>
      <c r="AB21" s="191">
        <v>3</v>
      </c>
      <c r="AC21" s="189" t="s">
        <v>76</v>
      </c>
      <c r="AD21" s="190" t="s">
        <v>76</v>
      </c>
      <c r="AE21" s="191" t="s">
        <v>76</v>
      </c>
    </row>
    <row r="22" spans="1:31" s="192" customFormat="1" ht="13.8">
      <c r="A22" s="345" t="s">
        <v>593</v>
      </c>
      <c r="B22" s="345" t="s">
        <v>594</v>
      </c>
      <c r="C22" s="188" t="s">
        <v>62</v>
      </c>
      <c r="D22" s="188" t="s">
        <v>62</v>
      </c>
      <c r="E22" s="188" t="s">
        <v>62</v>
      </c>
      <c r="F22" s="188" t="s">
        <v>76</v>
      </c>
      <c r="G22" s="188" t="s">
        <v>62</v>
      </c>
      <c r="H22" s="188" t="s">
        <v>62</v>
      </c>
      <c r="I22" s="188" t="s">
        <v>62</v>
      </c>
      <c r="J22" s="188" t="s">
        <v>76</v>
      </c>
      <c r="K22" s="188" t="s">
        <v>76</v>
      </c>
      <c r="L22" s="188" t="s">
        <v>76</v>
      </c>
      <c r="M22" s="188" t="s">
        <v>76</v>
      </c>
      <c r="N22" s="188" t="s">
        <v>76</v>
      </c>
      <c r="O22" s="188" t="s">
        <v>1265</v>
      </c>
      <c r="P22" s="187" t="s">
        <v>1264</v>
      </c>
      <c r="Q22" s="187" t="s">
        <v>1264</v>
      </c>
      <c r="R22" s="187" t="s">
        <v>1264</v>
      </c>
      <c r="S22" s="188" t="s">
        <v>76</v>
      </c>
      <c r="T22" s="189">
        <v>30</v>
      </c>
      <c r="U22" s="190">
        <v>0</v>
      </c>
      <c r="V22" s="191">
        <v>3</v>
      </c>
      <c r="W22" s="189">
        <v>180</v>
      </c>
      <c r="X22" s="190">
        <v>0</v>
      </c>
      <c r="Y22" s="191">
        <v>3</v>
      </c>
      <c r="Z22" s="189">
        <v>290</v>
      </c>
      <c r="AA22" s="190">
        <v>0</v>
      </c>
      <c r="AB22" s="191">
        <v>3</v>
      </c>
      <c r="AC22" s="189" t="s">
        <v>76</v>
      </c>
      <c r="AD22" s="190" t="s">
        <v>76</v>
      </c>
      <c r="AE22" s="191" t="s">
        <v>76</v>
      </c>
    </row>
    <row r="23" spans="1:31" s="192" customFormat="1" ht="13.8">
      <c r="A23" s="346" t="s">
        <v>596</v>
      </c>
      <c r="B23" s="148" t="s">
        <v>597</v>
      </c>
      <c r="C23" s="188" t="s">
        <v>62</v>
      </c>
      <c r="D23" s="188" t="s">
        <v>62</v>
      </c>
      <c r="E23" s="188" t="s">
        <v>62</v>
      </c>
      <c r="F23" s="188" t="s">
        <v>76</v>
      </c>
      <c r="G23" s="188" t="s">
        <v>62</v>
      </c>
      <c r="H23" s="188" t="s">
        <v>62</v>
      </c>
      <c r="I23" s="188" t="s">
        <v>62</v>
      </c>
      <c r="J23" s="188" t="s">
        <v>76</v>
      </c>
      <c r="K23" s="188" t="s">
        <v>76</v>
      </c>
      <c r="L23" s="188" t="s">
        <v>76</v>
      </c>
      <c r="M23" s="188" t="s">
        <v>76</v>
      </c>
      <c r="N23" s="188" t="s">
        <v>76</v>
      </c>
      <c r="O23" s="188" t="s">
        <v>158</v>
      </c>
      <c r="P23" s="187" t="s">
        <v>1263</v>
      </c>
      <c r="Q23" s="187" t="s">
        <v>1263</v>
      </c>
      <c r="R23" s="187" t="s">
        <v>1263</v>
      </c>
      <c r="S23" s="188" t="s">
        <v>76</v>
      </c>
      <c r="T23" s="189">
        <v>20</v>
      </c>
      <c r="U23" s="190">
        <v>0</v>
      </c>
      <c r="V23" s="191">
        <v>3</v>
      </c>
      <c r="W23" s="189">
        <v>110</v>
      </c>
      <c r="X23" s="190">
        <v>0</v>
      </c>
      <c r="Y23" s="191">
        <v>3</v>
      </c>
      <c r="Z23" s="189">
        <v>280</v>
      </c>
      <c r="AA23" s="190">
        <v>0</v>
      </c>
      <c r="AB23" s="191">
        <v>3</v>
      </c>
      <c r="AC23" s="189" t="s">
        <v>76</v>
      </c>
      <c r="AD23" s="190" t="s">
        <v>76</v>
      </c>
      <c r="AE23" s="191" t="s">
        <v>76</v>
      </c>
    </row>
    <row r="24" spans="1:31" s="192" customFormat="1" ht="13.8">
      <c r="A24" s="345" t="s">
        <v>600</v>
      </c>
      <c r="B24" s="345" t="s">
        <v>601</v>
      </c>
      <c r="C24" s="188" t="s">
        <v>62</v>
      </c>
      <c r="D24" s="188" t="s">
        <v>62</v>
      </c>
      <c r="E24" s="188" t="s">
        <v>62</v>
      </c>
      <c r="F24" s="188" t="s">
        <v>76</v>
      </c>
      <c r="G24" s="188" t="s">
        <v>62</v>
      </c>
      <c r="H24" s="188" t="s">
        <v>62</v>
      </c>
      <c r="I24" s="188" t="s">
        <v>62</v>
      </c>
      <c r="J24" s="188" t="s">
        <v>76</v>
      </c>
      <c r="K24" s="188" t="s">
        <v>76</v>
      </c>
      <c r="L24" s="188" t="s">
        <v>76</v>
      </c>
      <c r="M24" s="188" t="s">
        <v>76</v>
      </c>
      <c r="N24" s="188" t="s">
        <v>76</v>
      </c>
      <c r="O24" s="188" t="s">
        <v>1265</v>
      </c>
      <c r="P24" s="187" t="s">
        <v>1264</v>
      </c>
      <c r="Q24" s="187" t="s">
        <v>1264</v>
      </c>
      <c r="R24" s="187" t="s">
        <v>1264</v>
      </c>
      <c r="S24" s="188" t="s">
        <v>76</v>
      </c>
      <c r="T24" s="189">
        <v>0</v>
      </c>
      <c r="U24" s="190">
        <v>0</v>
      </c>
      <c r="V24" s="191">
        <v>3</v>
      </c>
      <c r="W24" s="189">
        <v>105</v>
      </c>
      <c r="X24" s="190">
        <v>0</v>
      </c>
      <c r="Y24" s="191">
        <v>3</v>
      </c>
      <c r="Z24" s="189">
        <v>225</v>
      </c>
      <c r="AA24" s="190">
        <v>0</v>
      </c>
      <c r="AB24" s="191">
        <v>3</v>
      </c>
      <c r="AC24" s="189" t="s">
        <v>76</v>
      </c>
      <c r="AD24" s="190" t="s">
        <v>76</v>
      </c>
      <c r="AE24" s="191" t="s">
        <v>76</v>
      </c>
    </row>
    <row r="25" spans="1:31" s="192" customFormat="1" ht="13.8">
      <c r="A25" s="345" t="s">
        <v>604</v>
      </c>
      <c r="B25" s="345" t="s">
        <v>605</v>
      </c>
      <c r="C25" s="188" t="s">
        <v>62</v>
      </c>
      <c r="D25" s="188" t="s">
        <v>62</v>
      </c>
      <c r="E25" s="188" t="s">
        <v>62</v>
      </c>
      <c r="F25" s="188" t="s">
        <v>76</v>
      </c>
      <c r="G25" s="188" t="s">
        <v>62</v>
      </c>
      <c r="H25" s="188" t="s">
        <v>62</v>
      </c>
      <c r="I25" s="188" t="s">
        <v>62</v>
      </c>
      <c r="J25" s="188" t="s">
        <v>76</v>
      </c>
      <c r="K25" s="188" t="s">
        <v>76</v>
      </c>
      <c r="L25" s="188" t="s">
        <v>76</v>
      </c>
      <c r="M25" s="188" t="s">
        <v>76</v>
      </c>
      <c r="N25" s="188" t="s">
        <v>76</v>
      </c>
      <c r="O25" s="188" t="s">
        <v>1265</v>
      </c>
      <c r="P25" s="187" t="s">
        <v>1264</v>
      </c>
      <c r="Q25" s="187" t="s">
        <v>1264</v>
      </c>
      <c r="R25" s="187" t="s">
        <v>1264</v>
      </c>
      <c r="S25" s="188" t="s">
        <v>76</v>
      </c>
      <c r="T25" s="189">
        <v>100</v>
      </c>
      <c r="U25" s="190">
        <v>0</v>
      </c>
      <c r="V25" s="191">
        <v>3</v>
      </c>
      <c r="W25" s="189">
        <v>190</v>
      </c>
      <c r="X25" s="190">
        <v>0</v>
      </c>
      <c r="Y25" s="191">
        <v>3</v>
      </c>
      <c r="Z25" s="189">
        <v>350</v>
      </c>
      <c r="AA25" s="190">
        <v>0</v>
      </c>
      <c r="AB25" s="191">
        <v>3</v>
      </c>
      <c r="AC25" s="189" t="s">
        <v>76</v>
      </c>
      <c r="AD25" s="190" t="s">
        <v>76</v>
      </c>
      <c r="AE25" s="191" t="s">
        <v>76</v>
      </c>
    </row>
    <row r="26" spans="1:31" s="192" customFormat="1" ht="13.8">
      <c r="A26" s="345" t="s">
        <v>610</v>
      </c>
      <c r="B26" s="345" t="s">
        <v>611</v>
      </c>
      <c r="C26" s="188" t="s">
        <v>62</v>
      </c>
      <c r="D26" s="188" t="s">
        <v>62</v>
      </c>
      <c r="E26" s="188" t="s">
        <v>62</v>
      </c>
      <c r="F26" s="188" t="s">
        <v>76</v>
      </c>
      <c r="G26" s="188" t="s">
        <v>62</v>
      </c>
      <c r="H26" s="188" t="s">
        <v>62</v>
      </c>
      <c r="I26" s="188" t="s">
        <v>62</v>
      </c>
      <c r="J26" s="188" t="s">
        <v>76</v>
      </c>
      <c r="K26" s="188" t="s">
        <v>76</v>
      </c>
      <c r="L26" s="188" t="s">
        <v>76</v>
      </c>
      <c r="M26" s="188" t="s">
        <v>76</v>
      </c>
      <c r="N26" s="188" t="s">
        <v>76</v>
      </c>
      <c r="O26" s="188" t="s">
        <v>158</v>
      </c>
      <c r="P26" s="187" t="s">
        <v>1263</v>
      </c>
      <c r="Q26" s="187" t="s">
        <v>1263</v>
      </c>
      <c r="R26" s="187" t="s">
        <v>1263</v>
      </c>
      <c r="S26" s="188" t="s">
        <v>76</v>
      </c>
      <c r="T26" s="189">
        <v>45</v>
      </c>
      <c r="U26" s="190">
        <v>0</v>
      </c>
      <c r="V26" s="191">
        <v>3</v>
      </c>
      <c r="W26" s="189">
        <v>150</v>
      </c>
      <c r="X26" s="190">
        <v>0</v>
      </c>
      <c r="Y26" s="191">
        <v>3</v>
      </c>
      <c r="Z26" s="189">
        <v>230</v>
      </c>
      <c r="AA26" s="190">
        <v>0</v>
      </c>
      <c r="AB26" s="191">
        <v>3</v>
      </c>
      <c r="AC26" s="189" t="s">
        <v>76</v>
      </c>
      <c r="AD26" s="190" t="s">
        <v>76</v>
      </c>
      <c r="AE26" s="191" t="s">
        <v>76</v>
      </c>
    </row>
    <row r="27" spans="1:31" s="192" customFormat="1" ht="13.8">
      <c r="A27" s="345" t="s">
        <v>614</v>
      </c>
      <c r="B27" s="345" t="s">
        <v>615</v>
      </c>
      <c r="C27" s="188" t="s">
        <v>62</v>
      </c>
      <c r="D27" s="188" t="s">
        <v>62</v>
      </c>
      <c r="E27" s="188" t="s">
        <v>62</v>
      </c>
      <c r="F27" s="188" t="s">
        <v>76</v>
      </c>
      <c r="G27" s="188" t="s">
        <v>62</v>
      </c>
      <c r="H27" s="188" t="s">
        <v>62</v>
      </c>
      <c r="I27" s="188" t="s">
        <v>62</v>
      </c>
      <c r="J27" s="188" t="s">
        <v>76</v>
      </c>
      <c r="K27" s="188" t="s">
        <v>76</v>
      </c>
      <c r="L27" s="188" t="s">
        <v>76</v>
      </c>
      <c r="M27" s="188" t="s">
        <v>76</v>
      </c>
      <c r="N27" s="188" t="s">
        <v>76</v>
      </c>
      <c r="O27" s="188" t="s">
        <v>1265</v>
      </c>
      <c r="P27" s="187" t="s">
        <v>1264</v>
      </c>
      <c r="Q27" s="187" t="s">
        <v>1264</v>
      </c>
      <c r="R27" s="187" t="s">
        <v>1264</v>
      </c>
      <c r="S27" s="188" t="s">
        <v>76</v>
      </c>
      <c r="T27" s="189">
        <v>40</v>
      </c>
      <c r="U27" s="190">
        <v>0</v>
      </c>
      <c r="V27" s="191">
        <v>3</v>
      </c>
      <c r="W27" s="189">
        <v>150</v>
      </c>
      <c r="X27" s="190">
        <v>0</v>
      </c>
      <c r="Y27" s="191">
        <v>3</v>
      </c>
      <c r="Z27" s="189">
        <v>250</v>
      </c>
      <c r="AA27" s="190">
        <v>0</v>
      </c>
      <c r="AB27" s="191">
        <v>3</v>
      </c>
      <c r="AC27" s="189" t="s">
        <v>76</v>
      </c>
      <c r="AD27" s="190" t="s">
        <v>76</v>
      </c>
      <c r="AE27" s="191" t="s">
        <v>76</v>
      </c>
    </row>
    <row r="28" spans="1:31" s="192" customFormat="1" ht="13.8">
      <c r="A28" s="148" t="s">
        <v>620</v>
      </c>
      <c r="B28" s="148" t="s">
        <v>621</v>
      </c>
      <c r="C28" s="188" t="s">
        <v>62</v>
      </c>
      <c r="D28" s="188" t="s">
        <v>62</v>
      </c>
      <c r="E28" s="188" t="s">
        <v>62</v>
      </c>
      <c r="F28" s="188" t="s">
        <v>76</v>
      </c>
      <c r="G28" s="188" t="s">
        <v>62</v>
      </c>
      <c r="H28" s="188" t="s">
        <v>62</v>
      </c>
      <c r="I28" s="188" t="s">
        <v>62</v>
      </c>
      <c r="J28" s="188" t="s">
        <v>76</v>
      </c>
      <c r="K28" s="188" t="s">
        <v>76</v>
      </c>
      <c r="L28" s="188" t="s">
        <v>76</v>
      </c>
      <c r="M28" s="188" t="s">
        <v>76</v>
      </c>
      <c r="N28" s="188" t="s">
        <v>76</v>
      </c>
      <c r="O28" s="188" t="s">
        <v>158</v>
      </c>
      <c r="P28" s="187" t="s">
        <v>1263</v>
      </c>
      <c r="Q28" s="187" t="s">
        <v>1263</v>
      </c>
      <c r="R28" s="187" t="s">
        <v>1263</v>
      </c>
      <c r="S28" s="188" t="s">
        <v>76</v>
      </c>
      <c r="T28" s="189">
        <v>30</v>
      </c>
      <c r="U28" s="190">
        <v>0</v>
      </c>
      <c r="V28" s="191">
        <v>3</v>
      </c>
      <c r="W28" s="189">
        <v>165</v>
      </c>
      <c r="X28" s="190">
        <v>0</v>
      </c>
      <c r="Y28" s="191">
        <v>3</v>
      </c>
      <c r="Z28" s="189">
        <v>300</v>
      </c>
      <c r="AA28" s="190">
        <v>0</v>
      </c>
      <c r="AB28" s="191">
        <v>3</v>
      </c>
      <c r="AC28" s="189" t="s">
        <v>76</v>
      </c>
      <c r="AD28" s="190" t="s">
        <v>76</v>
      </c>
      <c r="AE28" s="191" t="s">
        <v>76</v>
      </c>
    </row>
    <row r="29" spans="1:31" s="192" customFormat="1" ht="13.8">
      <c r="A29" s="345" t="s">
        <v>624</v>
      </c>
      <c r="B29" s="345" t="s">
        <v>625</v>
      </c>
      <c r="C29" s="188" t="s">
        <v>62</v>
      </c>
      <c r="D29" s="188" t="s">
        <v>62</v>
      </c>
      <c r="E29" s="188" t="s">
        <v>62</v>
      </c>
      <c r="F29" s="188" t="s">
        <v>76</v>
      </c>
      <c r="G29" s="188" t="s">
        <v>62</v>
      </c>
      <c r="H29" s="188" t="s">
        <v>62</v>
      </c>
      <c r="I29" s="188" t="s">
        <v>62</v>
      </c>
      <c r="J29" s="188" t="s">
        <v>76</v>
      </c>
      <c r="K29" s="188" t="s">
        <v>76</v>
      </c>
      <c r="L29" s="188" t="s">
        <v>76</v>
      </c>
      <c r="M29" s="188" t="s">
        <v>76</v>
      </c>
      <c r="N29" s="188" t="s">
        <v>76</v>
      </c>
      <c r="O29" s="188" t="s">
        <v>158</v>
      </c>
      <c r="P29" s="187" t="s">
        <v>1263</v>
      </c>
      <c r="Q29" s="187" t="s">
        <v>1263</v>
      </c>
      <c r="R29" s="187" t="s">
        <v>1263</v>
      </c>
      <c r="S29" s="188" t="s">
        <v>76</v>
      </c>
      <c r="T29" s="189">
        <v>0</v>
      </c>
      <c r="U29" s="190">
        <v>0</v>
      </c>
      <c r="V29" s="191">
        <v>3</v>
      </c>
      <c r="W29" s="189">
        <v>100</v>
      </c>
      <c r="X29" s="190">
        <v>0</v>
      </c>
      <c r="Y29" s="191">
        <v>3</v>
      </c>
      <c r="Z29" s="189">
        <v>190</v>
      </c>
      <c r="AA29" s="190">
        <v>0</v>
      </c>
      <c r="AB29" s="191">
        <v>3</v>
      </c>
      <c r="AC29" s="189" t="s">
        <v>76</v>
      </c>
      <c r="AD29" s="190" t="s">
        <v>76</v>
      </c>
      <c r="AE29" s="191" t="s">
        <v>76</v>
      </c>
    </row>
    <row r="30" spans="1:31" s="192" customFormat="1" ht="13.8">
      <c r="A30" s="148" t="s">
        <v>630</v>
      </c>
      <c r="B30" s="148" t="s">
        <v>631</v>
      </c>
      <c r="C30" s="188" t="s">
        <v>62</v>
      </c>
      <c r="D30" s="188" t="s">
        <v>62</v>
      </c>
      <c r="E30" s="188" t="s">
        <v>62</v>
      </c>
      <c r="F30" s="188" t="s">
        <v>76</v>
      </c>
      <c r="G30" s="188" t="s">
        <v>62</v>
      </c>
      <c r="H30" s="188" t="s">
        <v>62</v>
      </c>
      <c r="I30" s="188" t="s">
        <v>62</v>
      </c>
      <c r="J30" s="188" t="s">
        <v>76</v>
      </c>
      <c r="K30" s="188" t="s">
        <v>76</v>
      </c>
      <c r="L30" s="188" t="s">
        <v>76</v>
      </c>
      <c r="M30" s="188" t="s">
        <v>76</v>
      </c>
      <c r="N30" s="188" t="s">
        <v>76</v>
      </c>
      <c r="O30" s="188" t="s">
        <v>158</v>
      </c>
      <c r="P30" s="187" t="s">
        <v>1263</v>
      </c>
      <c r="Q30" s="187" t="s">
        <v>1263</v>
      </c>
      <c r="R30" s="187" t="s">
        <v>1263</v>
      </c>
      <c r="S30" s="188" t="s">
        <v>76</v>
      </c>
      <c r="T30" s="189">
        <v>60</v>
      </c>
      <c r="U30" s="190">
        <v>0</v>
      </c>
      <c r="V30" s="191">
        <v>3</v>
      </c>
      <c r="W30" s="189">
        <v>160</v>
      </c>
      <c r="X30" s="190">
        <v>0</v>
      </c>
      <c r="Y30" s="191">
        <v>3</v>
      </c>
      <c r="Z30" s="189">
        <v>320</v>
      </c>
      <c r="AA30" s="190">
        <v>0</v>
      </c>
      <c r="AB30" s="191">
        <v>3</v>
      </c>
      <c r="AC30" s="189" t="s">
        <v>76</v>
      </c>
      <c r="AD30" s="190" t="s">
        <v>76</v>
      </c>
      <c r="AE30" s="191" t="s">
        <v>76</v>
      </c>
    </row>
    <row r="31" spans="1:31" s="192" customFormat="1" ht="13.8">
      <c r="A31" s="345" t="s">
        <v>634</v>
      </c>
      <c r="B31" s="345" t="s">
        <v>635</v>
      </c>
      <c r="C31" s="188" t="s">
        <v>62</v>
      </c>
      <c r="D31" s="188" t="s">
        <v>62</v>
      </c>
      <c r="E31" s="188" t="s">
        <v>62</v>
      </c>
      <c r="F31" s="188" t="s">
        <v>76</v>
      </c>
      <c r="G31" s="188" t="s">
        <v>62</v>
      </c>
      <c r="H31" s="188" t="s">
        <v>62</v>
      </c>
      <c r="I31" s="188" t="s">
        <v>62</v>
      </c>
      <c r="J31" s="188" t="s">
        <v>76</v>
      </c>
      <c r="K31" s="188" t="s">
        <v>76</v>
      </c>
      <c r="L31" s="188" t="s">
        <v>76</v>
      </c>
      <c r="M31" s="188" t="s">
        <v>76</v>
      </c>
      <c r="N31" s="188" t="s">
        <v>76</v>
      </c>
      <c r="O31" s="188" t="s">
        <v>158</v>
      </c>
      <c r="P31" s="187" t="s">
        <v>1263</v>
      </c>
      <c r="Q31" s="187" t="s">
        <v>1263</v>
      </c>
      <c r="R31" s="187" t="s">
        <v>1263</v>
      </c>
      <c r="S31" s="188" t="s">
        <v>76</v>
      </c>
      <c r="T31" s="189">
        <v>20</v>
      </c>
      <c r="U31" s="190">
        <v>0</v>
      </c>
      <c r="V31" s="191">
        <v>3</v>
      </c>
      <c r="W31" s="189">
        <v>150</v>
      </c>
      <c r="X31" s="190">
        <v>0</v>
      </c>
      <c r="Y31" s="191">
        <v>3</v>
      </c>
      <c r="Z31" s="189">
        <v>260</v>
      </c>
      <c r="AA31" s="190">
        <v>0</v>
      </c>
      <c r="AB31" s="191">
        <v>3</v>
      </c>
      <c r="AC31" s="189" t="s">
        <v>76</v>
      </c>
      <c r="AD31" s="190" t="s">
        <v>76</v>
      </c>
      <c r="AE31" s="191" t="s">
        <v>76</v>
      </c>
    </row>
    <row r="32" spans="1:31" s="192" customFormat="1" ht="13.8">
      <c r="A32" s="345" t="s">
        <v>638</v>
      </c>
      <c r="B32" s="345" t="s">
        <v>639</v>
      </c>
      <c r="C32" s="188" t="s">
        <v>62</v>
      </c>
      <c r="D32" s="188" t="s">
        <v>62</v>
      </c>
      <c r="E32" s="188" t="s">
        <v>62</v>
      </c>
      <c r="F32" s="188" t="s">
        <v>76</v>
      </c>
      <c r="G32" s="188" t="s">
        <v>62</v>
      </c>
      <c r="H32" s="188" t="s">
        <v>62</v>
      </c>
      <c r="I32" s="188" t="s">
        <v>62</v>
      </c>
      <c r="J32" s="188" t="s">
        <v>76</v>
      </c>
      <c r="K32" s="188" t="s">
        <v>76</v>
      </c>
      <c r="L32" s="188" t="s">
        <v>76</v>
      </c>
      <c r="M32" s="188" t="s">
        <v>76</v>
      </c>
      <c r="N32" s="188" t="s">
        <v>76</v>
      </c>
      <c r="O32" s="188" t="s">
        <v>158</v>
      </c>
      <c r="P32" s="187" t="s">
        <v>1263</v>
      </c>
      <c r="Q32" s="187" t="s">
        <v>1263</v>
      </c>
      <c r="R32" s="187" t="s">
        <v>1263</v>
      </c>
      <c r="S32" s="188" t="s">
        <v>76</v>
      </c>
      <c r="T32" s="189">
        <v>90</v>
      </c>
      <c r="U32" s="190">
        <v>0</v>
      </c>
      <c r="V32" s="191">
        <v>3</v>
      </c>
      <c r="W32" s="189">
        <v>180</v>
      </c>
      <c r="X32" s="190">
        <v>0</v>
      </c>
      <c r="Y32" s="191">
        <v>3</v>
      </c>
      <c r="Z32" s="189">
        <v>290</v>
      </c>
      <c r="AA32" s="190">
        <v>0</v>
      </c>
      <c r="AB32" s="191">
        <v>3</v>
      </c>
      <c r="AC32" s="189" t="s">
        <v>76</v>
      </c>
      <c r="AD32" s="190" t="s">
        <v>76</v>
      </c>
      <c r="AE32" s="191" t="s">
        <v>76</v>
      </c>
    </row>
    <row r="33" spans="1:31" s="192" customFormat="1" ht="13.8">
      <c r="A33" s="345" t="s">
        <v>650</v>
      </c>
      <c r="B33" s="345" t="s">
        <v>651</v>
      </c>
      <c r="C33" s="188" t="s">
        <v>62</v>
      </c>
      <c r="D33" s="188" t="s">
        <v>62</v>
      </c>
      <c r="E33" s="188" t="s">
        <v>62</v>
      </c>
      <c r="F33" s="188" t="s">
        <v>76</v>
      </c>
      <c r="G33" s="188" t="s">
        <v>62</v>
      </c>
      <c r="H33" s="188" t="s">
        <v>62</v>
      </c>
      <c r="I33" s="188" t="s">
        <v>62</v>
      </c>
      <c r="J33" s="188" t="s">
        <v>76</v>
      </c>
      <c r="K33" s="188" t="s">
        <v>76</v>
      </c>
      <c r="L33" s="188" t="s">
        <v>76</v>
      </c>
      <c r="M33" s="188" t="s">
        <v>76</v>
      </c>
      <c r="N33" s="188" t="s">
        <v>76</v>
      </c>
      <c r="O33" s="188" t="s">
        <v>1265</v>
      </c>
      <c r="P33" s="187" t="s">
        <v>1264</v>
      </c>
      <c r="Q33" s="187" t="s">
        <v>1264</v>
      </c>
      <c r="R33" s="187" t="s">
        <v>1264</v>
      </c>
      <c r="S33" s="188" t="s">
        <v>76</v>
      </c>
      <c r="T33" s="189">
        <v>0</v>
      </c>
      <c r="U33" s="190">
        <v>1</v>
      </c>
      <c r="V33" s="191">
        <v>3</v>
      </c>
      <c r="W33" s="189">
        <v>160</v>
      </c>
      <c r="X33" s="190">
        <v>1</v>
      </c>
      <c r="Y33" s="191">
        <v>3</v>
      </c>
      <c r="Z33" s="189">
        <v>270</v>
      </c>
      <c r="AA33" s="190">
        <v>1</v>
      </c>
      <c r="AB33" s="191">
        <v>3</v>
      </c>
      <c r="AC33" s="189" t="s">
        <v>76</v>
      </c>
      <c r="AD33" s="190" t="s">
        <v>76</v>
      </c>
      <c r="AE33" s="191" t="s">
        <v>76</v>
      </c>
    </row>
    <row r="34" spans="1:31" s="192" customFormat="1" ht="13.8">
      <c r="A34" s="148" t="s">
        <v>653</v>
      </c>
      <c r="B34" s="148" t="s">
        <v>654</v>
      </c>
      <c r="C34" s="188" t="s">
        <v>62</v>
      </c>
      <c r="D34" s="188" t="s">
        <v>62</v>
      </c>
      <c r="E34" s="188" t="s">
        <v>62</v>
      </c>
      <c r="F34" s="188" t="s">
        <v>76</v>
      </c>
      <c r="G34" s="188" t="s">
        <v>62</v>
      </c>
      <c r="H34" s="188" t="s">
        <v>62</v>
      </c>
      <c r="I34" s="188" t="s">
        <v>62</v>
      </c>
      <c r="J34" s="188" t="s">
        <v>76</v>
      </c>
      <c r="K34" s="188" t="s">
        <v>76</v>
      </c>
      <c r="L34" s="188" t="s">
        <v>76</v>
      </c>
      <c r="M34" s="188" t="s">
        <v>76</v>
      </c>
      <c r="N34" s="188" t="s">
        <v>76</v>
      </c>
      <c r="O34" s="188" t="s">
        <v>158</v>
      </c>
      <c r="P34" s="187" t="s">
        <v>1263</v>
      </c>
      <c r="Q34" s="187" t="s">
        <v>1263</v>
      </c>
      <c r="R34" s="187" t="s">
        <v>1263</v>
      </c>
      <c r="S34" s="188" t="s">
        <v>76</v>
      </c>
      <c r="T34" s="189">
        <v>0</v>
      </c>
      <c r="U34" s="190">
        <v>0</v>
      </c>
      <c r="V34" s="191">
        <v>3</v>
      </c>
      <c r="W34" s="189">
        <v>110</v>
      </c>
      <c r="X34" s="190">
        <v>0</v>
      </c>
      <c r="Y34" s="191">
        <v>3</v>
      </c>
      <c r="Z34" s="189">
        <v>200</v>
      </c>
      <c r="AA34" s="190">
        <v>0</v>
      </c>
      <c r="AB34" s="191">
        <v>3</v>
      </c>
      <c r="AC34" s="189" t="s">
        <v>76</v>
      </c>
      <c r="AD34" s="190" t="s">
        <v>76</v>
      </c>
      <c r="AE34" s="191" t="s">
        <v>76</v>
      </c>
    </row>
    <row r="35" spans="1:31" s="192" customFormat="1" ht="13.8">
      <c r="A35" s="347" t="s">
        <v>662</v>
      </c>
      <c r="B35" s="347" t="s">
        <v>663</v>
      </c>
      <c r="C35" s="188" t="s">
        <v>62</v>
      </c>
      <c r="D35" s="188" t="s">
        <v>62</v>
      </c>
      <c r="E35" s="188" t="s">
        <v>62</v>
      </c>
      <c r="F35" s="188" t="s">
        <v>76</v>
      </c>
      <c r="G35" s="188" t="s">
        <v>62</v>
      </c>
      <c r="H35" s="188" t="s">
        <v>62</v>
      </c>
      <c r="I35" s="188" t="s">
        <v>62</v>
      </c>
      <c r="J35" s="188" t="s">
        <v>76</v>
      </c>
      <c r="K35" s="188" t="s">
        <v>76</v>
      </c>
      <c r="L35" s="188" t="s">
        <v>76</v>
      </c>
      <c r="M35" s="188" t="s">
        <v>76</v>
      </c>
      <c r="N35" s="188" t="s">
        <v>76</v>
      </c>
      <c r="O35" s="188" t="s">
        <v>1265</v>
      </c>
      <c r="P35" s="187" t="s">
        <v>1264</v>
      </c>
      <c r="Q35" s="187" t="s">
        <v>1264</v>
      </c>
      <c r="R35" s="187" t="s">
        <v>1264</v>
      </c>
      <c r="S35" s="188" t="s">
        <v>76</v>
      </c>
      <c r="T35" s="189">
        <v>40</v>
      </c>
      <c r="U35" s="190">
        <v>0</v>
      </c>
      <c r="V35" s="191">
        <v>3</v>
      </c>
      <c r="W35" s="189">
        <v>165</v>
      </c>
      <c r="X35" s="190">
        <v>0</v>
      </c>
      <c r="Y35" s="191">
        <v>3</v>
      </c>
      <c r="Z35" s="189">
        <v>305</v>
      </c>
      <c r="AA35" s="190">
        <v>0</v>
      </c>
      <c r="AB35" s="191">
        <v>3</v>
      </c>
      <c r="AC35" s="189" t="s">
        <v>76</v>
      </c>
      <c r="AD35" s="190" t="s">
        <v>76</v>
      </c>
      <c r="AE35" s="191" t="s">
        <v>76</v>
      </c>
    </row>
    <row r="36" spans="1:31" s="192" customFormat="1" ht="13.8">
      <c r="A36" s="348" t="s">
        <v>641</v>
      </c>
      <c r="B36" s="348" t="s">
        <v>642</v>
      </c>
      <c r="C36" s="188" t="s">
        <v>76</v>
      </c>
      <c r="D36" s="188" t="s">
        <v>76</v>
      </c>
      <c r="E36" s="188" t="s">
        <v>76</v>
      </c>
      <c r="F36" s="188" t="s">
        <v>76</v>
      </c>
      <c r="G36" s="188" t="s">
        <v>1266</v>
      </c>
      <c r="H36" s="188" t="s">
        <v>1266</v>
      </c>
      <c r="I36" s="188" t="s">
        <v>1266</v>
      </c>
      <c r="J36" s="188" t="s">
        <v>76</v>
      </c>
      <c r="K36" s="188" t="s">
        <v>76</v>
      </c>
      <c r="L36" s="188" t="s">
        <v>76</v>
      </c>
      <c r="M36" s="188" t="s">
        <v>76</v>
      </c>
      <c r="N36" s="188" t="s">
        <v>76</v>
      </c>
      <c r="O36" s="188"/>
      <c r="P36" s="187"/>
      <c r="Q36" s="187"/>
      <c r="R36" s="187"/>
      <c r="S36" s="188" t="s">
        <v>76</v>
      </c>
      <c r="T36" s="189">
        <v>75</v>
      </c>
      <c r="U36" s="190">
        <v>0</v>
      </c>
      <c r="V36" s="191">
        <v>2</v>
      </c>
      <c r="W36" s="189">
        <v>230</v>
      </c>
      <c r="X36" s="190">
        <v>0</v>
      </c>
      <c r="Y36" s="191">
        <v>2</v>
      </c>
      <c r="Z36" s="189">
        <v>320</v>
      </c>
      <c r="AA36" s="190">
        <v>0</v>
      </c>
      <c r="AB36" s="191">
        <v>2</v>
      </c>
      <c r="AC36" s="189" t="s">
        <v>76</v>
      </c>
      <c r="AD36" s="190" t="s">
        <v>76</v>
      </c>
      <c r="AE36" s="191" t="s">
        <v>76</v>
      </c>
    </row>
    <row r="37" spans="1:31" s="192" customFormat="1" ht="13.8">
      <c r="A37" s="349" t="s">
        <v>664</v>
      </c>
      <c r="B37" s="349" t="s">
        <v>665</v>
      </c>
      <c r="C37" s="188" t="s">
        <v>76</v>
      </c>
      <c r="D37" s="188" t="s">
        <v>76</v>
      </c>
      <c r="E37" s="188" t="s">
        <v>76</v>
      </c>
      <c r="F37" s="188" t="s">
        <v>76</v>
      </c>
      <c r="G37" s="188" t="s">
        <v>1267</v>
      </c>
      <c r="H37" s="188" t="s">
        <v>1267</v>
      </c>
      <c r="I37" s="188" t="s">
        <v>1267</v>
      </c>
      <c r="J37" s="188" t="s">
        <v>76</v>
      </c>
      <c r="K37" s="188" t="s">
        <v>76</v>
      </c>
      <c r="L37" s="188" t="s">
        <v>76</v>
      </c>
      <c r="M37" s="188" t="s">
        <v>76</v>
      </c>
      <c r="N37" s="188" t="s">
        <v>76</v>
      </c>
      <c r="O37" s="188" t="s">
        <v>1269</v>
      </c>
      <c r="P37" s="187" t="s">
        <v>1268</v>
      </c>
      <c r="Q37" s="187" t="s">
        <v>1268</v>
      </c>
      <c r="R37" s="187" t="s">
        <v>1268</v>
      </c>
      <c r="S37" s="188" t="s">
        <v>76</v>
      </c>
      <c r="T37" s="189">
        <v>30</v>
      </c>
      <c r="U37" s="190">
        <v>5</v>
      </c>
      <c r="V37" s="191">
        <v>3</v>
      </c>
      <c r="W37" s="189">
        <v>130</v>
      </c>
      <c r="X37" s="190">
        <v>1</v>
      </c>
      <c r="Y37" s="191">
        <v>2</v>
      </c>
      <c r="Z37" s="189">
        <v>270</v>
      </c>
      <c r="AA37" s="190">
        <v>2</v>
      </c>
      <c r="AB37" s="191">
        <v>3</v>
      </c>
      <c r="AC37" s="189" t="s">
        <v>76</v>
      </c>
      <c r="AD37" s="190" t="s">
        <v>76</v>
      </c>
      <c r="AE37" s="191" t="s">
        <v>76</v>
      </c>
    </row>
    <row r="38" spans="1:31" s="192" customFormat="1" ht="13.8">
      <c r="A38" s="187" t="s">
        <v>178</v>
      </c>
      <c r="B38" s="187" t="s">
        <v>186</v>
      </c>
      <c r="C38" s="188" t="s">
        <v>385</v>
      </c>
      <c r="D38" s="188" t="s">
        <v>386</v>
      </c>
      <c r="E38" s="188" t="s">
        <v>385</v>
      </c>
      <c r="F38" s="188" t="s">
        <v>387</v>
      </c>
      <c r="G38" s="188" t="s">
        <v>62</v>
      </c>
      <c r="H38" s="188" t="s">
        <v>62</v>
      </c>
      <c r="I38" s="188" t="s">
        <v>62</v>
      </c>
      <c r="J38" s="188" t="s">
        <v>62</v>
      </c>
      <c r="K38" s="188" t="s">
        <v>76</v>
      </c>
      <c r="L38" s="188" t="s">
        <v>76</v>
      </c>
      <c r="M38" s="188" t="s">
        <v>76</v>
      </c>
      <c r="N38" s="188" t="s">
        <v>76</v>
      </c>
      <c r="O38" s="188" t="s">
        <v>158</v>
      </c>
      <c r="P38" s="187" t="s">
        <v>388</v>
      </c>
      <c r="Q38" s="187" t="s">
        <v>388</v>
      </c>
      <c r="R38" s="187" t="s">
        <v>388</v>
      </c>
      <c r="S38" s="187" t="s">
        <v>388</v>
      </c>
      <c r="T38" s="189">
        <v>0</v>
      </c>
      <c r="U38" s="190">
        <v>0</v>
      </c>
      <c r="V38" s="191">
        <v>2</v>
      </c>
      <c r="W38" s="189">
        <v>100</v>
      </c>
      <c r="X38" s="190">
        <v>2</v>
      </c>
      <c r="Y38" s="191">
        <v>2</v>
      </c>
      <c r="Z38" s="189">
        <v>180</v>
      </c>
      <c r="AA38" s="190">
        <v>0</v>
      </c>
      <c r="AB38" s="191">
        <v>2</v>
      </c>
      <c r="AC38" s="189">
        <v>280</v>
      </c>
      <c r="AD38" s="190">
        <v>0</v>
      </c>
      <c r="AE38" s="191">
        <v>2</v>
      </c>
    </row>
    <row r="39" spans="1:31" s="192" customFormat="1" ht="13.8">
      <c r="A39" s="187" t="s">
        <v>166</v>
      </c>
      <c r="B39" s="187" t="s">
        <v>167</v>
      </c>
      <c r="C39" s="188" t="s">
        <v>385</v>
      </c>
      <c r="D39" s="188" t="s">
        <v>385</v>
      </c>
      <c r="E39" s="188" t="s">
        <v>405</v>
      </c>
      <c r="F39" s="188" t="s">
        <v>76</v>
      </c>
      <c r="G39" s="188" t="s">
        <v>62</v>
      </c>
      <c r="H39" s="188" t="s">
        <v>62</v>
      </c>
      <c r="I39" s="188" t="s">
        <v>62</v>
      </c>
      <c r="J39" s="188" t="s">
        <v>76</v>
      </c>
      <c r="K39" s="188" t="s">
        <v>76</v>
      </c>
      <c r="L39" s="188" t="s">
        <v>76</v>
      </c>
      <c r="M39" s="188" t="s">
        <v>76</v>
      </c>
      <c r="N39" s="188" t="s">
        <v>76</v>
      </c>
      <c r="O39" s="188" t="s">
        <v>158</v>
      </c>
      <c r="P39" s="187" t="s">
        <v>388</v>
      </c>
      <c r="Q39" s="187" t="s">
        <v>388</v>
      </c>
      <c r="R39" s="187" t="s">
        <v>388</v>
      </c>
      <c r="S39" s="188" t="s">
        <v>76</v>
      </c>
      <c r="T39" s="189">
        <v>40</v>
      </c>
      <c r="U39" s="190">
        <v>0</v>
      </c>
      <c r="V39" s="191">
        <v>2</v>
      </c>
      <c r="W39" s="189">
        <v>150</v>
      </c>
      <c r="X39" s="190">
        <v>0</v>
      </c>
      <c r="Y39" s="191">
        <v>2</v>
      </c>
      <c r="Z39" s="189">
        <v>320</v>
      </c>
      <c r="AA39" s="190">
        <v>0</v>
      </c>
      <c r="AB39" s="191">
        <v>2</v>
      </c>
      <c r="AC39" s="189" t="s">
        <v>76</v>
      </c>
      <c r="AD39" s="190" t="s">
        <v>76</v>
      </c>
      <c r="AE39" s="191" t="s">
        <v>76</v>
      </c>
    </row>
    <row r="40" spans="1:31" s="192" customFormat="1" ht="13.8">
      <c r="A40" s="145" t="s">
        <v>163</v>
      </c>
      <c r="B40" s="120" t="s">
        <v>164</v>
      </c>
      <c r="C40" s="188" t="s">
        <v>385</v>
      </c>
      <c r="D40" s="188" t="s">
        <v>385</v>
      </c>
      <c r="E40" s="188" t="s">
        <v>405</v>
      </c>
      <c r="F40" s="188" t="s">
        <v>76</v>
      </c>
      <c r="G40" s="188" t="s">
        <v>62</v>
      </c>
      <c r="H40" s="188" t="s">
        <v>62</v>
      </c>
      <c r="I40" s="188" t="s">
        <v>62</v>
      </c>
      <c r="J40" s="188" t="s">
        <v>76</v>
      </c>
      <c r="K40" s="188" t="s">
        <v>76</v>
      </c>
      <c r="L40" s="188" t="s">
        <v>76</v>
      </c>
      <c r="M40" s="188" t="s">
        <v>76</v>
      </c>
      <c r="N40" s="188" t="s">
        <v>76</v>
      </c>
      <c r="O40" s="188" t="s">
        <v>158</v>
      </c>
      <c r="P40" s="187" t="s">
        <v>388</v>
      </c>
      <c r="Q40" s="187" t="s">
        <v>388</v>
      </c>
      <c r="R40" s="187" t="s">
        <v>388</v>
      </c>
      <c r="S40" s="188" t="s">
        <v>76</v>
      </c>
      <c r="T40" s="189">
        <v>70</v>
      </c>
      <c r="U40" s="190">
        <v>0</v>
      </c>
      <c r="V40" s="191">
        <v>2</v>
      </c>
      <c r="W40" s="189">
        <v>170</v>
      </c>
      <c r="X40" s="190">
        <v>0</v>
      </c>
      <c r="Y40" s="191">
        <v>2</v>
      </c>
      <c r="Z40" s="189">
        <v>280</v>
      </c>
      <c r="AA40" s="190">
        <v>0</v>
      </c>
      <c r="AB40" s="191">
        <v>2</v>
      </c>
      <c r="AC40" s="189" t="s">
        <v>76</v>
      </c>
      <c r="AD40" s="190" t="s">
        <v>76</v>
      </c>
      <c r="AE40" s="191" t="s">
        <v>76</v>
      </c>
    </row>
    <row r="41" spans="1:31" s="192" customFormat="1" ht="13.8">
      <c r="A41" s="144" t="s">
        <v>161</v>
      </c>
      <c r="B41" s="21" t="s">
        <v>162</v>
      </c>
      <c r="C41" s="188" t="s">
        <v>385</v>
      </c>
      <c r="D41" s="188" t="s">
        <v>386</v>
      </c>
      <c r="E41" s="188" t="s">
        <v>385</v>
      </c>
      <c r="F41" s="188" t="s">
        <v>387</v>
      </c>
      <c r="G41" s="188" t="s">
        <v>62</v>
      </c>
      <c r="H41" s="188" t="s">
        <v>62</v>
      </c>
      <c r="I41" s="188" t="s">
        <v>62</v>
      </c>
      <c r="J41" s="188" t="s">
        <v>62</v>
      </c>
      <c r="K41" s="188" t="s">
        <v>76</v>
      </c>
      <c r="L41" s="188" t="s">
        <v>76</v>
      </c>
      <c r="M41" s="188" t="s">
        <v>76</v>
      </c>
      <c r="N41" s="188" t="s">
        <v>76</v>
      </c>
      <c r="O41" s="188" t="s">
        <v>158</v>
      </c>
      <c r="P41" s="187" t="s">
        <v>388</v>
      </c>
      <c r="Q41" s="187" t="s">
        <v>388</v>
      </c>
      <c r="R41" s="187" t="s">
        <v>388</v>
      </c>
      <c r="S41" s="187" t="s">
        <v>388</v>
      </c>
      <c r="T41" s="189">
        <v>60</v>
      </c>
      <c r="U41" s="190">
        <v>0</v>
      </c>
      <c r="V41" s="191">
        <v>2</v>
      </c>
      <c r="W41" s="189">
        <v>140</v>
      </c>
      <c r="X41" s="190">
        <v>0</v>
      </c>
      <c r="Y41" s="191">
        <v>2</v>
      </c>
      <c r="Z41" s="189">
        <v>220</v>
      </c>
      <c r="AA41" s="190">
        <v>0</v>
      </c>
      <c r="AB41" s="191">
        <v>2</v>
      </c>
      <c r="AC41" s="189">
        <v>320</v>
      </c>
      <c r="AD41" s="190">
        <v>0</v>
      </c>
      <c r="AE41" s="191">
        <v>2</v>
      </c>
    </row>
    <row r="42" spans="1:31" s="192" customFormat="1" ht="13.8">
      <c r="A42" s="144" t="s">
        <v>176</v>
      </c>
      <c r="B42" s="21" t="s">
        <v>184</v>
      </c>
      <c r="C42" s="188" t="s">
        <v>385</v>
      </c>
      <c r="D42" s="188" t="s">
        <v>385</v>
      </c>
      <c r="E42" s="188" t="s">
        <v>405</v>
      </c>
      <c r="F42" s="188" t="s">
        <v>76</v>
      </c>
      <c r="G42" s="188" t="s">
        <v>62</v>
      </c>
      <c r="H42" s="188" t="s">
        <v>62</v>
      </c>
      <c r="I42" s="188" t="s">
        <v>62</v>
      </c>
      <c r="J42" s="188" t="s">
        <v>76</v>
      </c>
      <c r="K42" s="188" t="s">
        <v>76</v>
      </c>
      <c r="L42" s="188" t="s">
        <v>76</v>
      </c>
      <c r="M42" s="188" t="s">
        <v>76</v>
      </c>
      <c r="N42" s="188" t="s">
        <v>76</v>
      </c>
      <c r="O42" s="188" t="s">
        <v>158</v>
      </c>
      <c r="P42" s="187" t="s">
        <v>388</v>
      </c>
      <c r="Q42" s="187" t="s">
        <v>388</v>
      </c>
      <c r="R42" s="187" t="s">
        <v>388</v>
      </c>
      <c r="S42" s="188" t="s">
        <v>76</v>
      </c>
      <c r="T42" s="189">
        <v>40</v>
      </c>
      <c r="U42" s="190">
        <v>1</v>
      </c>
      <c r="V42" s="191">
        <v>2</v>
      </c>
      <c r="W42" s="189">
        <v>120</v>
      </c>
      <c r="X42" s="190">
        <v>1</v>
      </c>
      <c r="Y42" s="191">
        <v>2</v>
      </c>
      <c r="Z42" s="189">
        <v>300</v>
      </c>
      <c r="AA42" s="190">
        <v>2</v>
      </c>
      <c r="AB42" s="191">
        <v>2</v>
      </c>
      <c r="AC42" s="189" t="s">
        <v>76</v>
      </c>
      <c r="AD42" s="190" t="s">
        <v>76</v>
      </c>
      <c r="AE42" s="191" t="s">
        <v>76</v>
      </c>
    </row>
    <row r="43" spans="1:31" s="192" customFormat="1" ht="13.8">
      <c r="A43" s="144" t="s">
        <v>159</v>
      </c>
      <c r="B43" s="21" t="s">
        <v>160</v>
      </c>
      <c r="C43" s="188" t="s">
        <v>385</v>
      </c>
      <c r="D43" s="188" t="s">
        <v>385</v>
      </c>
      <c r="E43" s="188" t="s">
        <v>405</v>
      </c>
      <c r="F43" s="188" t="s">
        <v>76</v>
      </c>
      <c r="G43" s="188" t="s">
        <v>62</v>
      </c>
      <c r="H43" s="188" t="s">
        <v>62</v>
      </c>
      <c r="I43" s="188" t="s">
        <v>62</v>
      </c>
      <c r="J43" s="188" t="s">
        <v>76</v>
      </c>
      <c r="K43" s="188" t="s">
        <v>76</v>
      </c>
      <c r="L43" s="188" t="s">
        <v>76</v>
      </c>
      <c r="M43" s="188" t="s">
        <v>76</v>
      </c>
      <c r="N43" s="188" t="s">
        <v>76</v>
      </c>
      <c r="O43" s="188" t="s">
        <v>158</v>
      </c>
      <c r="P43" s="187" t="s">
        <v>388</v>
      </c>
      <c r="Q43" s="187" t="s">
        <v>388</v>
      </c>
      <c r="R43" s="187" t="s">
        <v>388</v>
      </c>
      <c r="S43" s="188" t="s">
        <v>76</v>
      </c>
      <c r="T43" s="189">
        <v>100</v>
      </c>
      <c r="U43" s="190">
        <v>0</v>
      </c>
      <c r="V43" s="191">
        <v>2</v>
      </c>
      <c r="W43" s="189">
        <v>210</v>
      </c>
      <c r="X43" s="190">
        <v>1</v>
      </c>
      <c r="Y43" s="191">
        <v>2</v>
      </c>
      <c r="Z43" s="189">
        <v>320</v>
      </c>
      <c r="AA43" s="190">
        <v>3</v>
      </c>
      <c r="AB43" s="191">
        <v>2</v>
      </c>
      <c r="AC43" s="189" t="s">
        <v>76</v>
      </c>
      <c r="AD43" s="190" t="s">
        <v>76</v>
      </c>
      <c r="AE43" s="191" t="s">
        <v>76</v>
      </c>
    </row>
    <row r="44" spans="1:31" s="192" customFormat="1" ht="13.8">
      <c r="A44" s="187"/>
      <c r="B44" s="187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188"/>
      <c r="S44" s="188"/>
      <c r="T44" s="189"/>
      <c r="U44" s="190"/>
      <c r="V44" s="191"/>
      <c r="W44" s="189"/>
      <c r="X44" s="190"/>
      <c r="Y44" s="191"/>
      <c r="Z44" s="189"/>
      <c r="AA44" s="190"/>
      <c r="AB44" s="191"/>
      <c r="AC44" s="189"/>
      <c r="AD44" s="190"/>
      <c r="AE44" s="191"/>
    </row>
    <row r="45" spans="1:31" s="192" customFormat="1" ht="13.8">
      <c r="A45" s="187"/>
      <c r="B45" s="187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  <c r="N45" s="188"/>
      <c r="O45" s="188"/>
      <c r="P45" s="188"/>
      <c r="Q45" s="188"/>
      <c r="R45" s="188"/>
      <c r="S45" s="188"/>
      <c r="T45" s="189"/>
      <c r="U45" s="190"/>
      <c r="V45" s="191"/>
      <c r="W45" s="189"/>
      <c r="X45" s="190"/>
      <c r="Y45" s="191"/>
      <c r="Z45" s="189"/>
      <c r="AA45" s="190"/>
      <c r="AB45" s="191"/>
      <c r="AC45" s="189"/>
      <c r="AD45" s="190"/>
      <c r="AE45" s="191"/>
    </row>
    <row r="46" spans="1:31" s="192" customFormat="1" ht="13.8">
      <c r="A46" s="187"/>
      <c r="B46" s="187"/>
      <c r="C46" s="188"/>
      <c r="D46" s="188"/>
      <c r="E46" s="188"/>
      <c r="F46" s="188"/>
      <c r="G46" s="188"/>
      <c r="H46" s="188"/>
      <c r="I46" s="188"/>
      <c r="J46" s="188"/>
      <c r="K46" s="188"/>
      <c r="L46" s="188"/>
      <c r="M46" s="188"/>
      <c r="N46" s="188"/>
      <c r="O46" s="188"/>
      <c r="P46" s="188"/>
      <c r="Q46" s="188"/>
      <c r="R46" s="188"/>
      <c r="S46" s="188"/>
      <c r="T46" s="189"/>
      <c r="U46" s="190"/>
      <c r="V46" s="191"/>
      <c r="W46" s="189"/>
      <c r="X46" s="190"/>
      <c r="Y46" s="191"/>
      <c r="Z46" s="189"/>
      <c r="AA46" s="190"/>
      <c r="AB46" s="191"/>
      <c r="AC46" s="189"/>
      <c r="AD46" s="190"/>
      <c r="AE46" s="191"/>
    </row>
    <row r="47" spans="1:31" s="192" customFormat="1" ht="13.8">
      <c r="A47" s="187"/>
      <c r="B47" s="187"/>
      <c r="C47" s="188"/>
      <c r="D47" s="188"/>
      <c r="E47" s="188"/>
      <c r="F47" s="188"/>
      <c r="G47" s="188"/>
      <c r="H47" s="188"/>
      <c r="I47" s="188"/>
      <c r="J47" s="188"/>
      <c r="K47" s="188"/>
      <c r="L47" s="188"/>
      <c r="M47" s="188"/>
      <c r="N47" s="188"/>
      <c r="O47" s="188"/>
      <c r="P47" s="188"/>
      <c r="Q47" s="188"/>
      <c r="R47" s="188"/>
      <c r="S47" s="188"/>
      <c r="T47" s="189"/>
      <c r="U47" s="190"/>
      <c r="V47" s="191"/>
      <c r="W47" s="189"/>
      <c r="X47" s="190"/>
      <c r="Y47" s="191"/>
      <c r="Z47" s="189"/>
      <c r="AA47" s="190"/>
      <c r="AB47" s="191"/>
      <c r="AC47" s="189"/>
      <c r="AD47" s="190"/>
      <c r="AE47" s="191"/>
    </row>
    <row r="48" spans="1:31" s="192" customFormat="1" ht="13.8">
      <c r="A48" s="187"/>
      <c r="B48" s="187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9"/>
      <c r="U48" s="190"/>
      <c r="V48" s="191"/>
      <c r="W48" s="189"/>
      <c r="X48" s="190"/>
      <c r="Y48" s="191"/>
      <c r="Z48" s="189"/>
      <c r="AA48" s="190"/>
      <c r="AB48" s="191"/>
      <c r="AC48" s="189"/>
      <c r="AD48" s="190"/>
      <c r="AE48" s="191"/>
    </row>
    <row r="49" spans="1:31" s="192" customFormat="1" ht="13.8">
      <c r="A49" s="37"/>
      <c r="B49" s="37"/>
      <c r="C49" s="193"/>
      <c r="D49" s="193"/>
      <c r="E49" s="193"/>
      <c r="F49" s="193"/>
      <c r="G49" s="193"/>
      <c r="H49" s="193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9"/>
      <c r="U49" s="190"/>
      <c r="V49" s="191"/>
      <c r="W49" s="189"/>
      <c r="X49" s="190"/>
      <c r="Y49" s="191"/>
      <c r="Z49" s="189"/>
      <c r="AA49" s="190"/>
      <c r="AB49" s="191"/>
      <c r="AC49" s="189"/>
      <c r="AD49" s="190"/>
      <c r="AE49" s="191"/>
    </row>
    <row r="50" spans="1:31" s="192" customFormat="1" ht="13.8">
      <c r="A50" s="187"/>
      <c r="B50" s="187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9"/>
      <c r="U50" s="190"/>
      <c r="V50" s="191"/>
      <c r="W50" s="189"/>
      <c r="X50" s="190"/>
      <c r="Y50" s="191"/>
      <c r="Z50" s="189"/>
      <c r="AA50" s="190"/>
      <c r="AB50" s="191"/>
      <c r="AC50" s="189"/>
      <c r="AD50" s="190"/>
      <c r="AE50" s="191"/>
    </row>
    <row r="51" spans="1:31" s="192" customFormat="1" ht="13.8">
      <c r="A51" s="187"/>
      <c r="B51" s="187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9"/>
      <c r="U51" s="190"/>
      <c r="V51" s="191"/>
      <c r="W51" s="189"/>
      <c r="X51" s="190"/>
      <c r="Y51" s="191"/>
      <c r="Z51" s="189"/>
      <c r="AA51" s="190"/>
      <c r="AB51" s="191"/>
      <c r="AC51" s="189"/>
      <c r="AD51" s="190"/>
      <c r="AE51" s="191"/>
    </row>
    <row r="52" spans="1:31" s="192" customFormat="1" ht="13.8">
      <c r="A52" s="187"/>
      <c r="B52" s="187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9"/>
      <c r="U52" s="190"/>
      <c r="V52" s="191"/>
      <c r="W52" s="189"/>
      <c r="X52" s="190"/>
      <c r="Y52" s="191"/>
      <c r="Z52" s="189"/>
      <c r="AA52" s="190"/>
      <c r="AB52" s="191"/>
      <c r="AC52" s="189"/>
      <c r="AD52" s="190"/>
      <c r="AE52" s="191"/>
    </row>
    <row r="53" spans="1:31" s="192" customFormat="1" ht="13.8">
      <c r="A53" s="187"/>
      <c r="B53" s="187"/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9"/>
      <c r="U53" s="190"/>
      <c r="V53" s="191"/>
      <c r="W53" s="189"/>
      <c r="X53" s="190"/>
      <c r="Y53" s="191"/>
      <c r="Z53" s="189"/>
      <c r="AA53" s="190"/>
      <c r="AB53" s="191"/>
      <c r="AC53" s="189"/>
      <c r="AD53" s="190"/>
      <c r="AE53" s="191"/>
    </row>
    <row r="54" spans="1:31" s="192" customFormat="1" ht="13.8">
      <c r="A54" s="187"/>
      <c r="B54" s="187"/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T54" s="189"/>
      <c r="U54" s="190"/>
      <c r="V54" s="191"/>
      <c r="W54" s="189"/>
      <c r="X54" s="190"/>
      <c r="Y54" s="191"/>
      <c r="Z54" s="189"/>
      <c r="AA54" s="190"/>
      <c r="AB54" s="191"/>
      <c r="AC54" s="189"/>
      <c r="AD54" s="190"/>
      <c r="AE54" s="191"/>
    </row>
    <row r="55" spans="1:31" s="192" customFormat="1" ht="13.8">
      <c r="A55" s="187"/>
      <c r="B55" s="187"/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9"/>
      <c r="U55" s="190"/>
      <c r="V55" s="191"/>
      <c r="W55" s="189"/>
      <c r="X55" s="190"/>
      <c r="Y55" s="191"/>
      <c r="Z55" s="189"/>
      <c r="AA55" s="190"/>
      <c r="AB55" s="191"/>
      <c r="AC55" s="189"/>
      <c r="AD55" s="190"/>
      <c r="AE55" s="191"/>
    </row>
    <row r="56" spans="1:31" s="192" customFormat="1" ht="13.8">
      <c r="A56" s="187"/>
      <c r="B56" s="187"/>
      <c r="C56" s="188"/>
      <c r="D56" s="188"/>
      <c r="E56" s="188"/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9"/>
      <c r="U56" s="190"/>
      <c r="V56" s="191"/>
      <c r="W56" s="189"/>
      <c r="X56" s="190"/>
      <c r="Y56" s="191"/>
      <c r="Z56" s="189"/>
      <c r="AA56" s="190"/>
      <c r="AB56" s="191"/>
      <c r="AC56" s="189"/>
      <c r="AD56" s="190"/>
      <c r="AE56" s="191"/>
    </row>
    <row r="57" spans="1:31" s="192" customFormat="1" ht="13.8">
      <c r="A57" s="187"/>
      <c r="B57" s="187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8"/>
      <c r="P57" s="188"/>
      <c r="Q57" s="188"/>
      <c r="R57" s="188"/>
      <c r="S57" s="188"/>
      <c r="T57" s="189"/>
      <c r="U57" s="190"/>
      <c r="V57" s="191"/>
      <c r="W57" s="189"/>
      <c r="X57" s="190"/>
      <c r="Y57" s="191"/>
      <c r="Z57" s="189"/>
      <c r="AA57" s="190"/>
      <c r="AB57" s="191"/>
      <c r="AC57" s="189"/>
      <c r="AD57" s="190"/>
      <c r="AE57" s="191"/>
    </row>
    <row r="58" spans="1:31" s="192" customFormat="1" ht="13.8">
      <c r="A58" s="187"/>
      <c r="B58" s="187"/>
      <c r="C58" s="188"/>
      <c r="D58" s="188"/>
      <c r="E58" s="188"/>
      <c r="F58" s="188"/>
      <c r="G58" s="188"/>
      <c r="H58" s="188"/>
      <c r="I58" s="188"/>
      <c r="J58" s="188"/>
      <c r="K58" s="188"/>
      <c r="L58" s="188"/>
      <c r="M58" s="188"/>
      <c r="N58" s="188"/>
      <c r="O58" s="188"/>
      <c r="P58" s="188"/>
      <c r="Q58" s="188"/>
      <c r="R58" s="188"/>
      <c r="S58" s="188"/>
      <c r="T58" s="189"/>
      <c r="U58" s="190"/>
      <c r="V58" s="191"/>
      <c r="W58" s="189"/>
      <c r="X58" s="190"/>
      <c r="Y58" s="191"/>
      <c r="Z58" s="189"/>
      <c r="AA58" s="190"/>
      <c r="AB58" s="191"/>
      <c r="AC58" s="189"/>
      <c r="AD58" s="190"/>
      <c r="AE58" s="191"/>
    </row>
    <row r="59" spans="1:31" s="192" customFormat="1" ht="13.8">
      <c r="A59" s="187"/>
      <c r="B59" s="187"/>
      <c r="C59" s="188"/>
      <c r="D59" s="188"/>
      <c r="E59" s="188"/>
      <c r="F59" s="188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9"/>
      <c r="U59" s="190"/>
      <c r="V59" s="191"/>
      <c r="W59" s="189"/>
      <c r="X59" s="190"/>
      <c r="Y59" s="191"/>
      <c r="Z59" s="189"/>
      <c r="AA59" s="190"/>
      <c r="AB59" s="191"/>
      <c r="AC59" s="189"/>
      <c r="AD59" s="190"/>
      <c r="AE59" s="191"/>
    </row>
  </sheetData>
  <autoFilter ref="A3:AB50" xr:uid="{C3F7F350-9344-4C73-92AF-18B4EF019901}"/>
  <mergeCells count="1">
    <mergeCell ref="A1:AE1"/>
  </mergeCells>
  <phoneticPr fontId="19" type="noConversion"/>
  <conditionalFormatting sqref="A49">
    <cfRule type="duplicateValues" dxfId="17" priority="8"/>
  </conditionalFormatting>
  <conditionalFormatting sqref="B49:H49">
    <cfRule type="duplicateValues" dxfId="16" priority="447"/>
  </conditionalFormatting>
  <conditionalFormatting sqref="A40">
    <cfRule type="duplicateValues" dxfId="15" priority="5"/>
  </conditionalFormatting>
  <conditionalFormatting sqref="A40">
    <cfRule type="duplicateValues" dxfId="14" priority="4"/>
  </conditionalFormatting>
  <conditionalFormatting sqref="A41:A43">
    <cfRule type="duplicateValues" dxfId="13" priority="3"/>
  </conditionalFormatting>
  <conditionalFormatting sqref="A41:A43">
    <cfRule type="duplicateValues" dxfId="12" priority="2"/>
  </conditionalFormatting>
  <conditionalFormatting sqref="A35 A37">
    <cfRule type="duplicateValues" dxfId="11" priority="787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6" r:id="rId4" name="Button 4">
              <controlPr defaultSize="0" print="0" autoFill="0" autoPict="0" macro="[0]!Sheet12.GenerateSiteMessage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30</xdr:col>
                    <xdr:colOff>708660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2D8FE-77B7-4C7F-993D-047301E88CDA}">
  <sheetPr codeName="Sheet14"/>
  <dimension ref="A1:P34"/>
  <sheetViews>
    <sheetView workbookViewId="0">
      <pane xSplit="5" ySplit="1" topLeftCell="F2" activePane="bottomRight" state="frozen"/>
      <selection activeCell="C37" sqref="C37"/>
      <selection pane="topRight" activeCell="C37" sqref="C37"/>
      <selection pane="bottomLeft" activeCell="C37" sqref="C37"/>
      <selection pane="bottomRight" activeCell="J13" sqref="J13"/>
    </sheetView>
  </sheetViews>
  <sheetFormatPr defaultRowHeight="14.4"/>
  <cols>
    <col min="1" max="1" width="10.33203125" style="311" bestFit="1" customWidth="1"/>
    <col min="2" max="2" width="40.77734375" style="311" bestFit="1" customWidth="1"/>
    <col min="3" max="3" width="10.5546875" style="311" bestFit="1" customWidth="1"/>
    <col min="4" max="4" width="11.33203125" style="311" bestFit="1" customWidth="1"/>
    <col min="5" max="5" width="10.6640625" style="312" customWidth="1"/>
    <col min="6" max="6" width="17.33203125" style="311" customWidth="1"/>
    <col min="7" max="12" width="12.77734375" style="311" customWidth="1"/>
    <col min="13" max="13" width="12.5546875" style="311" bestFit="1" customWidth="1"/>
    <col min="14" max="14" width="21.5546875" style="311" bestFit="1" customWidth="1"/>
    <col min="15" max="15" width="10.77734375" style="311" customWidth="1"/>
    <col min="16" max="16" width="20.77734375" style="311" customWidth="1"/>
    <col min="17" max="16384" width="8.88671875" style="311"/>
  </cols>
  <sheetData>
    <row r="1" spans="1:16" s="313" customFormat="1" ht="46.8">
      <c r="A1" s="327" t="s">
        <v>0</v>
      </c>
      <c r="B1" s="327" t="s">
        <v>18</v>
      </c>
      <c r="C1" s="327" t="s">
        <v>3</v>
      </c>
      <c r="D1" s="327" t="s">
        <v>1241</v>
      </c>
      <c r="E1" s="327" t="s">
        <v>93</v>
      </c>
      <c r="F1" s="326" t="s">
        <v>1240</v>
      </c>
      <c r="G1" s="326" t="s">
        <v>1239</v>
      </c>
      <c r="H1" s="326" t="s">
        <v>1238</v>
      </c>
      <c r="I1" s="326" t="s">
        <v>1237</v>
      </c>
      <c r="J1" s="326" t="s">
        <v>1236</v>
      </c>
      <c r="K1" s="326" t="s">
        <v>1235</v>
      </c>
      <c r="L1" s="326" t="s">
        <v>1234</v>
      </c>
      <c r="M1" s="325" t="s">
        <v>1233</v>
      </c>
      <c r="N1" s="325" t="s">
        <v>1232</v>
      </c>
      <c r="O1" s="324" t="s">
        <v>1231</v>
      </c>
      <c r="P1" s="324" t="s">
        <v>1230</v>
      </c>
    </row>
    <row r="2" spans="1:16" s="313" customFormat="1" ht="15.6">
      <c r="A2" s="327"/>
      <c r="B2" s="327"/>
      <c r="C2" s="327"/>
      <c r="D2" s="327"/>
      <c r="E2" s="327"/>
      <c r="F2" s="326"/>
      <c r="G2" s="326"/>
      <c r="H2" s="326"/>
      <c r="I2" s="326"/>
      <c r="J2" s="326"/>
      <c r="K2" s="326"/>
      <c r="L2" s="326"/>
      <c r="M2" s="325"/>
      <c r="N2" s="325"/>
      <c r="O2" s="324"/>
      <c r="P2" s="324"/>
    </row>
    <row r="3" spans="1:16" s="313" customFormat="1">
      <c r="A3" s="320" t="s">
        <v>1229</v>
      </c>
      <c r="B3" s="320" t="s">
        <v>1228</v>
      </c>
      <c r="C3" s="319" t="s">
        <v>103</v>
      </c>
      <c r="D3" s="319" t="s">
        <v>573</v>
      </c>
      <c r="E3" s="321">
        <v>46205</v>
      </c>
      <c r="F3" s="318">
        <v>1</v>
      </c>
      <c r="G3" s="318" t="s">
        <v>1201</v>
      </c>
      <c r="H3" s="318" t="s">
        <v>1201</v>
      </c>
      <c r="I3" s="318" t="s">
        <v>1201</v>
      </c>
      <c r="J3" s="318" t="s">
        <v>1212</v>
      </c>
      <c r="K3" s="318" t="s">
        <v>1201</v>
      </c>
      <c r="L3" s="318" t="s">
        <v>1201</v>
      </c>
      <c r="M3" s="317" t="s">
        <v>1212</v>
      </c>
      <c r="N3" s="316" t="s">
        <v>1227</v>
      </c>
      <c r="O3" s="315"/>
      <c r="P3" s="314"/>
    </row>
    <row r="4" spans="1:16" s="313" customFormat="1">
      <c r="A4" s="320" t="s">
        <v>1225</v>
      </c>
      <c r="B4" s="320" t="s">
        <v>1224</v>
      </c>
      <c r="C4" s="319" t="s">
        <v>103</v>
      </c>
      <c r="D4" s="319" t="s">
        <v>487</v>
      </c>
      <c r="E4" s="321">
        <v>46206</v>
      </c>
      <c r="F4" s="318">
        <v>2</v>
      </c>
      <c r="G4" s="318" t="s">
        <v>1201</v>
      </c>
      <c r="H4" s="318" t="s">
        <v>1201</v>
      </c>
      <c r="I4" s="318" t="s">
        <v>1205</v>
      </c>
      <c r="J4" s="318" t="s">
        <v>1212</v>
      </c>
      <c r="K4" s="318" t="s">
        <v>1201</v>
      </c>
      <c r="L4" s="318" t="s">
        <v>1201</v>
      </c>
      <c r="M4" s="317" t="s">
        <v>1205</v>
      </c>
      <c r="N4" s="316" t="s">
        <v>1226</v>
      </c>
      <c r="O4" s="315"/>
      <c r="P4" s="314"/>
    </row>
    <row r="5" spans="1:16" s="313" customFormat="1">
      <c r="A5" s="320" t="s">
        <v>1225</v>
      </c>
      <c r="B5" s="320" t="s">
        <v>1224</v>
      </c>
      <c r="C5" s="319" t="s">
        <v>103</v>
      </c>
      <c r="D5" s="319" t="s">
        <v>487</v>
      </c>
      <c r="E5" s="321">
        <v>46206</v>
      </c>
      <c r="F5" s="318"/>
      <c r="G5" s="318"/>
      <c r="H5" s="318"/>
      <c r="I5" s="318"/>
      <c r="J5" s="318"/>
      <c r="K5" s="318"/>
      <c r="L5" s="318"/>
      <c r="M5" s="317" t="s">
        <v>1212</v>
      </c>
      <c r="N5" s="316" t="s">
        <v>1223</v>
      </c>
      <c r="O5" s="315"/>
      <c r="P5" s="314"/>
    </row>
    <row r="6" spans="1:16" s="313" customFormat="1">
      <c r="A6" s="320" t="s">
        <v>1222</v>
      </c>
      <c r="B6" s="320" t="s">
        <v>1221</v>
      </c>
      <c r="C6" s="319" t="s">
        <v>103</v>
      </c>
      <c r="D6" s="319" t="s">
        <v>536</v>
      </c>
      <c r="E6" s="321">
        <v>46205</v>
      </c>
      <c r="F6" s="318">
        <v>1</v>
      </c>
      <c r="G6" s="318" t="s">
        <v>1201</v>
      </c>
      <c r="H6" s="318" t="s">
        <v>1200</v>
      </c>
      <c r="I6" s="318" t="s">
        <v>1201</v>
      </c>
      <c r="J6" s="318" t="s">
        <v>1201</v>
      </c>
      <c r="K6" s="318" t="s">
        <v>1201</v>
      </c>
      <c r="L6" s="318" t="s">
        <v>1201</v>
      </c>
      <c r="M6" s="317" t="s">
        <v>1200</v>
      </c>
      <c r="N6" s="316" t="s">
        <v>1220</v>
      </c>
      <c r="O6" s="323" t="s">
        <v>620</v>
      </c>
      <c r="P6" s="323" t="s">
        <v>621</v>
      </c>
    </row>
    <row r="7" spans="1:16" s="313" customFormat="1">
      <c r="A7" s="320" t="s">
        <v>1218</v>
      </c>
      <c r="B7" s="320" t="s">
        <v>1217</v>
      </c>
      <c r="C7" s="319" t="s">
        <v>488</v>
      </c>
      <c r="D7" s="319" t="s">
        <v>573</v>
      </c>
      <c r="E7" s="321">
        <v>46205</v>
      </c>
      <c r="F7" s="318">
        <v>2</v>
      </c>
      <c r="G7" s="318" t="s">
        <v>1201</v>
      </c>
      <c r="H7" s="318" t="s">
        <v>1201</v>
      </c>
      <c r="I7" s="318" t="s">
        <v>1201</v>
      </c>
      <c r="J7" s="318" t="s">
        <v>1200</v>
      </c>
      <c r="K7" s="318" t="s">
        <v>1210</v>
      </c>
      <c r="L7" s="318" t="s">
        <v>1201</v>
      </c>
      <c r="M7" s="317" t="s">
        <v>1200</v>
      </c>
      <c r="N7" s="316" t="s">
        <v>1219</v>
      </c>
      <c r="O7" s="315"/>
      <c r="P7" s="314"/>
    </row>
    <row r="8" spans="1:16" s="313" customFormat="1">
      <c r="A8" s="320" t="s">
        <v>1218</v>
      </c>
      <c r="B8" s="320" t="s">
        <v>1217</v>
      </c>
      <c r="C8" s="319" t="s">
        <v>488</v>
      </c>
      <c r="D8" s="319" t="s">
        <v>573</v>
      </c>
      <c r="E8" s="321">
        <v>46205</v>
      </c>
      <c r="F8" s="318"/>
      <c r="G8" s="318"/>
      <c r="H8" s="318"/>
      <c r="I8" s="318"/>
      <c r="J8" s="318"/>
      <c r="K8" s="318"/>
      <c r="L8" s="318"/>
      <c r="M8" s="317" t="s">
        <v>1210</v>
      </c>
      <c r="N8" s="316" t="s">
        <v>1216</v>
      </c>
      <c r="O8" s="315"/>
      <c r="P8" s="314"/>
    </row>
    <row r="9" spans="1:16" s="313" customFormat="1">
      <c r="A9" s="320" t="s">
        <v>1215</v>
      </c>
      <c r="B9" s="320" t="s">
        <v>1214</v>
      </c>
      <c r="C9" s="319" t="s">
        <v>103</v>
      </c>
      <c r="D9" s="319" t="s">
        <v>487</v>
      </c>
      <c r="E9" s="321">
        <v>46205</v>
      </c>
      <c r="F9" s="318">
        <v>1</v>
      </c>
      <c r="G9" s="318" t="s">
        <v>1201</v>
      </c>
      <c r="H9" s="318" t="s">
        <v>1201</v>
      </c>
      <c r="I9" s="318" t="s">
        <v>1201</v>
      </c>
      <c r="J9" s="318" t="s">
        <v>1201</v>
      </c>
      <c r="K9" s="318" t="s">
        <v>1201</v>
      </c>
      <c r="L9" s="318" t="s">
        <v>1210</v>
      </c>
      <c r="M9" s="317" t="s">
        <v>1210</v>
      </c>
      <c r="N9" s="316" t="s">
        <v>1213</v>
      </c>
      <c r="O9" s="322" t="s">
        <v>638</v>
      </c>
      <c r="P9" s="322" t="s">
        <v>639</v>
      </c>
    </row>
    <row r="10" spans="1:16" s="313" customFormat="1">
      <c r="A10" s="320" t="s">
        <v>1208</v>
      </c>
      <c r="B10" s="320" t="s">
        <v>1207</v>
      </c>
      <c r="C10" s="319" t="s">
        <v>1206</v>
      </c>
      <c r="D10" s="319" t="s">
        <v>487</v>
      </c>
      <c r="E10" s="321">
        <v>46205</v>
      </c>
      <c r="F10" s="318">
        <v>3</v>
      </c>
      <c r="G10" s="318" t="s">
        <v>1201</v>
      </c>
      <c r="H10" s="318" t="s">
        <v>1201</v>
      </c>
      <c r="I10" s="318" t="s">
        <v>1212</v>
      </c>
      <c r="J10" s="318" t="s">
        <v>1201</v>
      </c>
      <c r="K10" s="318" t="s">
        <v>1210</v>
      </c>
      <c r="L10" s="318" t="s">
        <v>1205</v>
      </c>
      <c r="M10" s="317" t="s">
        <v>1212</v>
      </c>
      <c r="N10" s="316" t="s">
        <v>1211</v>
      </c>
      <c r="O10" s="315"/>
      <c r="P10" s="314"/>
    </row>
    <row r="11" spans="1:16" s="313" customFormat="1">
      <c r="A11" s="320" t="s">
        <v>1208</v>
      </c>
      <c r="B11" s="320" t="s">
        <v>1207</v>
      </c>
      <c r="C11" s="319" t="s">
        <v>1206</v>
      </c>
      <c r="D11" s="319" t="s">
        <v>487</v>
      </c>
      <c r="E11" s="321">
        <v>46205</v>
      </c>
      <c r="F11" s="318"/>
      <c r="G11" s="318"/>
      <c r="H11" s="318"/>
      <c r="I11" s="318"/>
      <c r="J11" s="318"/>
      <c r="K11" s="318"/>
      <c r="L11" s="318"/>
      <c r="M11" s="317" t="s">
        <v>1210</v>
      </c>
      <c r="N11" s="316" t="s">
        <v>1209</v>
      </c>
      <c r="O11" s="315"/>
      <c r="P11" s="314"/>
    </row>
    <row r="12" spans="1:16" s="313" customFormat="1">
      <c r="A12" s="320" t="s">
        <v>1208</v>
      </c>
      <c r="B12" s="320" t="s">
        <v>1207</v>
      </c>
      <c r="C12" s="319" t="s">
        <v>1206</v>
      </c>
      <c r="D12" s="319" t="s">
        <v>487</v>
      </c>
      <c r="E12" s="321">
        <v>46205</v>
      </c>
      <c r="F12" s="318"/>
      <c r="G12" s="318"/>
      <c r="H12" s="318"/>
      <c r="I12" s="318"/>
      <c r="J12" s="318"/>
      <c r="K12" s="318"/>
      <c r="L12" s="318"/>
      <c r="M12" s="317" t="s">
        <v>1205</v>
      </c>
      <c r="N12" s="316" t="s">
        <v>1204</v>
      </c>
      <c r="O12" s="315"/>
      <c r="P12" s="314"/>
    </row>
    <row r="13" spans="1:16" s="313" customFormat="1">
      <c r="A13" s="320" t="s">
        <v>1203</v>
      </c>
      <c r="B13" s="320" t="s">
        <v>1202</v>
      </c>
      <c r="C13" s="319"/>
      <c r="D13" s="319"/>
      <c r="E13" s="319"/>
      <c r="F13" s="318">
        <v>1</v>
      </c>
      <c r="G13" s="318" t="s">
        <v>1201</v>
      </c>
      <c r="H13" s="318" t="s">
        <v>1201</v>
      </c>
      <c r="I13" s="318" t="s">
        <v>1200</v>
      </c>
      <c r="J13" s="318" t="s">
        <v>1201</v>
      </c>
      <c r="K13" s="318" t="s">
        <v>1201</v>
      </c>
      <c r="L13" s="318" t="s">
        <v>1201</v>
      </c>
      <c r="M13" s="317" t="s">
        <v>1200</v>
      </c>
      <c r="N13" s="316"/>
      <c r="O13" s="315"/>
      <c r="P13" s="314"/>
    </row>
    <row r="14" spans="1:16" s="313" customFormat="1"/>
    <row r="15" spans="1:16" s="313" customFormat="1"/>
    <row r="16" spans="1:16" s="313" customFormat="1"/>
    <row r="17" s="313" customFormat="1"/>
    <row r="18" s="313" customFormat="1"/>
    <row r="19" s="313" customFormat="1"/>
    <row r="20" s="313" customFormat="1"/>
    <row r="21" s="313" customFormat="1"/>
    <row r="22" s="313" customFormat="1"/>
    <row r="23" s="313" customFormat="1"/>
    <row r="24" s="313" customFormat="1"/>
    <row r="25" s="313" customFormat="1"/>
    <row r="26" s="313" customFormat="1"/>
    <row r="27" s="313" customFormat="1"/>
    <row r="28" s="313" customFormat="1"/>
    <row r="29" s="313" customFormat="1"/>
    <row r="30" s="313" customFormat="1"/>
    <row r="31" s="313" customFormat="1"/>
    <row r="32" s="313" customFormat="1"/>
    <row r="33" s="313" customFormat="1"/>
    <row r="34" s="313" customFormat="1"/>
  </sheetData>
  <autoFilter ref="A1:N13" xr:uid="{AB13ABEF-423E-4DBE-A911-2DC3DB6A91AF}"/>
  <conditionalFormatting sqref="A3:E12">
    <cfRule type="expression" dxfId="10" priority="5">
      <formula>$L3=TRUE</formula>
    </cfRule>
    <cfRule type="expression" dxfId="9" priority="6">
      <formula>#REF!&lt;&gt;"Drop"</formula>
    </cfRule>
    <cfRule type="expression" dxfId="8" priority="7">
      <formula>#REF!="Drop"</formula>
    </cfRule>
  </conditionalFormatting>
  <conditionalFormatting sqref="P6">
    <cfRule type="duplicateValues" dxfId="7" priority="4"/>
  </conditionalFormatting>
  <conditionalFormatting sqref="O6">
    <cfRule type="duplicateValues" dxfId="6" priority="3"/>
  </conditionalFormatting>
  <conditionalFormatting sqref="P9">
    <cfRule type="duplicateValues" dxfId="5" priority="2"/>
  </conditionalFormatting>
  <conditionalFormatting sqref="O9">
    <cfRule type="duplicateValues" dxfId="4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031FD-A06F-4BA2-A629-F994EFA1896C}">
  <sheetPr codeName="Sheet13"/>
  <dimension ref="A1:D36"/>
  <sheetViews>
    <sheetView topLeftCell="A7" workbookViewId="0">
      <selection activeCell="C37" sqref="C37"/>
    </sheetView>
  </sheetViews>
  <sheetFormatPr defaultColWidth="8.77734375" defaultRowHeight="14.4"/>
  <cols>
    <col min="1" max="1" width="8.77734375" style="328"/>
    <col min="2" max="2" width="24.5546875" style="328" bestFit="1" customWidth="1"/>
    <col min="3" max="3" width="12.33203125" style="329" bestFit="1" customWidth="1"/>
    <col min="4" max="4" width="122.21875" style="328" customWidth="1"/>
    <col min="5" max="16384" width="8.77734375" style="328"/>
  </cols>
  <sheetData>
    <row r="1" spans="1:4" ht="15.6">
      <c r="A1" s="343" t="s">
        <v>0</v>
      </c>
      <c r="B1" s="343" t="s">
        <v>1</v>
      </c>
      <c r="C1" s="343" t="s">
        <v>100</v>
      </c>
      <c r="D1" s="342" t="s">
        <v>1259</v>
      </c>
    </row>
    <row r="2" spans="1:4" ht="15.6">
      <c r="A2" s="341">
        <f>SUBTOTAL(103, A3:A199)</f>
        <v>34</v>
      </c>
      <c r="B2" s="341">
        <f>SUBTOTAL(103, B3:B199)</f>
        <v>34</v>
      </c>
      <c r="C2" s="340">
        <f>SUBTOTAL(103, C3:C199)</f>
        <v>34</v>
      </c>
      <c r="D2" s="339">
        <f>SUBTOTAL(103, D3:D199)</f>
        <v>24</v>
      </c>
    </row>
    <row r="3" spans="1:4">
      <c r="A3" s="331" t="s">
        <v>501</v>
      </c>
      <c r="B3" s="336" t="s">
        <v>502</v>
      </c>
      <c r="C3" s="331" t="s">
        <v>61</v>
      </c>
      <c r="D3" s="330"/>
    </row>
    <row r="4" spans="1:4" ht="28.8">
      <c r="A4" s="331" t="s">
        <v>512</v>
      </c>
      <c r="B4" s="336" t="s">
        <v>513</v>
      </c>
      <c r="C4" s="331" t="s">
        <v>91</v>
      </c>
      <c r="D4" s="337" t="s">
        <v>1258</v>
      </c>
    </row>
    <row r="5" spans="1:4">
      <c r="A5" s="331" t="s">
        <v>519</v>
      </c>
      <c r="B5" s="336" t="s">
        <v>520</v>
      </c>
      <c r="C5" s="331" t="s">
        <v>61</v>
      </c>
      <c r="D5" s="330"/>
    </row>
    <row r="6" spans="1:4">
      <c r="A6" s="331" t="s">
        <v>523</v>
      </c>
      <c r="B6" s="336" t="s">
        <v>524</v>
      </c>
      <c r="C6" s="331" t="s">
        <v>61</v>
      </c>
      <c r="D6" s="330"/>
    </row>
    <row r="7" spans="1:4">
      <c r="A7" s="331" t="s">
        <v>528</v>
      </c>
      <c r="B7" s="336" t="s">
        <v>529</v>
      </c>
      <c r="C7" s="331" t="s">
        <v>91</v>
      </c>
      <c r="D7" s="330"/>
    </row>
    <row r="8" spans="1:4">
      <c r="A8" s="331" t="s">
        <v>532</v>
      </c>
      <c r="B8" s="336" t="s">
        <v>533</v>
      </c>
      <c r="C8" s="331" t="s">
        <v>61</v>
      </c>
      <c r="D8" s="330" t="s">
        <v>534</v>
      </c>
    </row>
    <row r="9" spans="1:4" ht="28.8">
      <c r="A9" s="331" t="s">
        <v>538</v>
      </c>
      <c r="B9" s="336" t="s">
        <v>539</v>
      </c>
      <c r="C9" s="331" t="s">
        <v>91</v>
      </c>
      <c r="D9" s="337" t="s">
        <v>1257</v>
      </c>
    </row>
    <row r="10" spans="1:4">
      <c r="A10" s="331" t="s">
        <v>544</v>
      </c>
      <c r="B10" s="336" t="s">
        <v>545</v>
      </c>
      <c r="C10" s="331" t="s">
        <v>7</v>
      </c>
      <c r="D10" s="330" t="s">
        <v>1256</v>
      </c>
    </row>
    <row r="11" spans="1:4">
      <c r="A11" s="331" t="s">
        <v>548</v>
      </c>
      <c r="B11" s="336" t="s">
        <v>549</v>
      </c>
      <c r="C11" s="331" t="s">
        <v>61</v>
      </c>
      <c r="D11" s="330"/>
    </row>
    <row r="12" spans="1:4" ht="28.8">
      <c r="A12" s="331" t="s">
        <v>552</v>
      </c>
      <c r="B12" s="336" t="s">
        <v>553</v>
      </c>
      <c r="C12" s="331" t="s">
        <v>7</v>
      </c>
      <c r="D12" s="337" t="s">
        <v>1255</v>
      </c>
    </row>
    <row r="13" spans="1:4">
      <c r="A13" s="335" t="s">
        <v>558</v>
      </c>
      <c r="B13" s="334" t="s">
        <v>559</v>
      </c>
      <c r="C13" s="331" t="s">
        <v>61</v>
      </c>
      <c r="D13" s="330" t="s">
        <v>1254</v>
      </c>
    </row>
    <row r="14" spans="1:4">
      <c r="A14" s="335" t="s">
        <v>564</v>
      </c>
      <c r="B14" s="334" t="s">
        <v>565</v>
      </c>
      <c r="C14" s="331" t="s">
        <v>61</v>
      </c>
      <c r="D14" s="330" t="s">
        <v>1253</v>
      </c>
    </row>
    <row r="15" spans="1:4" ht="28.8">
      <c r="A15" s="335" t="s">
        <v>569</v>
      </c>
      <c r="B15" s="334" t="s">
        <v>570</v>
      </c>
      <c r="C15" s="331" t="s">
        <v>87</v>
      </c>
      <c r="D15" s="337" t="s">
        <v>1252</v>
      </c>
    </row>
    <row r="16" spans="1:4">
      <c r="A16" s="335" t="s">
        <v>575</v>
      </c>
      <c r="B16" s="334" t="s">
        <v>576</v>
      </c>
      <c r="C16" s="331" t="s">
        <v>61</v>
      </c>
      <c r="D16" s="330"/>
    </row>
    <row r="17" spans="1:4" ht="28.8">
      <c r="A17" s="335" t="s">
        <v>580</v>
      </c>
      <c r="B17" s="334" t="s">
        <v>581</v>
      </c>
      <c r="C17" s="331" t="s">
        <v>61</v>
      </c>
      <c r="D17" s="337" t="s">
        <v>582</v>
      </c>
    </row>
    <row r="18" spans="1:4">
      <c r="A18" s="335" t="s">
        <v>584</v>
      </c>
      <c r="B18" s="334" t="s">
        <v>585</v>
      </c>
      <c r="C18" s="331" t="s">
        <v>61</v>
      </c>
      <c r="D18" s="330" t="s">
        <v>586</v>
      </c>
    </row>
    <row r="19" spans="1:4">
      <c r="A19" s="335" t="s">
        <v>588</v>
      </c>
      <c r="B19" s="334" t="s">
        <v>589</v>
      </c>
      <c r="C19" s="331" t="s">
        <v>61</v>
      </c>
      <c r="D19" s="330" t="s">
        <v>1251</v>
      </c>
    </row>
    <row r="20" spans="1:4">
      <c r="A20" s="335" t="s">
        <v>593</v>
      </c>
      <c r="B20" s="334" t="s">
        <v>594</v>
      </c>
      <c r="C20" s="331" t="s">
        <v>87</v>
      </c>
      <c r="D20" s="330" t="s">
        <v>595</v>
      </c>
    </row>
    <row r="21" spans="1:4" ht="72">
      <c r="A21" s="338" t="s">
        <v>596</v>
      </c>
      <c r="B21" s="336" t="s">
        <v>597</v>
      </c>
      <c r="C21" s="331" t="s">
        <v>7</v>
      </c>
      <c r="D21" s="337" t="s">
        <v>1250</v>
      </c>
    </row>
    <row r="22" spans="1:4" ht="72">
      <c r="A22" s="335" t="s">
        <v>600</v>
      </c>
      <c r="B22" s="334" t="s">
        <v>601</v>
      </c>
      <c r="C22" s="331" t="s">
        <v>87</v>
      </c>
      <c r="D22" s="337" t="s">
        <v>1249</v>
      </c>
    </row>
    <row r="23" spans="1:4" ht="28.8">
      <c r="A23" s="335" t="s">
        <v>604</v>
      </c>
      <c r="B23" s="334" t="s">
        <v>605</v>
      </c>
      <c r="C23" s="331" t="s">
        <v>61</v>
      </c>
      <c r="D23" s="337" t="s">
        <v>1248</v>
      </c>
    </row>
    <row r="24" spans="1:4" ht="28.8">
      <c r="A24" s="335" t="s">
        <v>610</v>
      </c>
      <c r="B24" s="334" t="s">
        <v>611</v>
      </c>
      <c r="C24" s="331" t="s">
        <v>7</v>
      </c>
      <c r="D24" s="337" t="s">
        <v>612</v>
      </c>
    </row>
    <row r="25" spans="1:4" ht="43.2">
      <c r="A25" s="335" t="s">
        <v>614</v>
      </c>
      <c r="B25" s="334" t="s">
        <v>615</v>
      </c>
      <c r="C25" s="331" t="s">
        <v>91</v>
      </c>
      <c r="D25" s="337" t="s">
        <v>1247</v>
      </c>
    </row>
    <row r="26" spans="1:4" ht="115.2">
      <c r="A26" s="335" t="s">
        <v>641</v>
      </c>
      <c r="B26" s="334" t="s">
        <v>642</v>
      </c>
      <c r="C26" s="331" t="s">
        <v>91</v>
      </c>
      <c r="D26" s="337" t="s">
        <v>1246</v>
      </c>
    </row>
    <row r="27" spans="1:4" ht="28.8">
      <c r="A27" s="335" t="s">
        <v>624</v>
      </c>
      <c r="B27" s="334" t="s">
        <v>625</v>
      </c>
      <c r="C27" s="331" t="s">
        <v>61</v>
      </c>
      <c r="D27" s="337" t="s">
        <v>626</v>
      </c>
    </row>
    <row r="28" spans="1:4">
      <c r="A28" s="331" t="s">
        <v>630</v>
      </c>
      <c r="B28" s="336" t="s">
        <v>631</v>
      </c>
      <c r="C28" s="331" t="s">
        <v>61</v>
      </c>
      <c r="D28" s="330" t="s">
        <v>1245</v>
      </c>
    </row>
    <row r="29" spans="1:4">
      <c r="A29" s="331" t="s">
        <v>620</v>
      </c>
      <c r="B29" s="336" t="s">
        <v>621</v>
      </c>
      <c r="C29" s="331" t="s">
        <v>61</v>
      </c>
      <c r="D29" s="330" t="s">
        <v>622</v>
      </c>
    </row>
    <row r="30" spans="1:4" ht="57.6">
      <c r="A30" s="335" t="s">
        <v>650</v>
      </c>
      <c r="B30" s="334" t="s">
        <v>651</v>
      </c>
      <c r="C30" s="331" t="s">
        <v>87</v>
      </c>
      <c r="D30" s="337" t="s">
        <v>1244</v>
      </c>
    </row>
    <row r="31" spans="1:4">
      <c r="A31" s="335" t="s">
        <v>638</v>
      </c>
      <c r="B31" s="334" t="s">
        <v>639</v>
      </c>
      <c r="C31" s="331" t="s">
        <v>61</v>
      </c>
      <c r="D31" s="330"/>
    </row>
    <row r="32" spans="1:4">
      <c r="A32" s="331" t="s">
        <v>653</v>
      </c>
      <c r="B32" s="336" t="s">
        <v>654</v>
      </c>
      <c r="C32" s="331" t="s">
        <v>7</v>
      </c>
      <c r="D32" s="330" t="s">
        <v>1243</v>
      </c>
    </row>
    <row r="33" spans="1:4">
      <c r="A33" s="335" t="s">
        <v>662</v>
      </c>
      <c r="B33" s="334" t="s">
        <v>663</v>
      </c>
      <c r="C33" s="331" t="s">
        <v>7</v>
      </c>
      <c r="D33" s="330"/>
    </row>
    <row r="34" spans="1:4">
      <c r="A34" s="331" t="s">
        <v>658</v>
      </c>
      <c r="B34" s="336" t="s">
        <v>659</v>
      </c>
      <c r="C34" s="331" t="s">
        <v>7</v>
      </c>
      <c r="D34" s="330"/>
    </row>
    <row r="35" spans="1:4">
      <c r="A35" s="335" t="s">
        <v>634</v>
      </c>
      <c r="B35" s="334" t="s">
        <v>635</v>
      </c>
      <c r="C35" s="331" t="s">
        <v>91</v>
      </c>
      <c r="D35" s="330" t="s">
        <v>1242</v>
      </c>
    </row>
    <row r="36" spans="1:4">
      <c r="A36" s="333" t="s">
        <v>664</v>
      </c>
      <c r="B36" s="332" t="s">
        <v>665</v>
      </c>
      <c r="C36" s="331" t="s">
        <v>7</v>
      </c>
      <c r="D36" s="330"/>
    </row>
  </sheetData>
  <conditionalFormatting sqref="B1 D1">
    <cfRule type="duplicateValues" dxfId="3" priority="4"/>
  </conditionalFormatting>
  <conditionalFormatting sqref="A1">
    <cfRule type="duplicateValues" dxfId="2" priority="3"/>
  </conditionalFormatting>
  <conditionalFormatting sqref="B3:B35">
    <cfRule type="duplicateValues" dxfId="1" priority="2"/>
  </conditionalFormatting>
  <conditionalFormatting sqref="A3:A35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Full Plan</vt:lpstr>
      <vt:lpstr>Tx Design</vt:lpstr>
      <vt:lpstr>MW Removal &amp; Update</vt:lpstr>
      <vt:lpstr>New Site Locations</vt:lpstr>
      <vt:lpstr>AP Data</vt:lpstr>
      <vt:lpstr>BB Removal Update</vt:lpstr>
      <vt:lpstr>CR 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yasith wijetunga</dc:creator>
  <cp:lastModifiedBy>Tooway_Sithara</cp:lastModifiedBy>
  <dcterms:created xsi:type="dcterms:W3CDTF">2026-04-09T08:13:00Z</dcterms:created>
  <dcterms:modified xsi:type="dcterms:W3CDTF">2026-07-29T15:07:46Z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14DC4BCE90A04FB19AF963067BCE5585_13</vt:lpwstr>
  </property>
  <property fmtid="{D5CDD505-2E9C-101B-9397-08002B2CF9AE}" pid="3" name="KSOProductBuildVer">
    <vt:lpwstr>1033-12.2.0.23196</vt:lpwstr>
  </property>
</Properties>
</file>